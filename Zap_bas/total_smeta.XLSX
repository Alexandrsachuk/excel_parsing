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K1151" i="1" l="1"/>
  <c r="J1151" i="1"/>
  <c r="L1151" i="1" s="1"/>
  <c r="H1151" i="1"/>
  <c r="G1151" i="1"/>
  <c r="I1151" i="1" s="1"/>
  <c r="E1151" i="1"/>
  <c r="F1151" i="1" s="1"/>
  <c r="C1151" i="1"/>
  <c r="B1151" i="1"/>
  <c r="L1150" i="1"/>
  <c r="K1150" i="1"/>
  <c r="J1150" i="1"/>
  <c r="H1150" i="1"/>
  <c r="G1150" i="1"/>
  <c r="I1150" i="1" s="1"/>
  <c r="E1150" i="1"/>
  <c r="F1150" i="1" s="1"/>
  <c r="C1150" i="1"/>
  <c r="B1150" i="1"/>
  <c r="K1149" i="1"/>
  <c r="J1149" i="1"/>
  <c r="L1149" i="1" s="1"/>
  <c r="I1149" i="1"/>
  <c r="H1149" i="1"/>
  <c r="G1149" i="1"/>
  <c r="F1149" i="1"/>
  <c r="E1149" i="1"/>
  <c r="C1149" i="1"/>
  <c r="B1149" i="1"/>
  <c r="K1148" i="1"/>
  <c r="L1148" i="1" s="1"/>
  <c r="J1148" i="1"/>
  <c r="I1148" i="1"/>
  <c r="H1148" i="1"/>
  <c r="G1148" i="1"/>
  <c r="E1148" i="1"/>
  <c r="F1148" i="1" s="1"/>
  <c r="C1148" i="1"/>
  <c r="B1148" i="1"/>
  <c r="K1147" i="1"/>
  <c r="J1147" i="1"/>
  <c r="L1147" i="1" s="1"/>
  <c r="H1147" i="1"/>
  <c r="G1147" i="1"/>
  <c r="I1147" i="1" s="1"/>
  <c r="E1147" i="1"/>
  <c r="F1147" i="1" s="1"/>
  <c r="C1147" i="1"/>
  <c r="B1147" i="1"/>
  <c r="K1146" i="1"/>
  <c r="J1146" i="1"/>
  <c r="L1146" i="1" s="1"/>
  <c r="H1146" i="1"/>
  <c r="G1146" i="1"/>
  <c r="I1146" i="1" s="1"/>
  <c r="E1146" i="1"/>
  <c r="F1146" i="1" s="1"/>
  <c r="C1146" i="1"/>
  <c r="B1146" i="1"/>
  <c r="L1145" i="1"/>
  <c r="K1145" i="1"/>
  <c r="J1145" i="1"/>
  <c r="I1145" i="1"/>
  <c r="H1145" i="1"/>
  <c r="G1145" i="1"/>
  <c r="F1145" i="1"/>
  <c r="E1145" i="1"/>
  <c r="C1145" i="1"/>
  <c r="B1145" i="1"/>
  <c r="K1144" i="1"/>
  <c r="L1144" i="1" s="1"/>
  <c r="J1144" i="1"/>
  <c r="I1144" i="1"/>
  <c r="H1144" i="1"/>
  <c r="G1144" i="1"/>
  <c r="F1144" i="1"/>
  <c r="E1144" i="1"/>
  <c r="C1144" i="1"/>
  <c r="B1144" i="1"/>
  <c r="K1143" i="1"/>
  <c r="J1143" i="1"/>
  <c r="L1143" i="1" s="1"/>
  <c r="H1143" i="1"/>
  <c r="G1143" i="1"/>
  <c r="I1143" i="1" s="1"/>
  <c r="E1143" i="1"/>
  <c r="F1143" i="1" s="1"/>
  <c r="C1143" i="1"/>
  <c r="B1143" i="1"/>
  <c r="K1142" i="1"/>
  <c r="J1142" i="1"/>
  <c r="L1142" i="1" s="1"/>
  <c r="H1142" i="1"/>
  <c r="G1142" i="1"/>
  <c r="I1142" i="1" s="1"/>
  <c r="E1142" i="1"/>
  <c r="F1142" i="1" s="1"/>
  <c r="C1142" i="1"/>
  <c r="B1142" i="1"/>
  <c r="L1141" i="1"/>
  <c r="K1141" i="1"/>
  <c r="J1141" i="1"/>
  <c r="I1141" i="1"/>
  <c r="H1141" i="1"/>
  <c r="G1141" i="1"/>
  <c r="F1141" i="1"/>
  <c r="E1141" i="1"/>
  <c r="C1141" i="1"/>
  <c r="B1141" i="1"/>
  <c r="K1140" i="1"/>
  <c r="L1140" i="1" s="1"/>
  <c r="J1140" i="1"/>
  <c r="I1140" i="1"/>
  <c r="H1140" i="1"/>
  <c r="G1140" i="1"/>
  <c r="F1140" i="1"/>
  <c r="E1140" i="1"/>
  <c r="C1140" i="1"/>
  <c r="B1140" i="1"/>
  <c r="K1139" i="1"/>
  <c r="J1139" i="1"/>
  <c r="L1139" i="1" s="1"/>
  <c r="H1139" i="1"/>
  <c r="G1139" i="1"/>
  <c r="I1139" i="1" s="1"/>
  <c r="E1139" i="1"/>
  <c r="F1139" i="1" s="1"/>
  <c r="C1139" i="1"/>
  <c r="B1139" i="1"/>
  <c r="L1138" i="1"/>
  <c r="K1138" i="1"/>
  <c r="J1138" i="1"/>
  <c r="H1138" i="1"/>
  <c r="G1138" i="1"/>
  <c r="I1138" i="1" s="1"/>
  <c r="E1138" i="1"/>
  <c r="F1138" i="1" s="1"/>
  <c r="C1138" i="1"/>
  <c r="B1138" i="1"/>
  <c r="L1137" i="1"/>
  <c r="K1137" i="1"/>
  <c r="J1137" i="1"/>
  <c r="I1137" i="1"/>
  <c r="H1137" i="1"/>
  <c r="G1137" i="1"/>
  <c r="F1137" i="1"/>
  <c r="E1137" i="1"/>
  <c r="C1137" i="1"/>
  <c r="B1137" i="1"/>
  <c r="K1136" i="1"/>
  <c r="L1136" i="1" s="1"/>
  <c r="J1136" i="1"/>
  <c r="I1136" i="1"/>
  <c r="H1136" i="1"/>
  <c r="G1136" i="1"/>
  <c r="F1136" i="1"/>
  <c r="E1136" i="1"/>
  <c r="C1136" i="1"/>
  <c r="B1136" i="1"/>
  <c r="K1135" i="1"/>
  <c r="J1135" i="1"/>
  <c r="L1135" i="1" s="1"/>
  <c r="H1135" i="1"/>
  <c r="G1135" i="1"/>
  <c r="I1135" i="1" s="1"/>
  <c r="E1135" i="1"/>
  <c r="F1135" i="1" s="1"/>
  <c r="C1135" i="1"/>
  <c r="B1135" i="1"/>
  <c r="K1134" i="1"/>
  <c r="J1134" i="1"/>
  <c r="L1134" i="1" s="1"/>
  <c r="H1134" i="1"/>
  <c r="G1134" i="1"/>
  <c r="I1134" i="1" s="1"/>
  <c r="E1134" i="1"/>
  <c r="F1134" i="1" s="1"/>
  <c r="C1134" i="1"/>
  <c r="B1134" i="1"/>
  <c r="L1133" i="1"/>
  <c r="K1133" i="1"/>
  <c r="J1133" i="1"/>
  <c r="I1133" i="1"/>
  <c r="H1133" i="1"/>
  <c r="G1133" i="1"/>
  <c r="F1133" i="1"/>
  <c r="E1133" i="1"/>
  <c r="C1133" i="1"/>
  <c r="B1133" i="1"/>
  <c r="K1132" i="1"/>
  <c r="L1132" i="1" s="1"/>
  <c r="J1132" i="1"/>
  <c r="I1132" i="1"/>
  <c r="H1132" i="1"/>
  <c r="G1132" i="1"/>
  <c r="E1132" i="1"/>
  <c r="F1132" i="1" s="1"/>
  <c r="C1132" i="1"/>
  <c r="B1132" i="1"/>
  <c r="K1131" i="1"/>
  <c r="J1131" i="1"/>
  <c r="L1131" i="1" s="1"/>
  <c r="H1131" i="1"/>
  <c r="G1131" i="1"/>
  <c r="I1131" i="1" s="1"/>
  <c r="E1131" i="1"/>
  <c r="F1131" i="1" s="1"/>
  <c r="C1131" i="1"/>
  <c r="B1131" i="1"/>
  <c r="K1130" i="1"/>
  <c r="J1130" i="1"/>
  <c r="L1130" i="1" s="1"/>
  <c r="H1130" i="1"/>
  <c r="G1130" i="1"/>
  <c r="I1130" i="1" s="1"/>
  <c r="E1130" i="1"/>
  <c r="F1130" i="1" s="1"/>
  <c r="C1130" i="1"/>
  <c r="B1130" i="1"/>
  <c r="L1129" i="1"/>
  <c r="K1129" i="1"/>
  <c r="J1129" i="1"/>
  <c r="I1129" i="1"/>
  <c r="H1129" i="1"/>
  <c r="G1129" i="1"/>
  <c r="F1129" i="1"/>
  <c r="E1129" i="1"/>
  <c r="C1129" i="1"/>
  <c r="B1129" i="1"/>
  <c r="K1128" i="1"/>
  <c r="L1128" i="1" s="1"/>
  <c r="J1128" i="1"/>
  <c r="I1128" i="1"/>
  <c r="H1128" i="1"/>
  <c r="G1128" i="1"/>
  <c r="F1128" i="1"/>
  <c r="E1128" i="1"/>
  <c r="C1128" i="1"/>
  <c r="B1128" i="1"/>
  <c r="K1127" i="1"/>
  <c r="J1127" i="1"/>
  <c r="L1127" i="1" s="1"/>
  <c r="H1127" i="1"/>
  <c r="G1127" i="1"/>
  <c r="I1127" i="1" s="1"/>
  <c r="E1127" i="1"/>
  <c r="F1127" i="1" s="1"/>
  <c r="C1127" i="1"/>
  <c r="B1127" i="1"/>
  <c r="K1126" i="1"/>
  <c r="J1126" i="1"/>
  <c r="L1126" i="1" s="1"/>
  <c r="H1126" i="1"/>
  <c r="G1126" i="1"/>
  <c r="I1126" i="1" s="1"/>
  <c r="E1126" i="1"/>
  <c r="F1126" i="1" s="1"/>
  <c r="C1126" i="1"/>
  <c r="B1126" i="1"/>
  <c r="L1125" i="1"/>
  <c r="K1125" i="1"/>
  <c r="J1125" i="1"/>
  <c r="I1125" i="1"/>
  <c r="H1125" i="1"/>
  <c r="G1125" i="1"/>
  <c r="F1125" i="1"/>
  <c r="E1125" i="1"/>
  <c r="C1125" i="1"/>
  <c r="B1125" i="1"/>
  <c r="K1124" i="1"/>
  <c r="L1124" i="1" s="1"/>
  <c r="J1124" i="1"/>
  <c r="I1124" i="1"/>
  <c r="H1124" i="1"/>
  <c r="G1124" i="1"/>
  <c r="F1124" i="1"/>
  <c r="E1124" i="1"/>
  <c r="C1124" i="1"/>
  <c r="B1124" i="1"/>
  <c r="K1123" i="1"/>
  <c r="J1123" i="1"/>
  <c r="L1123" i="1" s="1"/>
  <c r="H1123" i="1"/>
  <c r="G1123" i="1"/>
  <c r="I1123" i="1" s="1"/>
  <c r="E1123" i="1"/>
  <c r="F1123" i="1" s="1"/>
  <c r="C1123" i="1"/>
  <c r="B1123" i="1"/>
  <c r="K1122" i="1"/>
  <c r="J1122" i="1"/>
  <c r="L1122" i="1" s="1"/>
  <c r="H1122" i="1"/>
  <c r="G1122" i="1"/>
  <c r="I1122" i="1" s="1"/>
  <c r="E1122" i="1"/>
  <c r="F1122" i="1" s="1"/>
  <c r="C1122" i="1"/>
  <c r="B1122" i="1"/>
  <c r="K1121" i="1"/>
  <c r="L1121" i="1" s="1"/>
  <c r="J1121" i="1"/>
  <c r="I1121" i="1"/>
  <c r="H1121" i="1"/>
  <c r="G1121" i="1"/>
  <c r="F1121" i="1"/>
  <c r="E1121" i="1"/>
  <c r="C1121" i="1"/>
  <c r="B1121" i="1"/>
  <c r="K1120" i="1"/>
  <c r="L1120" i="1" s="1"/>
  <c r="J1120" i="1"/>
  <c r="I1120" i="1"/>
  <c r="H1120" i="1"/>
  <c r="G1120" i="1"/>
  <c r="E1120" i="1"/>
  <c r="F1120" i="1" s="1"/>
  <c r="C1120" i="1"/>
  <c r="B1120" i="1"/>
  <c r="K1119" i="1"/>
  <c r="J1119" i="1"/>
  <c r="L1119" i="1" s="1"/>
  <c r="H1119" i="1"/>
  <c r="G1119" i="1"/>
  <c r="I1119" i="1" s="1"/>
  <c r="E1119" i="1"/>
  <c r="F1119" i="1" s="1"/>
  <c r="C1119" i="1"/>
  <c r="B1119" i="1"/>
  <c r="K1118" i="1"/>
  <c r="J1118" i="1"/>
  <c r="L1118" i="1" s="1"/>
  <c r="H1118" i="1"/>
  <c r="G1118" i="1"/>
  <c r="I1118" i="1" s="1"/>
  <c r="E1118" i="1"/>
  <c r="F1118" i="1" s="1"/>
  <c r="C1118" i="1"/>
  <c r="B1118" i="1"/>
  <c r="K1117" i="1"/>
  <c r="J1117" i="1"/>
  <c r="L1117" i="1" s="1"/>
  <c r="I1117" i="1"/>
  <c r="H1117" i="1"/>
  <c r="G1117" i="1"/>
  <c r="F1117" i="1"/>
  <c r="E1117" i="1"/>
  <c r="C1117" i="1"/>
  <c r="B1117" i="1"/>
  <c r="K1116" i="1"/>
  <c r="L1116" i="1" s="1"/>
  <c r="J1116" i="1"/>
  <c r="I1116" i="1"/>
  <c r="H1116" i="1"/>
  <c r="G1116" i="1"/>
  <c r="E1116" i="1"/>
  <c r="F1116" i="1" s="1"/>
  <c r="C1116" i="1"/>
  <c r="B1116" i="1"/>
  <c r="K1115" i="1"/>
  <c r="J1115" i="1"/>
  <c r="L1115" i="1" s="1"/>
  <c r="H1115" i="1"/>
  <c r="G1115" i="1"/>
  <c r="I1115" i="1" s="1"/>
  <c r="E1115" i="1"/>
  <c r="F1115" i="1" s="1"/>
  <c r="C1115" i="1"/>
  <c r="B1115" i="1"/>
  <c r="K1114" i="1"/>
  <c r="J1114" i="1"/>
  <c r="L1114" i="1" s="1"/>
  <c r="H1114" i="1"/>
  <c r="G1114" i="1"/>
  <c r="I1114" i="1" s="1"/>
  <c r="E1114" i="1"/>
  <c r="F1114" i="1" s="1"/>
  <c r="C1114" i="1"/>
  <c r="B1114" i="1"/>
  <c r="K1113" i="1"/>
  <c r="L1113" i="1" s="1"/>
  <c r="J1113" i="1"/>
  <c r="I1113" i="1"/>
  <c r="H1113" i="1"/>
  <c r="G1113" i="1"/>
  <c r="F1113" i="1"/>
  <c r="E1113" i="1"/>
  <c r="C1113" i="1"/>
  <c r="B1113" i="1"/>
  <c r="K1112" i="1"/>
  <c r="L1112" i="1" s="1"/>
  <c r="J1112" i="1"/>
  <c r="I1112" i="1"/>
  <c r="H1112" i="1"/>
  <c r="G1112" i="1"/>
  <c r="E1112" i="1"/>
  <c r="F1112" i="1" s="1"/>
  <c r="C1112" i="1"/>
  <c r="B1112" i="1"/>
  <c r="K1111" i="1"/>
  <c r="J1111" i="1"/>
  <c r="L1111" i="1" s="1"/>
  <c r="H1111" i="1"/>
  <c r="G1111" i="1"/>
  <c r="I1111" i="1" s="1"/>
  <c r="E1111" i="1"/>
  <c r="F1111" i="1" s="1"/>
  <c r="C1111" i="1"/>
  <c r="B1111" i="1"/>
  <c r="K1110" i="1"/>
  <c r="J1110" i="1"/>
  <c r="L1110" i="1" s="1"/>
  <c r="H1110" i="1"/>
  <c r="G1110" i="1"/>
  <c r="I1110" i="1" s="1"/>
  <c r="E1110" i="1"/>
  <c r="F1110" i="1" s="1"/>
  <c r="C1110" i="1"/>
  <c r="B1110" i="1"/>
  <c r="K1109" i="1"/>
  <c r="L1109" i="1" s="1"/>
  <c r="J1109" i="1"/>
  <c r="I1109" i="1"/>
  <c r="H1109" i="1"/>
  <c r="G1109" i="1"/>
  <c r="F1109" i="1"/>
  <c r="E1109" i="1"/>
  <c r="C1109" i="1"/>
  <c r="B1109" i="1"/>
  <c r="K1108" i="1"/>
  <c r="L1108" i="1" s="1"/>
  <c r="J1108" i="1"/>
  <c r="I1108" i="1"/>
  <c r="H1108" i="1"/>
  <c r="G1108" i="1"/>
  <c r="E1108" i="1"/>
  <c r="F1108" i="1" s="1"/>
  <c r="C1108" i="1"/>
  <c r="B1108" i="1"/>
  <c r="K1107" i="1"/>
  <c r="J1107" i="1"/>
  <c r="L1107" i="1" s="1"/>
  <c r="H1107" i="1"/>
  <c r="G1107" i="1"/>
  <c r="I1107" i="1" s="1"/>
  <c r="E1107" i="1"/>
  <c r="F1107" i="1" s="1"/>
  <c r="C1107" i="1"/>
  <c r="B1107" i="1"/>
  <c r="K1106" i="1"/>
  <c r="J1106" i="1"/>
  <c r="L1106" i="1" s="1"/>
  <c r="H1106" i="1"/>
  <c r="G1106" i="1"/>
  <c r="I1106" i="1" s="1"/>
  <c r="E1106" i="1"/>
  <c r="F1106" i="1" s="1"/>
  <c r="C1106" i="1"/>
  <c r="B1106" i="1"/>
  <c r="K1105" i="1"/>
  <c r="L1105" i="1" s="1"/>
  <c r="J1105" i="1"/>
  <c r="I1105" i="1"/>
  <c r="H1105" i="1"/>
  <c r="G1105" i="1"/>
  <c r="F1105" i="1"/>
  <c r="E1105" i="1"/>
  <c r="C1105" i="1"/>
  <c r="B1105" i="1"/>
  <c r="K1104" i="1"/>
  <c r="L1104" i="1" s="1"/>
  <c r="J1104" i="1"/>
  <c r="I1104" i="1"/>
  <c r="H1104" i="1"/>
  <c r="G1104" i="1"/>
  <c r="E1104" i="1"/>
  <c r="F1104" i="1" s="1"/>
  <c r="C1104" i="1"/>
  <c r="B1104" i="1"/>
  <c r="K1103" i="1"/>
  <c r="J1103" i="1"/>
  <c r="L1103" i="1" s="1"/>
  <c r="H1103" i="1"/>
  <c r="G1103" i="1"/>
  <c r="I1103" i="1" s="1"/>
  <c r="E1103" i="1"/>
  <c r="F1103" i="1" s="1"/>
  <c r="C1103" i="1"/>
  <c r="B1103" i="1"/>
  <c r="K1102" i="1"/>
  <c r="J1102" i="1"/>
  <c r="L1102" i="1" s="1"/>
  <c r="H1102" i="1"/>
  <c r="G1102" i="1"/>
  <c r="I1102" i="1" s="1"/>
  <c r="E1102" i="1"/>
  <c r="F1102" i="1" s="1"/>
  <c r="C1102" i="1"/>
  <c r="B1102" i="1"/>
  <c r="K1101" i="1"/>
  <c r="J1101" i="1"/>
  <c r="L1101" i="1" s="1"/>
  <c r="I1101" i="1"/>
  <c r="H1101" i="1"/>
  <c r="G1101" i="1"/>
  <c r="F1101" i="1"/>
  <c r="E1101" i="1"/>
  <c r="C1101" i="1"/>
  <c r="B1101" i="1"/>
  <c r="K1100" i="1"/>
  <c r="L1100" i="1" s="1"/>
  <c r="J1100" i="1"/>
  <c r="I1100" i="1"/>
  <c r="H1100" i="1"/>
  <c r="G1100" i="1"/>
  <c r="E1100" i="1"/>
  <c r="F1100" i="1" s="1"/>
  <c r="C1100" i="1"/>
  <c r="B1100" i="1"/>
  <c r="K1099" i="1"/>
  <c r="J1099" i="1"/>
  <c r="L1099" i="1" s="1"/>
  <c r="H1099" i="1"/>
  <c r="G1099" i="1"/>
  <c r="I1099" i="1" s="1"/>
  <c r="E1099" i="1"/>
  <c r="F1099" i="1" s="1"/>
  <c r="C1099" i="1"/>
  <c r="B1099" i="1"/>
  <c r="K1098" i="1"/>
  <c r="J1098" i="1"/>
  <c r="L1098" i="1" s="1"/>
  <c r="H1098" i="1"/>
  <c r="G1098" i="1"/>
  <c r="I1098" i="1" s="1"/>
  <c r="E1098" i="1"/>
  <c r="F1098" i="1" s="1"/>
  <c r="C1098" i="1"/>
  <c r="B1098" i="1"/>
  <c r="K1097" i="1"/>
  <c r="J1097" i="1"/>
  <c r="L1097" i="1" s="1"/>
  <c r="I1097" i="1"/>
  <c r="H1097" i="1"/>
  <c r="G1097" i="1"/>
  <c r="F1097" i="1"/>
  <c r="E1097" i="1"/>
  <c r="C1097" i="1"/>
  <c r="B1097" i="1"/>
  <c r="K1096" i="1"/>
  <c r="L1096" i="1" s="1"/>
  <c r="J1096" i="1"/>
  <c r="I1096" i="1"/>
  <c r="H1096" i="1"/>
  <c r="G1096" i="1"/>
  <c r="E1096" i="1"/>
  <c r="F1096" i="1" s="1"/>
  <c r="C1096" i="1"/>
  <c r="B1096" i="1"/>
  <c r="K1095" i="1"/>
  <c r="J1095" i="1"/>
  <c r="L1095" i="1" s="1"/>
  <c r="H1095" i="1"/>
  <c r="G1095" i="1"/>
  <c r="I1095" i="1" s="1"/>
  <c r="E1095" i="1"/>
  <c r="F1095" i="1" s="1"/>
  <c r="C1095" i="1"/>
  <c r="B1095" i="1"/>
  <c r="K1094" i="1"/>
  <c r="J1094" i="1"/>
  <c r="L1094" i="1" s="1"/>
  <c r="H1094" i="1"/>
  <c r="G1094" i="1"/>
  <c r="I1094" i="1" s="1"/>
  <c r="E1094" i="1"/>
  <c r="F1094" i="1" s="1"/>
  <c r="C1094" i="1"/>
  <c r="B1094" i="1"/>
  <c r="K1093" i="1"/>
  <c r="L1093" i="1" s="1"/>
  <c r="J1093" i="1"/>
  <c r="I1093" i="1"/>
  <c r="H1093" i="1"/>
  <c r="G1093" i="1"/>
  <c r="F1093" i="1"/>
  <c r="E1093" i="1"/>
  <c r="C1093" i="1"/>
  <c r="B1093" i="1"/>
  <c r="K1092" i="1"/>
  <c r="L1092" i="1" s="1"/>
  <c r="J1092" i="1"/>
  <c r="I1092" i="1"/>
  <c r="H1092" i="1"/>
  <c r="G1092" i="1"/>
  <c r="E1092" i="1"/>
  <c r="F1092" i="1" s="1"/>
  <c r="C1092" i="1"/>
  <c r="B1092" i="1"/>
  <c r="K1091" i="1"/>
  <c r="J1091" i="1"/>
  <c r="L1091" i="1" s="1"/>
  <c r="H1091" i="1"/>
  <c r="G1091" i="1"/>
  <c r="I1091" i="1" s="1"/>
  <c r="E1091" i="1"/>
  <c r="F1091" i="1" s="1"/>
  <c r="C1091" i="1"/>
  <c r="B1091" i="1"/>
  <c r="K1090" i="1"/>
  <c r="J1090" i="1"/>
  <c r="L1090" i="1" s="1"/>
  <c r="H1090" i="1"/>
  <c r="G1090" i="1"/>
  <c r="I1090" i="1" s="1"/>
  <c r="E1090" i="1"/>
  <c r="F1090" i="1" s="1"/>
  <c r="C1090" i="1"/>
  <c r="B1090" i="1"/>
  <c r="K1089" i="1"/>
  <c r="J1089" i="1"/>
  <c r="L1089" i="1" s="1"/>
  <c r="I1089" i="1"/>
  <c r="H1089" i="1"/>
  <c r="G1089" i="1"/>
  <c r="F1089" i="1"/>
  <c r="E1089" i="1"/>
  <c r="C1089" i="1"/>
  <c r="B1089" i="1"/>
  <c r="K1088" i="1"/>
  <c r="L1088" i="1" s="1"/>
  <c r="J1088" i="1"/>
  <c r="I1088" i="1"/>
  <c r="H1088" i="1"/>
  <c r="G1088" i="1"/>
  <c r="E1088" i="1"/>
  <c r="F1088" i="1" s="1"/>
  <c r="C1088" i="1"/>
  <c r="B1088" i="1"/>
  <c r="K1087" i="1"/>
  <c r="J1087" i="1"/>
  <c r="L1087" i="1" s="1"/>
  <c r="H1087" i="1"/>
  <c r="G1087" i="1"/>
  <c r="I1087" i="1" s="1"/>
  <c r="E1087" i="1"/>
  <c r="F1087" i="1" s="1"/>
  <c r="C1087" i="1"/>
  <c r="B1087" i="1"/>
  <c r="K1086" i="1"/>
  <c r="J1086" i="1"/>
  <c r="L1086" i="1" s="1"/>
  <c r="H1086" i="1"/>
  <c r="G1086" i="1"/>
  <c r="I1086" i="1" s="1"/>
  <c r="E1086" i="1"/>
  <c r="F1086" i="1" s="1"/>
  <c r="C1086" i="1"/>
  <c r="B1086" i="1"/>
  <c r="K1085" i="1"/>
  <c r="L1085" i="1" s="1"/>
  <c r="J1085" i="1"/>
  <c r="I1085" i="1"/>
  <c r="H1085" i="1"/>
  <c r="G1085" i="1"/>
  <c r="F1085" i="1"/>
  <c r="E1085" i="1"/>
  <c r="C1085" i="1"/>
  <c r="B1085" i="1"/>
  <c r="K1084" i="1"/>
  <c r="L1084" i="1" s="1"/>
  <c r="J1084" i="1"/>
  <c r="I1084" i="1"/>
  <c r="H1084" i="1"/>
  <c r="G1084" i="1"/>
  <c r="E1084" i="1"/>
  <c r="F1084" i="1" s="1"/>
  <c r="C1084" i="1"/>
  <c r="B1084" i="1"/>
  <c r="K1083" i="1"/>
  <c r="J1083" i="1"/>
  <c r="L1083" i="1" s="1"/>
  <c r="H1083" i="1"/>
  <c r="G1083" i="1"/>
  <c r="I1083" i="1" s="1"/>
  <c r="E1083" i="1"/>
  <c r="F1083" i="1" s="1"/>
  <c r="C1083" i="1"/>
  <c r="B1083" i="1"/>
  <c r="K1082" i="1"/>
  <c r="J1082" i="1"/>
  <c r="L1082" i="1" s="1"/>
  <c r="H1082" i="1"/>
  <c r="G1082" i="1"/>
  <c r="I1082" i="1" s="1"/>
  <c r="E1082" i="1"/>
  <c r="F1082" i="1" s="1"/>
  <c r="C1082" i="1"/>
  <c r="B1082" i="1"/>
  <c r="K1081" i="1"/>
  <c r="L1081" i="1" s="1"/>
  <c r="J1081" i="1"/>
  <c r="I1081" i="1"/>
  <c r="H1081" i="1"/>
  <c r="G1081" i="1"/>
  <c r="F1081" i="1"/>
  <c r="E1081" i="1"/>
  <c r="C1081" i="1"/>
  <c r="B1081" i="1"/>
  <c r="K1080" i="1"/>
  <c r="L1080" i="1" s="1"/>
  <c r="J1080" i="1"/>
  <c r="I1080" i="1"/>
  <c r="H1080" i="1"/>
  <c r="G1080" i="1"/>
  <c r="E1080" i="1"/>
  <c r="F1080" i="1" s="1"/>
  <c r="C1080" i="1"/>
  <c r="B1080" i="1"/>
  <c r="K1079" i="1"/>
  <c r="J1079" i="1"/>
  <c r="L1079" i="1" s="1"/>
  <c r="H1079" i="1"/>
  <c r="G1079" i="1"/>
  <c r="I1079" i="1" s="1"/>
  <c r="E1079" i="1"/>
  <c r="F1079" i="1" s="1"/>
  <c r="C1079" i="1"/>
  <c r="B1079" i="1"/>
  <c r="K1078" i="1"/>
  <c r="J1078" i="1"/>
  <c r="L1078" i="1" s="1"/>
  <c r="H1078" i="1"/>
  <c r="G1078" i="1"/>
  <c r="I1078" i="1" s="1"/>
  <c r="E1078" i="1"/>
  <c r="F1078" i="1" s="1"/>
  <c r="C1078" i="1"/>
  <c r="B1078" i="1"/>
  <c r="K1077" i="1"/>
  <c r="L1077" i="1" s="1"/>
  <c r="J1077" i="1"/>
  <c r="I1077" i="1"/>
  <c r="H1077" i="1"/>
  <c r="G1077" i="1"/>
  <c r="F1077" i="1"/>
  <c r="E1077" i="1"/>
  <c r="C1077" i="1"/>
  <c r="B1077" i="1"/>
  <c r="K1076" i="1"/>
  <c r="L1076" i="1" s="1"/>
  <c r="J1076" i="1"/>
  <c r="I1076" i="1"/>
  <c r="H1076" i="1"/>
  <c r="G1076" i="1"/>
  <c r="E1076" i="1"/>
  <c r="F1076" i="1" s="1"/>
  <c r="C1076" i="1"/>
  <c r="B1076" i="1"/>
  <c r="K1075" i="1"/>
  <c r="J1075" i="1"/>
  <c r="L1075" i="1" s="1"/>
  <c r="H1075" i="1"/>
  <c r="G1075" i="1"/>
  <c r="I1075" i="1" s="1"/>
  <c r="E1075" i="1"/>
  <c r="F1075" i="1" s="1"/>
  <c r="C1075" i="1"/>
  <c r="B1075" i="1"/>
  <c r="K1074" i="1"/>
  <c r="J1074" i="1"/>
  <c r="L1074" i="1" s="1"/>
  <c r="H1074" i="1"/>
  <c r="G1074" i="1"/>
  <c r="I1074" i="1" s="1"/>
  <c r="E1074" i="1"/>
  <c r="F1074" i="1" s="1"/>
  <c r="C1074" i="1"/>
  <c r="B1074" i="1"/>
  <c r="K1073" i="1"/>
  <c r="L1073" i="1" s="1"/>
  <c r="J1073" i="1"/>
  <c r="I1073" i="1"/>
  <c r="H1073" i="1"/>
  <c r="G1073" i="1"/>
  <c r="F1073" i="1"/>
  <c r="E1073" i="1"/>
  <c r="C1073" i="1"/>
  <c r="B1073" i="1"/>
  <c r="K1072" i="1"/>
  <c r="L1072" i="1" s="1"/>
  <c r="J1072" i="1"/>
  <c r="I1072" i="1"/>
  <c r="H1072" i="1"/>
  <c r="G1072" i="1"/>
  <c r="E1072" i="1"/>
  <c r="F1072" i="1" s="1"/>
  <c r="C1072" i="1"/>
  <c r="B1072" i="1"/>
  <c r="K1071" i="1"/>
  <c r="J1071" i="1"/>
  <c r="L1071" i="1" s="1"/>
  <c r="H1071" i="1"/>
  <c r="G1071" i="1"/>
  <c r="I1071" i="1" s="1"/>
  <c r="E1071" i="1"/>
  <c r="F1071" i="1" s="1"/>
  <c r="C1071" i="1"/>
  <c r="B1071" i="1"/>
  <c r="K1070" i="1"/>
  <c r="J1070" i="1"/>
  <c r="L1070" i="1" s="1"/>
  <c r="H1070" i="1"/>
  <c r="G1070" i="1"/>
  <c r="I1070" i="1" s="1"/>
  <c r="E1070" i="1"/>
  <c r="F1070" i="1" s="1"/>
  <c r="C1070" i="1"/>
  <c r="B1070" i="1"/>
  <c r="K1069" i="1"/>
  <c r="J1069" i="1"/>
  <c r="L1069" i="1" s="1"/>
  <c r="I1069" i="1"/>
  <c r="H1069" i="1"/>
  <c r="G1069" i="1"/>
  <c r="F1069" i="1"/>
  <c r="E1069" i="1"/>
  <c r="C1069" i="1"/>
  <c r="B1069" i="1"/>
  <c r="K1068" i="1"/>
  <c r="L1068" i="1" s="1"/>
  <c r="J1068" i="1"/>
  <c r="I1068" i="1"/>
  <c r="H1068" i="1"/>
  <c r="G1068" i="1"/>
  <c r="E1068" i="1"/>
  <c r="F1068" i="1" s="1"/>
  <c r="C1068" i="1"/>
  <c r="B1068" i="1"/>
  <c r="K1067" i="1"/>
  <c r="J1067" i="1"/>
  <c r="L1067" i="1" s="1"/>
  <c r="H1067" i="1"/>
  <c r="G1067" i="1"/>
  <c r="I1067" i="1" s="1"/>
  <c r="E1067" i="1"/>
  <c r="F1067" i="1" s="1"/>
  <c r="C1067" i="1"/>
  <c r="B1067" i="1"/>
  <c r="K1066" i="1"/>
  <c r="J1066" i="1"/>
  <c r="L1066" i="1" s="1"/>
  <c r="H1066" i="1"/>
  <c r="G1066" i="1"/>
  <c r="I1066" i="1" s="1"/>
  <c r="E1066" i="1"/>
  <c r="F1066" i="1" s="1"/>
  <c r="C1066" i="1"/>
  <c r="B1066" i="1"/>
  <c r="K1065" i="1"/>
  <c r="L1065" i="1" s="1"/>
  <c r="J1065" i="1"/>
  <c r="I1065" i="1"/>
  <c r="H1065" i="1"/>
  <c r="G1065" i="1"/>
  <c r="F1065" i="1"/>
  <c r="E1065" i="1"/>
  <c r="C1065" i="1"/>
  <c r="B1065" i="1"/>
  <c r="K1064" i="1"/>
  <c r="L1064" i="1" s="1"/>
  <c r="J1064" i="1"/>
  <c r="I1064" i="1"/>
  <c r="H1064" i="1"/>
  <c r="G1064" i="1"/>
  <c r="E1064" i="1"/>
  <c r="F1064" i="1" s="1"/>
  <c r="C1064" i="1"/>
  <c r="B1064" i="1"/>
  <c r="K1063" i="1"/>
  <c r="J1063" i="1"/>
  <c r="L1063" i="1" s="1"/>
  <c r="H1063" i="1"/>
  <c r="G1063" i="1"/>
  <c r="I1063" i="1" s="1"/>
  <c r="E1063" i="1"/>
  <c r="F1063" i="1" s="1"/>
  <c r="C1063" i="1"/>
  <c r="B1063" i="1"/>
  <c r="K1062" i="1"/>
  <c r="J1062" i="1"/>
  <c r="L1062" i="1" s="1"/>
  <c r="H1062" i="1"/>
  <c r="G1062" i="1"/>
  <c r="I1062" i="1" s="1"/>
  <c r="E1062" i="1"/>
  <c r="F1062" i="1" s="1"/>
  <c r="C1062" i="1"/>
  <c r="B1062" i="1"/>
  <c r="K1061" i="1"/>
  <c r="L1061" i="1" s="1"/>
  <c r="J1061" i="1"/>
  <c r="I1061" i="1"/>
  <c r="H1061" i="1"/>
  <c r="G1061" i="1"/>
  <c r="F1061" i="1"/>
  <c r="E1061" i="1"/>
  <c r="C1061" i="1"/>
  <c r="B1061" i="1"/>
  <c r="K1060" i="1"/>
  <c r="L1060" i="1" s="1"/>
  <c r="J1060" i="1"/>
  <c r="I1060" i="1"/>
  <c r="H1060" i="1"/>
  <c r="G1060" i="1"/>
  <c r="E1060" i="1"/>
  <c r="F1060" i="1" s="1"/>
  <c r="C1060" i="1"/>
  <c r="B1060" i="1"/>
  <c r="K1059" i="1"/>
  <c r="J1059" i="1"/>
  <c r="L1059" i="1" s="1"/>
  <c r="H1059" i="1"/>
  <c r="G1059" i="1"/>
  <c r="I1059" i="1" s="1"/>
  <c r="E1059" i="1"/>
  <c r="F1059" i="1" s="1"/>
  <c r="C1059" i="1"/>
  <c r="B1059" i="1"/>
  <c r="K1058" i="1"/>
  <c r="J1058" i="1"/>
  <c r="L1058" i="1" s="1"/>
  <c r="H1058" i="1"/>
  <c r="G1058" i="1"/>
  <c r="I1058" i="1" s="1"/>
  <c r="E1058" i="1"/>
  <c r="F1058" i="1" s="1"/>
  <c r="C1058" i="1"/>
  <c r="B1058" i="1"/>
  <c r="K1057" i="1"/>
  <c r="L1057" i="1" s="1"/>
  <c r="J1057" i="1"/>
  <c r="I1057" i="1"/>
  <c r="H1057" i="1"/>
  <c r="G1057" i="1"/>
  <c r="F1057" i="1"/>
  <c r="E1057" i="1"/>
  <c r="C1057" i="1"/>
  <c r="B1057" i="1"/>
  <c r="K1056" i="1"/>
  <c r="L1056" i="1" s="1"/>
  <c r="J1056" i="1"/>
  <c r="I1056" i="1"/>
  <c r="H1056" i="1"/>
  <c r="G1056" i="1"/>
  <c r="E1056" i="1"/>
  <c r="F1056" i="1" s="1"/>
  <c r="C1056" i="1"/>
  <c r="B1056" i="1"/>
  <c r="K1055" i="1"/>
  <c r="J1055" i="1"/>
  <c r="L1055" i="1" s="1"/>
  <c r="H1055" i="1"/>
  <c r="G1055" i="1"/>
  <c r="I1055" i="1" s="1"/>
  <c r="E1055" i="1"/>
  <c r="F1055" i="1" s="1"/>
  <c r="C1055" i="1"/>
  <c r="B1055" i="1"/>
  <c r="K1054" i="1"/>
  <c r="J1054" i="1"/>
  <c r="L1054" i="1" s="1"/>
  <c r="H1054" i="1"/>
  <c r="G1054" i="1"/>
  <c r="I1054" i="1" s="1"/>
  <c r="E1054" i="1"/>
  <c r="F1054" i="1" s="1"/>
  <c r="C1054" i="1"/>
  <c r="B1054" i="1"/>
  <c r="K1053" i="1"/>
  <c r="L1053" i="1" s="1"/>
  <c r="J1053" i="1"/>
  <c r="I1053" i="1"/>
  <c r="H1053" i="1"/>
  <c r="G1053" i="1"/>
  <c r="F1053" i="1"/>
  <c r="E1053" i="1"/>
  <c r="C1053" i="1"/>
  <c r="B1053" i="1"/>
  <c r="K1052" i="1"/>
  <c r="L1052" i="1" s="1"/>
  <c r="J1052" i="1"/>
  <c r="I1052" i="1"/>
  <c r="H1052" i="1"/>
  <c r="G1052" i="1"/>
  <c r="E1052" i="1"/>
  <c r="F1052" i="1" s="1"/>
  <c r="C1052" i="1"/>
  <c r="B1052" i="1"/>
  <c r="K1051" i="1"/>
  <c r="J1051" i="1"/>
  <c r="L1051" i="1" s="1"/>
  <c r="H1051" i="1"/>
  <c r="G1051" i="1"/>
  <c r="I1051" i="1" s="1"/>
  <c r="E1051" i="1"/>
  <c r="F1051" i="1" s="1"/>
  <c r="C1051" i="1"/>
  <c r="B1051" i="1"/>
  <c r="K1050" i="1"/>
  <c r="J1050" i="1"/>
  <c r="L1050" i="1" s="1"/>
  <c r="H1050" i="1"/>
  <c r="G1050" i="1"/>
  <c r="I1050" i="1" s="1"/>
  <c r="E1050" i="1"/>
  <c r="F1050" i="1" s="1"/>
  <c r="C1050" i="1"/>
  <c r="B1050" i="1"/>
  <c r="K1049" i="1"/>
  <c r="L1049" i="1" s="1"/>
  <c r="J1049" i="1"/>
  <c r="I1049" i="1"/>
  <c r="H1049" i="1"/>
  <c r="G1049" i="1"/>
  <c r="F1049" i="1"/>
  <c r="E1049" i="1"/>
  <c r="C1049" i="1"/>
  <c r="B1049" i="1"/>
  <c r="K1048" i="1"/>
  <c r="L1048" i="1" s="1"/>
  <c r="J1048" i="1"/>
  <c r="I1048" i="1"/>
  <c r="H1048" i="1"/>
  <c r="G1048" i="1"/>
  <c r="E1048" i="1"/>
  <c r="F1048" i="1" s="1"/>
  <c r="C1048" i="1"/>
  <c r="B1048" i="1"/>
  <c r="K1047" i="1"/>
  <c r="J1047" i="1"/>
  <c r="L1047" i="1" s="1"/>
  <c r="H1047" i="1"/>
  <c r="G1047" i="1"/>
  <c r="I1047" i="1" s="1"/>
  <c r="E1047" i="1"/>
  <c r="F1047" i="1" s="1"/>
  <c r="C1047" i="1"/>
  <c r="B1047" i="1"/>
  <c r="K1046" i="1"/>
  <c r="J1046" i="1"/>
  <c r="L1046" i="1" s="1"/>
  <c r="H1046" i="1"/>
  <c r="G1046" i="1"/>
  <c r="I1046" i="1" s="1"/>
  <c r="E1046" i="1"/>
  <c r="F1046" i="1" s="1"/>
  <c r="C1046" i="1"/>
  <c r="B1046" i="1"/>
  <c r="K1045" i="1"/>
  <c r="L1045" i="1" s="1"/>
  <c r="J1045" i="1"/>
  <c r="I1045" i="1"/>
  <c r="H1045" i="1"/>
  <c r="G1045" i="1"/>
  <c r="F1045" i="1"/>
  <c r="E1045" i="1"/>
  <c r="C1045" i="1"/>
  <c r="B1045" i="1"/>
  <c r="K1044" i="1"/>
  <c r="L1044" i="1" s="1"/>
  <c r="J1044" i="1"/>
  <c r="I1044" i="1"/>
  <c r="H1044" i="1"/>
  <c r="G1044" i="1"/>
  <c r="E1044" i="1"/>
  <c r="F1044" i="1" s="1"/>
  <c r="C1044" i="1"/>
  <c r="B1044" i="1"/>
  <c r="K1043" i="1"/>
  <c r="J1043" i="1"/>
  <c r="L1043" i="1" s="1"/>
  <c r="H1043" i="1"/>
  <c r="G1043" i="1"/>
  <c r="I1043" i="1" s="1"/>
  <c r="E1043" i="1"/>
  <c r="F1043" i="1" s="1"/>
  <c r="C1043" i="1"/>
  <c r="B1043" i="1"/>
  <c r="K1042" i="1"/>
  <c r="J1042" i="1"/>
  <c r="L1042" i="1" s="1"/>
  <c r="H1042" i="1"/>
  <c r="G1042" i="1"/>
  <c r="I1042" i="1" s="1"/>
  <c r="E1042" i="1"/>
  <c r="F1042" i="1" s="1"/>
  <c r="C1042" i="1"/>
  <c r="B1042" i="1"/>
  <c r="K1041" i="1"/>
  <c r="L1041" i="1" s="1"/>
  <c r="J1041" i="1"/>
  <c r="I1041" i="1"/>
  <c r="H1041" i="1"/>
  <c r="G1041" i="1"/>
  <c r="F1041" i="1"/>
  <c r="E1041" i="1"/>
  <c r="C1041" i="1"/>
  <c r="B1041" i="1"/>
  <c r="K1040" i="1"/>
  <c r="L1040" i="1" s="1"/>
  <c r="J1040" i="1"/>
  <c r="I1040" i="1"/>
  <c r="H1040" i="1"/>
  <c r="G1040" i="1"/>
  <c r="E1040" i="1"/>
  <c r="F1040" i="1" s="1"/>
  <c r="C1040" i="1"/>
  <c r="B1040" i="1"/>
  <c r="K1039" i="1"/>
  <c r="J1039" i="1"/>
  <c r="L1039" i="1" s="1"/>
  <c r="H1039" i="1"/>
  <c r="G1039" i="1"/>
  <c r="I1039" i="1" s="1"/>
  <c r="E1039" i="1"/>
  <c r="F1039" i="1" s="1"/>
  <c r="C1039" i="1"/>
  <c r="B1039" i="1"/>
  <c r="K1038" i="1"/>
  <c r="J1038" i="1"/>
  <c r="L1038" i="1" s="1"/>
  <c r="H1038" i="1"/>
  <c r="G1038" i="1"/>
  <c r="I1038" i="1" s="1"/>
  <c r="E1038" i="1"/>
  <c r="F1038" i="1" s="1"/>
  <c r="C1038" i="1"/>
  <c r="B1038" i="1"/>
  <c r="K1037" i="1"/>
  <c r="L1037" i="1" s="1"/>
  <c r="J1037" i="1"/>
  <c r="I1037" i="1"/>
  <c r="H1037" i="1"/>
  <c r="G1037" i="1"/>
  <c r="F1037" i="1"/>
  <c r="E1037" i="1"/>
  <c r="C1037" i="1"/>
  <c r="B1037" i="1"/>
  <c r="K1036" i="1"/>
  <c r="L1036" i="1" s="1"/>
  <c r="J1036" i="1"/>
  <c r="I1036" i="1"/>
  <c r="H1036" i="1"/>
  <c r="G1036" i="1"/>
  <c r="E1036" i="1"/>
  <c r="F1036" i="1" s="1"/>
  <c r="C1036" i="1"/>
  <c r="B1036" i="1"/>
  <c r="K1035" i="1"/>
  <c r="J1035" i="1"/>
  <c r="L1035" i="1" s="1"/>
  <c r="H1035" i="1"/>
  <c r="G1035" i="1"/>
  <c r="I1035" i="1" s="1"/>
  <c r="E1035" i="1"/>
  <c r="F1035" i="1" s="1"/>
  <c r="C1035" i="1"/>
  <c r="B1035" i="1"/>
  <c r="K1034" i="1"/>
  <c r="J1034" i="1"/>
  <c r="L1034" i="1" s="1"/>
  <c r="H1034" i="1"/>
  <c r="G1034" i="1"/>
  <c r="I1034" i="1" s="1"/>
  <c r="E1034" i="1"/>
  <c r="F1034" i="1" s="1"/>
  <c r="C1034" i="1"/>
  <c r="B1034" i="1"/>
  <c r="K1033" i="1"/>
  <c r="J1033" i="1"/>
  <c r="L1033" i="1" s="1"/>
  <c r="I1033" i="1"/>
  <c r="H1033" i="1"/>
  <c r="G1033" i="1"/>
  <c r="F1033" i="1"/>
  <c r="E1033" i="1"/>
  <c r="C1033" i="1"/>
  <c r="B1033" i="1"/>
  <c r="K1032" i="1"/>
  <c r="L1032" i="1" s="1"/>
  <c r="J1032" i="1"/>
  <c r="I1032" i="1"/>
  <c r="H1032" i="1"/>
  <c r="G1032" i="1"/>
  <c r="E1032" i="1"/>
  <c r="F1032" i="1" s="1"/>
  <c r="C1032" i="1"/>
  <c r="B1032" i="1"/>
  <c r="K1031" i="1"/>
  <c r="J1031" i="1"/>
  <c r="L1031" i="1" s="1"/>
  <c r="H1031" i="1"/>
  <c r="G1031" i="1"/>
  <c r="I1031" i="1" s="1"/>
  <c r="E1031" i="1"/>
  <c r="F1031" i="1" s="1"/>
  <c r="C1031" i="1"/>
  <c r="B1031" i="1"/>
  <c r="K1030" i="1"/>
  <c r="J1030" i="1"/>
  <c r="L1030" i="1" s="1"/>
  <c r="H1030" i="1"/>
  <c r="G1030" i="1"/>
  <c r="I1030" i="1" s="1"/>
  <c r="E1030" i="1"/>
  <c r="F1030" i="1" s="1"/>
  <c r="C1030" i="1"/>
  <c r="B1030" i="1"/>
  <c r="K1029" i="1"/>
  <c r="L1029" i="1" s="1"/>
  <c r="J1029" i="1"/>
  <c r="I1029" i="1"/>
  <c r="H1029" i="1"/>
  <c r="G1029" i="1"/>
  <c r="E1029" i="1"/>
  <c r="F1029" i="1" s="1"/>
  <c r="C1029" i="1"/>
  <c r="B1029" i="1"/>
  <c r="K1028" i="1"/>
  <c r="L1028" i="1" s="1"/>
  <c r="J1028" i="1"/>
  <c r="I1028" i="1"/>
  <c r="H1028" i="1"/>
  <c r="G1028" i="1"/>
  <c r="E1028" i="1"/>
  <c r="F1028" i="1" s="1"/>
  <c r="C1028" i="1"/>
  <c r="B1028" i="1"/>
  <c r="K1027" i="1"/>
  <c r="J1027" i="1"/>
  <c r="L1027" i="1" s="1"/>
  <c r="H1027" i="1"/>
  <c r="G1027" i="1"/>
  <c r="I1027" i="1" s="1"/>
  <c r="E1027" i="1"/>
  <c r="F1027" i="1" s="1"/>
  <c r="C1027" i="1"/>
  <c r="B1027" i="1"/>
  <c r="K1026" i="1"/>
  <c r="J1026" i="1"/>
  <c r="L1026" i="1" s="1"/>
  <c r="H1026" i="1"/>
  <c r="G1026" i="1"/>
  <c r="I1026" i="1" s="1"/>
  <c r="E1026" i="1"/>
  <c r="F1026" i="1" s="1"/>
  <c r="C1026" i="1"/>
  <c r="B1026" i="1"/>
  <c r="K1025" i="1"/>
  <c r="J1025" i="1"/>
  <c r="L1025" i="1" s="1"/>
  <c r="I1025" i="1"/>
  <c r="H1025" i="1"/>
  <c r="G1025" i="1"/>
  <c r="F1025" i="1"/>
  <c r="E1025" i="1"/>
  <c r="C1025" i="1"/>
  <c r="B1025" i="1"/>
  <c r="K1024" i="1"/>
  <c r="L1024" i="1" s="1"/>
  <c r="J1024" i="1"/>
  <c r="I1024" i="1"/>
  <c r="H1024" i="1"/>
  <c r="G1024" i="1"/>
  <c r="E1024" i="1"/>
  <c r="F1024" i="1" s="1"/>
  <c r="C1024" i="1"/>
  <c r="B1024" i="1"/>
  <c r="K1023" i="1"/>
  <c r="J1023" i="1"/>
  <c r="L1023" i="1" s="1"/>
  <c r="H1023" i="1"/>
  <c r="G1023" i="1"/>
  <c r="I1023" i="1" s="1"/>
  <c r="E1023" i="1"/>
  <c r="F1023" i="1" s="1"/>
  <c r="C1023" i="1"/>
  <c r="B1023" i="1"/>
  <c r="K1022" i="1"/>
  <c r="J1022" i="1"/>
  <c r="L1022" i="1" s="1"/>
  <c r="H1022" i="1"/>
  <c r="G1022" i="1"/>
  <c r="I1022" i="1" s="1"/>
  <c r="E1022" i="1"/>
  <c r="F1022" i="1" s="1"/>
  <c r="C1022" i="1"/>
  <c r="B1022" i="1"/>
  <c r="K1021" i="1"/>
  <c r="L1021" i="1" s="1"/>
  <c r="J1021" i="1"/>
  <c r="I1021" i="1"/>
  <c r="H1021" i="1"/>
  <c r="G1021" i="1"/>
  <c r="F1021" i="1"/>
  <c r="E1021" i="1"/>
  <c r="C1021" i="1"/>
  <c r="B1021" i="1"/>
  <c r="K1020" i="1"/>
  <c r="L1020" i="1" s="1"/>
  <c r="J1020" i="1"/>
  <c r="I1020" i="1"/>
  <c r="H1020" i="1"/>
  <c r="G1020" i="1"/>
  <c r="E1020" i="1"/>
  <c r="F1020" i="1" s="1"/>
  <c r="C1020" i="1"/>
  <c r="B1020" i="1"/>
  <c r="K1019" i="1"/>
  <c r="J1019" i="1"/>
  <c r="L1019" i="1" s="1"/>
  <c r="H1019" i="1"/>
  <c r="G1019" i="1"/>
  <c r="I1019" i="1" s="1"/>
  <c r="E1019" i="1"/>
  <c r="F1019" i="1" s="1"/>
  <c r="C1019" i="1"/>
  <c r="B1019" i="1"/>
  <c r="K1018" i="1"/>
  <c r="J1018" i="1"/>
  <c r="L1018" i="1" s="1"/>
  <c r="H1018" i="1"/>
  <c r="G1018" i="1"/>
  <c r="I1018" i="1" s="1"/>
  <c r="E1018" i="1"/>
  <c r="F1018" i="1" s="1"/>
  <c r="C1018" i="1"/>
  <c r="B1018" i="1"/>
  <c r="K1017" i="1"/>
  <c r="L1017" i="1" s="1"/>
  <c r="J1017" i="1"/>
  <c r="I1017" i="1"/>
  <c r="H1017" i="1"/>
  <c r="G1017" i="1"/>
  <c r="F1017" i="1"/>
  <c r="E1017" i="1"/>
  <c r="C1017" i="1"/>
  <c r="B1017" i="1"/>
  <c r="K1016" i="1"/>
  <c r="L1016" i="1" s="1"/>
  <c r="J1016" i="1"/>
  <c r="I1016" i="1"/>
  <c r="H1016" i="1"/>
  <c r="G1016" i="1"/>
  <c r="E1016" i="1"/>
  <c r="F1016" i="1" s="1"/>
  <c r="C1016" i="1"/>
  <c r="B1016" i="1"/>
  <c r="K1015" i="1"/>
  <c r="J1015" i="1"/>
  <c r="L1015" i="1" s="1"/>
  <c r="H1015" i="1"/>
  <c r="G1015" i="1"/>
  <c r="I1015" i="1" s="1"/>
  <c r="E1015" i="1"/>
  <c r="F1015" i="1" s="1"/>
  <c r="C1015" i="1"/>
  <c r="B1015" i="1"/>
  <c r="K1014" i="1"/>
  <c r="J1014" i="1"/>
  <c r="L1014" i="1" s="1"/>
  <c r="H1014" i="1"/>
  <c r="G1014" i="1"/>
  <c r="I1014" i="1" s="1"/>
  <c r="E1014" i="1"/>
  <c r="F1014" i="1" s="1"/>
  <c r="C1014" i="1"/>
  <c r="B1014" i="1"/>
  <c r="K1013" i="1"/>
  <c r="L1013" i="1" s="1"/>
  <c r="J1013" i="1"/>
  <c r="I1013" i="1"/>
  <c r="H1013" i="1"/>
  <c r="G1013" i="1"/>
  <c r="F1013" i="1"/>
  <c r="E1013" i="1"/>
  <c r="C1013" i="1"/>
  <c r="B1013" i="1"/>
  <c r="K1012" i="1"/>
  <c r="L1012" i="1" s="1"/>
  <c r="J1012" i="1"/>
  <c r="I1012" i="1"/>
  <c r="H1012" i="1"/>
  <c r="G1012" i="1"/>
  <c r="E1012" i="1"/>
  <c r="F1012" i="1" s="1"/>
  <c r="C1012" i="1"/>
  <c r="B1012" i="1"/>
  <c r="K1011" i="1"/>
  <c r="J1011" i="1"/>
  <c r="L1011" i="1" s="1"/>
  <c r="H1011" i="1"/>
  <c r="G1011" i="1"/>
  <c r="I1011" i="1" s="1"/>
  <c r="E1011" i="1"/>
  <c r="F1011" i="1" s="1"/>
  <c r="C1011" i="1"/>
  <c r="B1011" i="1"/>
  <c r="K1010" i="1"/>
  <c r="J1010" i="1"/>
  <c r="L1010" i="1" s="1"/>
  <c r="H1010" i="1"/>
  <c r="G1010" i="1"/>
  <c r="I1010" i="1" s="1"/>
  <c r="E1010" i="1"/>
  <c r="F1010" i="1" s="1"/>
  <c r="C1010" i="1"/>
  <c r="B1010" i="1"/>
  <c r="K1009" i="1"/>
  <c r="L1009" i="1" s="1"/>
  <c r="J1009" i="1"/>
  <c r="I1009" i="1"/>
  <c r="H1009" i="1"/>
  <c r="G1009" i="1"/>
  <c r="E1009" i="1"/>
  <c r="F1009" i="1" s="1"/>
  <c r="C1009" i="1"/>
  <c r="B1009" i="1"/>
  <c r="K1008" i="1"/>
  <c r="L1008" i="1" s="1"/>
  <c r="J1008" i="1"/>
  <c r="I1008" i="1"/>
  <c r="H1008" i="1"/>
  <c r="G1008" i="1"/>
  <c r="E1008" i="1"/>
  <c r="F1008" i="1" s="1"/>
  <c r="C1008" i="1"/>
  <c r="B1008" i="1"/>
  <c r="K1007" i="1"/>
  <c r="J1007" i="1"/>
  <c r="H1007" i="1"/>
  <c r="G1007" i="1"/>
  <c r="I1007" i="1" s="1"/>
  <c r="E1007" i="1"/>
  <c r="F1007" i="1" s="1"/>
  <c r="C1007" i="1"/>
  <c r="B1007" i="1"/>
  <c r="K1006" i="1"/>
  <c r="J1006" i="1"/>
  <c r="L1006" i="1" s="1"/>
  <c r="H1006" i="1"/>
  <c r="G1006" i="1"/>
  <c r="I1006" i="1" s="1"/>
  <c r="E1006" i="1"/>
  <c r="F1006" i="1" s="1"/>
  <c r="C1006" i="1"/>
  <c r="B1006" i="1"/>
  <c r="L1005" i="1"/>
  <c r="K1005" i="1"/>
  <c r="J1005" i="1"/>
  <c r="H1005" i="1"/>
  <c r="G1005" i="1"/>
  <c r="I1005" i="1" s="1"/>
  <c r="E1005" i="1"/>
  <c r="F1005" i="1" s="1"/>
  <c r="C1005" i="1"/>
  <c r="B1005" i="1"/>
  <c r="K1004" i="1"/>
  <c r="L1004" i="1" s="1"/>
  <c r="J1004" i="1"/>
  <c r="I1004" i="1"/>
  <c r="H1004" i="1"/>
  <c r="G1004" i="1"/>
  <c r="E1004" i="1"/>
  <c r="F1004" i="1" s="1"/>
  <c r="C1004" i="1"/>
  <c r="B1004" i="1"/>
  <c r="K1003" i="1"/>
  <c r="J1003" i="1"/>
  <c r="H1003" i="1"/>
  <c r="G1003" i="1"/>
  <c r="I1003" i="1" s="1"/>
  <c r="E1003" i="1"/>
  <c r="F1003" i="1" s="1"/>
  <c r="C1003" i="1"/>
  <c r="B1003" i="1"/>
  <c r="K1002" i="1"/>
  <c r="J1002" i="1"/>
  <c r="L1002" i="1" s="1"/>
  <c r="H1002" i="1"/>
  <c r="I1002" i="1" s="1"/>
  <c r="G1002" i="1"/>
  <c r="E1002" i="1"/>
  <c r="F1002" i="1" s="1"/>
  <c r="C1002" i="1"/>
  <c r="B1002" i="1"/>
  <c r="K1001" i="1"/>
  <c r="J1001" i="1"/>
  <c r="L1001" i="1" s="1"/>
  <c r="I1001" i="1"/>
  <c r="H1001" i="1"/>
  <c r="G1001" i="1"/>
  <c r="E1001" i="1"/>
  <c r="F1001" i="1" s="1"/>
  <c r="C1001" i="1"/>
  <c r="B1001" i="1"/>
  <c r="K1000" i="1"/>
  <c r="L1000" i="1" s="1"/>
  <c r="J1000" i="1"/>
  <c r="I1000" i="1"/>
  <c r="H1000" i="1"/>
  <c r="G1000" i="1"/>
  <c r="F1000" i="1"/>
  <c r="E1000" i="1"/>
  <c r="C1000" i="1"/>
  <c r="B1000" i="1"/>
  <c r="K999" i="1"/>
  <c r="J999" i="1"/>
  <c r="H999" i="1"/>
  <c r="G999" i="1"/>
  <c r="I999" i="1" s="1"/>
  <c r="F999" i="1"/>
  <c r="E999" i="1"/>
  <c r="C999" i="1"/>
  <c r="B999" i="1"/>
  <c r="K998" i="1"/>
  <c r="J998" i="1"/>
  <c r="L998" i="1" s="1"/>
  <c r="H998" i="1"/>
  <c r="G998" i="1"/>
  <c r="I998" i="1" s="1"/>
  <c r="E998" i="1"/>
  <c r="F998" i="1" s="1"/>
  <c r="C998" i="1"/>
  <c r="B998" i="1"/>
  <c r="L997" i="1"/>
  <c r="K997" i="1"/>
  <c r="J997" i="1"/>
  <c r="I997" i="1"/>
  <c r="H997" i="1"/>
  <c r="G997" i="1"/>
  <c r="E997" i="1"/>
  <c r="F997" i="1" s="1"/>
  <c r="C997" i="1"/>
  <c r="B997" i="1"/>
  <c r="K996" i="1"/>
  <c r="L996" i="1" s="1"/>
  <c r="J996" i="1"/>
  <c r="I996" i="1"/>
  <c r="H996" i="1"/>
  <c r="G996" i="1"/>
  <c r="E996" i="1"/>
  <c r="F996" i="1" s="1"/>
  <c r="C996" i="1"/>
  <c r="B996" i="1"/>
  <c r="K995" i="1"/>
  <c r="J995" i="1"/>
  <c r="H995" i="1"/>
  <c r="G995" i="1"/>
  <c r="E995" i="1"/>
  <c r="F995" i="1" s="1"/>
  <c r="C995" i="1"/>
  <c r="B995" i="1"/>
  <c r="K994" i="1"/>
  <c r="J994" i="1"/>
  <c r="L994" i="1" s="1"/>
  <c r="H994" i="1"/>
  <c r="G994" i="1"/>
  <c r="I994" i="1" s="1"/>
  <c r="E994" i="1"/>
  <c r="F994" i="1" s="1"/>
  <c r="C994" i="1"/>
  <c r="B994" i="1"/>
  <c r="L993" i="1"/>
  <c r="K993" i="1"/>
  <c r="J993" i="1"/>
  <c r="H993" i="1"/>
  <c r="G993" i="1"/>
  <c r="I993" i="1" s="1"/>
  <c r="E993" i="1"/>
  <c r="F993" i="1" s="1"/>
  <c r="C993" i="1"/>
  <c r="B993" i="1"/>
  <c r="L992" i="1"/>
  <c r="K992" i="1"/>
  <c r="J992" i="1"/>
  <c r="I992" i="1"/>
  <c r="H992" i="1"/>
  <c r="G992" i="1"/>
  <c r="E992" i="1"/>
  <c r="F992" i="1" s="1"/>
  <c r="C992" i="1"/>
  <c r="B992" i="1"/>
  <c r="K991" i="1"/>
  <c r="J991" i="1"/>
  <c r="L991" i="1" s="1"/>
  <c r="H991" i="1"/>
  <c r="G991" i="1"/>
  <c r="E991" i="1"/>
  <c r="F991" i="1" s="1"/>
  <c r="C991" i="1"/>
  <c r="B991" i="1"/>
  <c r="K990" i="1"/>
  <c r="J990" i="1"/>
  <c r="L990" i="1" s="1"/>
  <c r="I990" i="1"/>
  <c r="H990" i="1"/>
  <c r="G990" i="1"/>
  <c r="E990" i="1"/>
  <c r="F990" i="1" s="1"/>
  <c r="C990" i="1"/>
  <c r="B990" i="1"/>
  <c r="K989" i="1"/>
  <c r="J989" i="1"/>
  <c r="L989" i="1" s="1"/>
  <c r="H989" i="1"/>
  <c r="G989" i="1"/>
  <c r="I989" i="1" s="1"/>
  <c r="E989" i="1"/>
  <c r="F989" i="1" s="1"/>
  <c r="C989" i="1"/>
  <c r="B989" i="1"/>
  <c r="K988" i="1"/>
  <c r="L988" i="1" s="1"/>
  <c r="J988" i="1"/>
  <c r="H988" i="1"/>
  <c r="G988" i="1"/>
  <c r="I988" i="1" s="1"/>
  <c r="F988" i="1"/>
  <c r="E988" i="1"/>
  <c r="C988" i="1"/>
  <c r="B988" i="1"/>
  <c r="K987" i="1"/>
  <c r="J987" i="1"/>
  <c r="L987" i="1" s="1"/>
  <c r="I987" i="1"/>
  <c r="H987" i="1"/>
  <c r="G987" i="1"/>
  <c r="E987" i="1"/>
  <c r="F987" i="1" s="1"/>
  <c r="C987" i="1"/>
  <c r="B987" i="1"/>
  <c r="K986" i="1"/>
  <c r="J986" i="1"/>
  <c r="H986" i="1"/>
  <c r="G986" i="1"/>
  <c r="I986" i="1" s="1"/>
  <c r="E986" i="1"/>
  <c r="F986" i="1" s="1"/>
  <c r="C986" i="1"/>
  <c r="B986" i="1"/>
  <c r="L985" i="1"/>
  <c r="K985" i="1"/>
  <c r="J985" i="1"/>
  <c r="H985" i="1"/>
  <c r="G985" i="1"/>
  <c r="I985" i="1" s="1"/>
  <c r="E985" i="1"/>
  <c r="F985" i="1" s="1"/>
  <c r="C985" i="1"/>
  <c r="B985" i="1"/>
  <c r="L984" i="1"/>
  <c r="K984" i="1"/>
  <c r="J984" i="1"/>
  <c r="I984" i="1"/>
  <c r="H984" i="1"/>
  <c r="G984" i="1"/>
  <c r="F984" i="1"/>
  <c r="E984" i="1"/>
  <c r="C984" i="1"/>
  <c r="B984" i="1"/>
  <c r="K983" i="1"/>
  <c r="J983" i="1"/>
  <c r="L983" i="1" s="1"/>
  <c r="H983" i="1"/>
  <c r="G983" i="1"/>
  <c r="I983" i="1" s="1"/>
  <c r="F983" i="1"/>
  <c r="E983" i="1"/>
  <c r="C983" i="1"/>
  <c r="B983" i="1"/>
  <c r="L982" i="1"/>
  <c r="K982" i="1"/>
  <c r="J982" i="1"/>
  <c r="I982" i="1"/>
  <c r="H982" i="1"/>
  <c r="G982" i="1"/>
  <c r="E982" i="1"/>
  <c r="F982" i="1" s="1"/>
  <c r="C982" i="1"/>
  <c r="B982" i="1"/>
  <c r="K981" i="1"/>
  <c r="J981" i="1"/>
  <c r="L981" i="1" s="1"/>
  <c r="H981" i="1"/>
  <c r="G981" i="1"/>
  <c r="I981" i="1" s="1"/>
  <c r="F981" i="1"/>
  <c r="E981" i="1"/>
  <c r="C981" i="1"/>
  <c r="B981" i="1"/>
  <c r="L980" i="1"/>
  <c r="K980" i="1"/>
  <c r="J980" i="1"/>
  <c r="H980" i="1"/>
  <c r="I980" i="1" s="1"/>
  <c r="G980" i="1"/>
  <c r="E980" i="1"/>
  <c r="F980" i="1" s="1"/>
  <c r="C980" i="1"/>
  <c r="B980" i="1"/>
  <c r="K979" i="1"/>
  <c r="J979" i="1"/>
  <c r="L979" i="1" s="1"/>
  <c r="H979" i="1"/>
  <c r="G979" i="1"/>
  <c r="I979" i="1" s="1"/>
  <c r="F979" i="1"/>
  <c r="E979" i="1"/>
  <c r="C979" i="1"/>
  <c r="B979" i="1"/>
  <c r="L978" i="1"/>
  <c r="K978" i="1"/>
  <c r="J978" i="1"/>
  <c r="I978" i="1"/>
  <c r="H978" i="1"/>
  <c r="G978" i="1"/>
  <c r="E978" i="1"/>
  <c r="F978" i="1" s="1"/>
  <c r="C978" i="1"/>
  <c r="B978" i="1"/>
  <c r="K977" i="1"/>
  <c r="J977" i="1"/>
  <c r="L977" i="1" s="1"/>
  <c r="H977" i="1"/>
  <c r="G977" i="1"/>
  <c r="I977" i="1" s="1"/>
  <c r="F977" i="1"/>
  <c r="E977" i="1"/>
  <c r="C977" i="1"/>
  <c r="B977" i="1"/>
  <c r="L976" i="1"/>
  <c r="K976" i="1"/>
  <c r="J976" i="1"/>
  <c r="H976" i="1"/>
  <c r="I976" i="1" s="1"/>
  <c r="G976" i="1"/>
  <c r="E976" i="1"/>
  <c r="F976" i="1" s="1"/>
  <c r="C976" i="1"/>
  <c r="B976" i="1"/>
  <c r="K975" i="1"/>
  <c r="J975" i="1"/>
  <c r="L975" i="1" s="1"/>
  <c r="H975" i="1"/>
  <c r="G975" i="1"/>
  <c r="I975" i="1" s="1"/>
  <c r="F975" i="1"/>
  <c r="E975" i="1"/>
  <c r="C975" i="1"/>
  <c r="B975" i="1"/>
  <c r="L974" i="1"/>
  <c r="K974" i="1"/>
  <c r="J974" i="1"/>
  <c r="I974" i="1"/>
  <c r="H974" i="1"/>
  <c r="G974" i="1"/>
  <c r="E974" i="1"/>
  <c r="F974" i="1" s="1"/>
  <c r="C974" i="1"/>
  <c r="B974" i="1"/>
  <c r="K973" i="1"/>
  <c r="J973" i="1"/>
  <c r="L973" i="1" s="1"/>
  <c r="H973" i="1"/>
  <c r="G973" i="1"/>
  <c r="I973" i="1" s="1"/>
  <c r="F973" i="1"/>
  <c r="E973" i="1"/>
  <c r="C973" i="1"/>
  <c r="B973" i="1"/>
  <c r="L972" i="1"/>
  <c r="K972" i="1"/>
  <c r="J972" i="1"/>
  <c r="H972" i="1"/>
  <c r="I972" i="1" s="1"/>
  <c r="G972" i="1"/>
  <c r="E972" i="1"/>
  <c r="F972" i="1" s="1"/>
  <c r="C972" i="1"/>
  <c r="B972" i="1"/>
  <c r="K971" i="1"/>
  <c r="J971" i="1"/>
  <c r="L971" i="1" s="1"/>
  <c r="H971" i="1"/>
  <c r="G971" i="1"/>
  <c r="I971" i="1" s="1"/>
  <c r="F971" i="1"/>
  <c r="E971" i="1"/>
  <c r="C971" i="1"/>
  <c r="B971" i="1"/>
  <c r="L970" i="1"/>
  <c r="K970" i="1"/>
  <c r="J970" i="1"/>
  <c r="I970" i="1"/>
  <c r="H970" i="1"/>
  <c r="G970" i="1"/>
  <c r="E970" i="1"/>
  <c r="F970" i="1" s="1"/>
  <c r="C970" i="1"/>
  <c r="B970" i="1"/>
  <c r="K969" i="1"/>
  <c r="J969" i="1"/>
  <c r="L969" i="1" s="1"/>
  <c r="H969" i="1"/>
  <c r="G969" i="1"/>
  <c r="I969" i="1" s="1"/>
  <c r="F969" i="1"/>
  <c r="E969" i="1"/>
  <c r="C969" i="1"/>
  <c r="B969" i="1"/>
  <c r="L968" i="1"/>
  <c r="K968" i="1"/>
  <c r="J968" i="1"/>
  <c r="H968" i="1"/>
  <c r="I968" i="1" s="1"/>
  <c r="G968" i="1"/>
  <c r="E968" i="1"/>
  <c r="F968" i="1" s="1"/>
  <c r="C968" i="1"/>
  <c r="B968" i="1"/>
  <c r="K967" i="1"/>
  <c r="J967" i="1"/>
  <c r="L967" i="1" s="1"/>
  <c r="H967" i="1"/>
  <c r="G967" i="1"/>
  <c r="I967" i="1" s="1"/>
  <c r="F967" i="1"/>
  <c r="E967" i="1"/>
  <c r="C967" i="1"/>
  <c r="B967" i="1"/>
  <c r="L966" i="1"/>
  <c r="K966" i="1"/>
  <c r="J966" i="1"/>
  <c r="I966" i="1"/>
  <c r="H966" i="1"/>
  <c r="G966" i="1"/>
  <c r="E966" i="1"/>
  <c r="F966" i="1" s="1"/>
  <c r="C966" i="1"/>
  <c r="B966" i="1"/>
  <c r="K965" i="1"/>
  <c r="J965" i="1"/>
  <c r="H965" i="1"/>
  <c r="G965" i="1"/>
  <c r="I965" i="1" s="1"/>
  <c r="F965" i="1"/>
  <c r="E965" i="1"/>
  <c r="C965" i="1"/>
  <c r="B965" i="1"/>
  <c r="L964" i="1"/>
  <c r="K964" i="1"/>
  <c r="J964" i="1"/>
  <c r="H964" i="1"/>
  <c r="I964" i="1" s="1"/>
  <c r="G964" i="1"/>
  <c r="E964" i="1"/>
  <c r="F964" i="1" s="1"/>
  <c r="C964" i="1"/>
  <c r="B964" i="1"/>
  <c r="K963" i="1"/>
  <c r="J963" i="1"/>
  <c r="L963" i="1" s="1"/>
  <c r="H963" i="1"/>
  <c r="G963" i="1"/>
  <c r="I963" i="1" s="1"/>
  <c r="F963" i="1"/>
  <c r="E963" i="1"/>
  <c r="C963" i="1"/>
  <c r="B963" i="1"/>
  <c r="L962" i="1"/>
  <c r="K962" i="1"/>
  <c r="J962" i="1"/>
  <c r="I962" i="1"/>
  <c r="H962" i="1"/>
  <c r="G962" i="1"/>
  <c r="E962" i="1"/>
  <c r="F962" i="1" s="1"/>
  <c r="C962" i="1"/>
  <c r="B962" i="1"/>
  <c r="K961" i="1"/>
  <c r="J961" i="1"/>
  <c r="H961" i="1"/>
  <c r="G961" i="1"/>
  <c r="I961" i="1" s="1"/>
  <c r="F961" i="1"/>
  <c r="E961" i="1"/>
  <c r="C961" i="1"/>
  <c r="B961" i="1"/>
  <c r="L960" i="1"/>
  <c r="K960" i="1"/>
  <c r="J960" i="1"/>
  <c r="H960" i="1"/>
  <c r="I960" i="1" s="1"/>
  <c r="G960" i="1"/>
  <c r="E960" i="1"/>
  <c r="F960" i="1" s="1"/>
  <c r="C960" i="1"/>
  <c r="B960" i="1"/>
  <c r="K959" i="1"/>
  <c r="J959" i="1"/>
  <c r="L959" i="1" s="1"/>
  <c r="H959" i="1"/>
  <c r="G959" i="1"/>
  <c r="I959" i="1" s="1"/>
  <c r="F959" i="1"/>
  <c r="E959" i="1"/>
  <c r="C959" i="1"/>
  <c r="B959" i="1"/>
  <c r="L958" i="1"/>
  <c r="K958" i="1"/>
  <c r="J958" i="1"/>
  <c r="I958" i="1"/>
  <c r="H958" i="1"/>
  <c r="G958" i="1"/>
  <c r="E958" i="1"/>
  <c r="F958" i="1" s="1"/>
  <c r="C958" i="1"/>
  <c r="B958" i="1"/>
  <c r="K957" i="1"/>
  <c r="J957" i="1"/>
  <c r="L957" i="1" s="1"/>
  <c r="H957" i="1"/>
  <c r="G957" i="1"/>
  <c r="I957" i="1" s="1"/>
  <c r="F957" i="1"/>
  <c r="E957" i="1"/>
  <c r="C957" i="1"/>
  <c r="B957" i="1"/>
  <c r="L956" i="1"/>
  <c r="K956" i="1"/>
  <c r="J956" i="1"/>
  <c r="I956" i="1"/>
  <c r="H956" i="1"/>
  <c r="G956" i="1"/>
  <c r="E956" i="1"/>
  <c r="F956" i="1" s="1"/>
  <c r="C956" i="1"/>
  <c r="B956" i="1"/>
  <c r="K955" i="1"/>
  <c r="J955" i="1"/>
  <c r="L955" i="1" s="1"/>
  <c r="H955" i="1"/>
  <c r="G955" i="1"/>
  <c r="I955" i="1" s="1"/>
  <c r="F955" i="1"/>
  <c r="E955" i="1"/>
  <c r="C955" i="1"/>
  <c r="B955" i="1"/>
  <c r="L954" i="1"/>
  <c r="K954" i="1"/>
  <c r="J954" i="1"/>
  <c r="I954" i="1"/>
  <c r="H954" i="1"/>
  <c r="G954" i="1"/>
  <c r="E954" i="1"/>
  <c r="F954" i="1" s="1"/>
  <c r="C954" i="1"/>
  <c r="B954" i="1"/>
  <c r="K953" i="1"/>
  <c r="J953" i="1"/>
  <c r="H953" i="1"/>
  <c r="G953" i="1"/>
  <c r="I953" i="1" s="1"/>
  <c r="F953" i="1"/>
  <c r="E953" i="1"/>
  <c r="C953" i="1"/>
  <c r="B953" i="1"/>
  <c r="L952" i="1"/>
  <c r="K952" i="1"/>
  <c r="J952" i="1"/>
  <c r="I952" i="1"/>
  <c r="H952" i="1"/>
  <c r="G952" i="1"/>
  <c r="E952" i="1"/>
  <c r="F952" i="1" s="1"/>
  <c r="C952" i="1"/>
  <c r="B952" i="1"/>
  <c r="K951" i="1"/>
  <c r="J951" i="1"/>
  <c r="L951" i="1" s="1"/>
  <c r="H951" i="1"/>
  <c r="G951" i="1"/>
  <c r="I951" i="1" s="1"/>
  <c r="F951" i="1"/>
  <c r="E951" i="1"/>
  <c r="C951" i="1"/>
  <c r="B951" i="1"/>
  <c r="L950" i="1"/>
  <c r="K950" i="1"/>
  <c r="J950" i="1"/>
  <c r="I950" i="1"/>
  <c r="H950" i="1"/>
  <c r="G950" i="1"/>
  <c r="E950" i="1"/>
  <c r="F950" i="1" s="1"/>
  <c r="C950" i="1"/>
  <c r="B950" i="1"/>
  <c r="K949" i="1"/>
  <c r="J949" i="1"/>
  <c r="H949" i="1"/>
  <c r="G949" i="1"/>
  <c r="I949" i="1" s="1"/>
  <c r="F949" i="1"/>
  <c r="E949" i="1"/>
  <c r="C949" i="1"/>
  <c r="B949" i="1"/>
  <c r="L948" i="1"/>
  <c r="K948" i="1"/>
  <c r="J948" i="1"/>
  <c r="I948" i="1"/>
  <c r="H948" i="1"/>
  <c r="G948" i="1"/>
  <c r="E948" i="1"/>
  <c r="F948" i="1" s="1"/>
  <c r="C948" i="1"/>
  <c r="B948" i="1"/>
  <c r="K947" i="1"/>
  <c r="J947" i="1"/>
  <c r="L947" i="1" s="1"/>
  <c r="H947" i="1"/>
  <c r="G947" i="1"/>
  <c r="I947" i="1" s="1"/>
  <c r="F947" i="1"/>
  <c r="E947" i="1"/>
  <c r="C947" i="1"/>
  <c r="B947" i="1"/>
  <c r="L946" i="1"/>
  <c r="K946" i="1"/>
  <c r="J946" i="1"/>
  <c r="I946" i="1"/>
  <c r="H946" i="1"/>
  <c r="G946" i="1"/>
  <c r="E946" i="1"/>
  <c r="F946" i="1" s="1"/>
  <c r="C946" i="1"/>
  <c r="B946" i="1"/>
  <c r="K945" i="1"/>
  <c r="J945" i="1"/>
  <c r="H945" i="1"/>
  <c r="G945" i="1"/>
  <c r="I945" i="1" s="1"/>
  <c r="F945" i="1"/>
  <c r="E945" i="1"/>
  <c r="C945" i="1"/>
  <c r="B945" i="1"/>
  <c r="L944" i="1"/>
  <c r="K944" i="1"/>
  <c r="J944" i="1"/>
  <c r="I944" i="1"/>
  <c r="H944" i="1"/>
  <c r="G944" i="1"/>
  <c r="E944" i="1"/>
  <c r="F944" i="1" s="1"/>
  <c r="C944" i="1"/>
  <c r="B944" i="1"/>
  <c r="K943" i="1"/>
  <c r="J943" i="1"/>
  <c r="L943" i="1" s="1"/>
  <c r="H943" i="1"/>
  <c r="G943" i="1"/>
  <c r="I943" i="1" s="1"/>
  <c r="F943" i="1"/>
  <c r="E943" i="1"/>
  <c r="C943" i="1"/>
  <c r="B943" i="1"/>
  <c r="L942" i="1"/>
  <c r="K942" i="1"/>
  <c r="J942" i="1"/>
  <c r="I942" i="1"/>
  <c r="H942" i="1"/>
  <c r="G942" i="1"/>
  <c r="E942" i="1"/>
  <c r="F942" i="1" s="1"/>
  <c r="C942" i="1"/>
  <c r="B942" i="1"/>
  <c r="K941" i="1"/>
  <c r="J941" i="1"/>
  <c r="L941" i="1" s="1"/>
  <c r="H941" i="1"/>
  <c r="G941" i="1"/>
  <c r="I941" i="1" s="1"/>
  <c r="F941" i="1"/>
  <c r="E941" i="1"/>
  <c r="C941" i="1"/>
  <c r="B941" i="1"/>
  <c r="L940" i="1"/>
  <c r="K940" i="1"/>
  <c r="J940" i="1"/>
  <c r="I940" i="1"/>
  <c r="H940" i="1"/>
  <c r="G940" i="1"/>
  <c r="E940" i="1"/>
  <c r="F940" i="1" s="1"/>
  <c r="C940" i="1"/>
  <c r="B940" i="1"/>
  <c r="K939" i="1"/>
  <c r="J939" i="1"/>
  <c r="L939" i="1" s="1"/>
  <c r="H939" i="1"/>
  <c r="G939" i="1"/>
  <c r="I939" i="1" s="1"/>
  <c r="F939" i="1"/>
  <c r="E939" i="1"/>
  <c r="C939" i="1"/>
  <c r="B939" i="1"/>
  <c r="L938" i="1"/>
  <c r="K938" i="1"/>
  <c r="J938" i="1"/>
  <c r="I938" i="1"/>
  <c r="H938" i="1"/>
  <c r="G938" i="1"/>
  <c r="E938" i="1"/>
  <c r="F938" i="1" s="1"/>
  <c r="C938" i="1"/>
  <c r="B938" i="1"/>
  <c r="K937" i="1"/>
  <c r="J937" i="1"/>
  <c r="H937" i="1"/>
  <c r="G937" i="1"/>
  <c r="I937" i="1" s="1"/>
  <c r="F937" i="1"/>
  <c r="E937" i="1"/>
  <c r="C937" i="1"/>
  <c r="B937" i="1"/>
  <c r="L936" i="1"/>
  <c r="K936" i="1"/>
  <c r="J936" i="1"/>
  <c r="I936" i="1"/>
  <c r="H936" i="1"/>
  <c r="G936" i="1"/>
  <c r="E936" i="1"/>
  <c r="F936" i="1" s="1"/>
  <c r="C936" i="1"/>
  <c r="B936" i="1"/>
  <c r="K935" i="1"/>
  <c r="J935" i="1"/>
  <c r="L935" i="1" s="1"/>
  <c r="H935" i="1"/>
  <c r="G935" i="1"/>
  <c r="I935" i="1" s="1"/>
  <c r="F935" i="1"/>
  <c r="E935" i="1"/>
  <c r="C935" i="1"/>
  <c r="B935" i="1"/>
  <c r="L934" i="1"/>
  <c r="K934" i="1"/>
  <c r="J934" i="1"/>
  <c r="I934" i="1"/>
  <c r="H934" i="1"/>
  <c r="G934" i="1"/>
  <c r="E934" i="1"/>
  <c r="F934" i="1" s="1"/>
  <c r="C934" i="1"/>
  <c r="B934" i="1"/>
  <c r="K933" i="1"/>
  <c r="J933" i="1"/>
  <c r="H933" i="1"/>
  <c r="G933" i="1"/>
  <c r="I933" i="1" s="1"/>
  <c r="F933" i="1"/>
  <c r="E933" i="1"/>
  <c r="C933" i="1"/>
  <c r="B933" i="1"/>
  <c r="L932" i="1"/>
  <c r="K932" i="1"/>
  <c r="J932" i="1"/>
  <c r="I932" i="1"/>
  <c r="H932" i="1"/>
  <c r="G932" i="1"/>
  <c r="E932" i="1"/>
  <c r="F932" i="1" s="1"/>
  <c r="C932" i="1"/>
  <c r="B932" i="1"/>
  <c r="K931" i="1"/>
  <c r="J931" i="1"/>
  <c r="L931" i="1" s="1"/>
  <c r="H931" i="1"/>
  <c r="G931" i="1"/>
  <c r="I931" i="1" s="1"/>
  <c r="F931" i="1"/>
  <c r="E931" i="1"/>
  <c r="C931" i="1"/>
  <c r="B931" i="1"/>
  <c r="L930" i="1"/>
  <c r="K930" i="1"/>
  <c r="J930" i="1"/>
  <c r="I930" i="1"/>
  <c r="H930" i="1"/>
  <c r="G930" i="1"/>
  <c r="E930" i="1"/>
  <c r="F930" i="1" s="1"/>
  <c r="C930" i="1"/>
  <c r="B930" i="1"/>
  <c r="K929" i="1"/>
  <c r="J929" i="1"/>
  <c r="H929" i="1"/>
  <c r="G929" i="1"/>
  <c r="I929" i="1" s="1"/>
  <c r="F929" i="1"/>
  <c r="E929" i="1"/>
  <c r="C929" i="1"/>
  <c r="B929" i="1"/>
  <c r="L928" i="1"/>
  <c r="K928" i="1"/>
  <c r="J928" i="1"/>
  <c r="I928" i="1"/>
  <c r="H928" i="1"/>
  <c r="G928" i="1"/>
  <c r="E928" i="1"/>
  <c r="F928" i="1" s="1"/>
  <c r="C928" i="1"/>
  <c r="B928" i="1"/>
  <c r="K927" i="1"/>
  <c r="J927" i="1"/>
  <c r="L927" i="1" s="1"/>
  <c r="H927" i="1"/>
  <c r="G927" i="1"/>
  <c r="I927" i="1" s="1"/>
  <c r="F927" i="1"/>
  <c r="E927" i="1"/>
  <c r="C927" i="1"/>
  <c r="B927" i="1"/>
  <c r="L926" i="1"/>
  <c r="K926" i="1"/>
  <c r="J926" i="1"/>
  <c r="I926" i="1"/>
  <c r="H926" i="1"/>
  <c r="G926" i="1"/>
  <c r="E926" i="1"/>
  <c r="F926" i="1" s="1"/>
  <c r="C926" i="1"/>
  <c r="B926" i="1"/>
  <c r="K925" i="1"/>
  <c r="J925" i="1"/>
  <c r="L925" i="1" s="1"/>
  <c r="H925" i="1"/>
  <c r="G925" i="1"/>
  <c r="I925" i="1" s="1"/>
  <c r="F925" i="1"/>
  <c r="E925" i="1"/>
  <c r="C925" i="1"/>
  <c r="B925" i="1"/>
  <c r="L924" i="1"/>
  <c r="K924" i="1"/>
  <c r="J924" i="1"/>
  <c r="I924" i="1"/>
  <c r="H924" i="1"/>
  <c r="G924" i="1"/>
  <c r="E924" i="1"/>
  <c r="F924" i="1" s="1"/>
  <c r="C924" i="1"/>
  <c r="B924" i="1"/>
  <c r="K923" i="1"/>
  <c r="J923" i="1"/>
  <c r="L923" i="1" s="1"/>
  <c r="H923" i="1"/>
  <c r="G923" i="1"/>
  <c r="I923" i="1" s="1"/>
  <c r="F923" i="1"/>
  <c r="E923" i="1"/>
  <c r="C923" i="1"/>
  <c r="B923" i="1"/>
  <c r="L922" i="1"/>
  <c r="K922" i="1"/>
  <c r="J922" i="1"/>
  <c r="I922" i="1"/>
  <c r="H922" i="1"/>
  <c r="G922" i="1"/>
  <c r="E922" i="1"/>
  <c r="F922" i="1" s="1"/>
  <c r="C922" i="1"/>
  <c r="B922" i="1"/>
  <c r="K921" i="1"/>
  <c r="J921" i="1"/>
  <c r="H921" i="1"/>
  <c r="G921" i="1"/>
  <c r="I921" i="1" s="1"/>
  <c r="F921" i="1"/>
  <c r="E921" i="1"/>
  <c r="C921" i="1"/>
  <c r="B921" i="1"/>
  <c r="L920" i="1"/>
  <c r="K920" i="1"/>
  <c r="J920" i="1"/>
  <c r="I920" i="1"/>
  <c r="H920" i="1"/>
  <c r="G920" i="1"/>
  <c r="E920" i="1"/>
  <c r="F920" i="1" s="1"/>
  <c r="C920" i="1"/>
  <c r="B920" i="1"/>
  <c r="K919" i="1"/>
  <c r="J919" i="1"/>
  <c r="L919" i="1" s="1"/>
  <c r="H919" i="1"/>
  <c r="G919" i="1"/>
  <c r="I919" i="1" s="1"/>
  <c r="F919" i="1"/>
  <c r="E919" i="1"/>
  <c r="C919" i="1"/>
  <c r="B919" i="1"/>
  <c r="L918" i="1"/>
  <c r="K918" i="1"/>
  <c r="J918" i="1"/>
  <c r="I918" i="1"/>
  <c r="H918" i="1"/>
  <c r="G918" i="1"/>
  <c r="E918" i="1"/>
  <c r="F918" i="1" s="1"/>
  <c r="C918" i="1"/>
  <c r="B918" i="1"/>
  <c r="K917" i="1"/>
  <c r="J917" i="1"/>
  <c r="H917" i="1"/>
  <c r="G917" i="1"/>
  <c r="I917" i="1" s="1"/>
  <c r="F917" i="1"/>
  <c r="E917" i="1"/>
  <c r="C917" i="1"/>
  <c r="B917" i="1"/>
  <c r="L916" i="1"/>
  <c r="K916" i="1"/>
  <c r="J916" i="1"/>
  <c r="I916" i="1"/>
  <c r="H916" i="1"/>
  <c r="G916" i="1"/>
  <c r="E916" i="1"/>
  <c r="F916" i="1" s="1"/>
  <c r="C916" i="1"/>
  <c r="B916" i="1"/>
  <c r="K915" i="1"/>
  <c r="J915" i="1"/>
  <c r="L915" i="1" s="1"/>
  <c r="H915" i="1"/>
  <c r="G915" i="1"/>
  <c r="I915" i="1" s="1"/>
  <c r="F915" i="1"/>
  <c r="E915" i="1"/>
  <c r="C915" i="1"/>
  <c r="B915" i="1"/>
  <c r="L914" i="1"/>
  <c r="K914" i="1"/>
  <c r="J914" i="1"/>
  <c r="I914" i="1"/>
  <c r="H914" i="1"/>
  <c r="G914" i="1"/>
  <c r="E914" i="1"/>
  <c r="F914" i="1" s="1"/>
  <c r="C914" i="1"/>
  <c r="B914" i="1"/>
  <c r="K913" i="1"/>
  <c r="J913" i="1"/>
  <c r="H913" i="1"/>
  <c r="G913" i="1"/>
  <c r="I913" i="1" s="1"/>
  <c r="F913" i="1"/>
  <c r="E913" i="1"/>
  <c r="C913" i="1"/>
  <c r="B913" i="1"/>
  <c r="L912" i="1"/>
  <c r="K912" i="1"/>
  <c r="J912" i="1"/>
  <c r="I912" i="1"/>
  <c r="H912" i="1"/>
  <c r="G912" i="1"/>
  <c r="E912" i="1"/>
  <c r="F912" i="1" s="1"/>
  <c r="C912" i="1"/>
  <c r="B912" i="1"/>
  <c r="K911" i="1"/>
  <c r="J911" i="1"/>
  <c r="L911" i="1" s="1"/>
  <c r="H911" i="1"/>
  <c r="G911" i="1"/>
  <c r="I911" i="1" s="1"/>
  <c r="F911" i="1"/>
  <c r="E911" i="1"/>
  <c r="C911" i="1"/>
  <c r="B911" i="1"/>
  <c r="L910" i="1"/>
  <c r="K910" i="1"/>
  <c r="J910" i="1"/>
  <c r="I910" i="1"/>
  <c r="H910" i="1"/>
  <c r="G910" i="1"/>
  <c r="E910" i="1"/>
  <c r="F910" i="1" s="1"/>
  <c r="C910" i="1"/>
  <c r="B910" i="1"/>
  <c r="K909" i="1"/>
  <c r="J909" i="1"/>
  <c r="L909" i="1" s="1"/>
  <c r="H909" i="1"/>
  <c r="G909" i="1"/>
  <c r="I909" i="1" s="1"/>
  <c r="F909" i="1"/>
  <c r="E909" i="1"/>
  <c r="C909" i="1"/>
  <c r="B909" i="1"/>
  <c r="L908" i="1"/>
  <c r="K908" i="1"/>
  <c r="J908" i="1"/>
  <c r="I908" i="1"/>
  <c r="H908" i="1"/>
  <c r="G908" i="1"/>
  <c r="E908" i="1"/>
  <c r="F908" i="1" s="1"/>
  <c r="C908" i="1"/>
  <c r="B908" i="1"/>
  <c r="K907" i="1"/>
  <c r="J907" i="1"/>
  <c r="L907" i="1" s="1"/>
  <c r="H907" i="1"/>
  <c r="G907" i="1"/>
  <c r="I907" i="1" s="1"/>
  <c r="F907" i="1"/>
  <c r="E907" i="1"/>
  <c r="C907" i="1"/>
  <c r="B907" i="1"/>
  <c r="L906" i="1"/>
  <c r="K906" i="1"/>
  <c r="J906" i="1"/>
  <c r="I906" i="1"/>
  <c r="H906" i="1"/>
  <c r="G906" i="1"/>
  <c r="E906" i="1"/>
  <c r="F906" i="1" s="1"/>
  <c r="C906" i="1"/>
  <c r="B906" i="1"/>
  <c r="K905" i="1"/>
  <c r="J905" i="1"/>
  <c r="H905" i="1"/>
  <c r="G905" i="1"/>
  <c r="I905" i="1" s="1"/>
  <c r="F905" i="1"/>
  <c r="E905" i="1"/>
  <c r="C905" i="1"/>
  <c r="B905" i="1"/>
  <c r="L904" i="1"/>
  <c r="K904" i="1"/>
  <c r="J904" i="1"/>
  <c r="I904" i="1"/>
  <c r="H904" i="1"/>
  <c r="G904" i="1"/>
  <c r="E904" i="1"/>
  <c r="F904" i="1" s="1"/>
  <c r="C904" i="1"/>
  <c r="B904" i="1"/>
  <c r="K903" i="1"/>
  <c r="J903" i="1"/>
  <c r="L903" i="1" s="1"/>
  <c r="H903" i="1"/>
  <c r="G903" i="1"/>
  <c r="I903" i="1" s="1"/>
  <c r="F903" i="1"/>
  <c r="E903" i="1"/>
  <c r="C903" i="1"/>
  <c r="B903" i="1"/>
  <c r="L902" i="1"/>
  <c r="K902" i="1"/>
  <c r="J902" i="1"/>
  <c r="I902" i="1"/>
  <c r="H902" i="1"/>
  <c r="G902" i="1"/>
  <c r="E902" i="1"/>
  <c r="F902" i="1" s="1"/>
  <c r="C902" i="1"/>
  <c r="B902" i="1"/>
  <c r="K901" i="1"/>
  <c r="J901" i="1"/>
  <c r="H901" i="1"/>
  <c r="G901" i="1"/>
  <c r="I901" i="1" s="1"/>
  <c r="F901" i="1"/>
  <c r="E901" i="1"/>
  <c r="C901" i="1"/>
  <c r="B901" i="1"/>
  <c r="L900" i="1"/>
  <c r="K900" i="1"/>
  <c r="J900" i="1"/>
  <c r="I900" i="1"/>
  <c r="H900" i="1"/>
  <c r="G900" i="1"/>
  <c r="E900" i="1"/>
  <c r="F900" i="1" s="1"/>
  <c r="C900" i="1"/>
  <c r="B900" i="1"/>
  <c r="K899" i="1"/>
  <c r="J899" i="1"/>
  <c r="L899" i="1" s="1"/>
  <c r="H899" i="1"/>
  <c r="G899" i="1"/>
  <c r="I899" i="1" s="1"/>
  <c r="F899" i="1"/>
  <c r="E899" i="1"/>
  <c r="C899" i="1"/>
  <c r="B899" i="1"/>
  <c r="L898" i="1"/>
  <c r="K898" i="1"/>
  <c r="J898" i="1"/>
  <c r="I898" i="1"/>
  <c r="H898" i="1"/>
  <c r="G898" i="1"/>
  <c r="E898" i="1"/>
  <c r="F898" i="1" s="1"/>
  <c r="C898" i="1"/>
  <c r="B898" i="1"/>
  <c r="K897" i="1"/>
  <c r="J897" i="1"/>
  <c r="H897" i="1"/>
  <c r="G897" i="1"/>
  <c r="I897" i="1" s="1"/>
  <c r="F897" i="1"/>
  <c r="E897" i="1"/>
  <c r="C897" i="1"/>
  <c r="B897" i="1"/>
  <c r="L896" i="1"/>
  <c r="K896" i="1"/>
  <c r="J896" i="1"/>
  <c r="I896" i="1"/>
  <c r="H896" i="1"/>
  <c r="G896" i="1"/>
  <c r="E896" i="1"/>
  <c r="F896" i="1" s="1"/>
  <c r="C896" i="1"/>
  <c r="B896" i="1"/>
  <c r="K895" i="1"/>
  <c r="J895" i="1"/>
  <c r="L895" i="1" s="1"/>
  <c r="H895" i="1"/>
  <c r="G895" i="1"/>
  <c r="I895" i="1" s="1"/>
  <c r="F895" i="1"/>
  <c r="E895" i="1"/>
  <c r="C895" i="1"/>
  <c r="B895" i="1"/>
  <c r="L894" i="1"/>
  <c r="K894" i="1"/>
  <c r="J894" i="1"/>
  <c r="I894" i="1"/>
  <c r="H894" i="1"/>
  <c r="G894" i="1"/>
  <c r="E894" i="1"/>
  <c r="F894" i="1" s="1"/>
  <c r="C894" i="1"/>
  <c r="B894" i="1"/>
  <c r="K893" i="1"/>
  <c r="J893" i="1"/>
  <c r="L893" i="1" s="1"/>
  <c r="H893" i="1"/>
  <c r="G893" i="1"/>
  <c r="I893" i="1" s="1"/>
  <c r="F893" i="1"/>
  <c r="E893" i="1"/>
  <c r="C893" i="1"/>
  <c r="B893" i="1"/>
  <c r="L892" i="1"/>
  <c r="K892" i="1"/>
  <c r="J892" i="1"/>
  <c r="I892" i="1"/>
  <c r="H892" i="1"/>
  <c r="G892" i="1"/>
  <c r="E892" i="1"/>
  <c r="F892" i="1" s="1"/>
  <c r="C892" i="1"/>
  <c r="B892" i="1"/>
  <c r="K891" i="1"/>
  <c r="J891" i="1"/>
  <c r="L891" i="1" s="1"/>
  <c r="H891" i="1"/>
  <c r="G891" i="1"/>
  <c r="I891" i="1" s="1"/>
  <c r="F891" i="1"/>
  <c r="E891" i="1"/>
  <c r="C891" i="1"/>
  <c r="B891" i="1"/>
  <c r="L890" i="1"/>
  <c r="K890" i="1"/>
  <c r="J890" i="1"/>
  <c r="I890" i="1"/>
  <c r="H890" i="1"/>
  <c r="G890" i="1"/>
  <c r="E890" i="1"/>
  <c r="F890" i="1" s="1"/>
  <c r="C890" i="1"/>
  <c r="B890" i="1"/>
  <c r="K889" i="1"/>
  <c r="J889" i="1"/>
  <c r="H889" i="1"/>
  <c r="G889" i="1"/>
  <c r="I889" i="1" s="1"/>
  <c r="F889" i="1"/>
  <c r="E889" i="1"/>
  <c r="C889" i="1"/>
  <c r="B889" i="1"/>
  <c r="L888" i="1"/>
  <c r="K888" i="1"/>
  <c r="J888" i="1"/>
  <c r="I888" i="1"/>
  <c r="H888" i="1"/>
  <c r="G888" i="1"/>
  <c r="E888" i="1"/>
  <c r="F888" i="1" s="1"/>
  <c r="C888" i="1"/>
  <c r="B888" i="1"/>
  <c r="K887" i="1"/>
  <c r="J887" i="1"/>
  <c r="L887" i="1" s="1"/>
  <c r="H887" i="1"/>
  <c r="G887" i="1"/>
  <c r="I887" i="1" s="1"/>
  <c r="F887" i="1"/>
  <c r="E887" i="1"/>
  <c r="C887" i="1"/>
  <c r="B887" i="1"/>
  <c r="L886" i="1"/>
  <c r="K886" i="1"/>
  <c r="J886" i="1"/>
  <c r="I886" i="1"/>
  <c r="H886" i="1"/>
  <c r="G886" i="1"/>
  <c r="E886" i="1"/>
  <c r="F886" i="1" s="1"/>
  <c r="C886" i="1"/>
  <c r="B886" i="1"/>
  <c r="K885" i="1"/>
  <c r="J885" i="1"/>
  <c r="L885" i="1" s="1"/>
  <c r="H885" i="1"/>
  <c r="G885" i="1"/>
  <c r="I885" i="1" s="1"/>
  <c r="F885" i="1"/>
  <c r="E885" i="1"/>
  <c r="C885" i="1"/>
  <c r="B885" i="1"/>
  <c r="L884" i="1"/>
  <c r="K884" i="1"/>
  <c r="J884" i="1"/>
  <c r="I884" i="1"/>
  <c r="H884" i="1"/>
  <c r="G884" i="1"/>
  <c r="E884" i="1"/>
  <c r="F884" i="1" s="1"/>
  <c r="C884" i="1"/>
  <c r="B884" i="1"/>
  <c r="K883" i="1"/>
  <c r="J883" i="1"/>
  <c r="L883" i="1" s="1"/>
  <c r="H883" i="1"/>
  <c r="G883" i="1"/>
  <c r="I883" i="1" s="1"/>
  <c r="F883" i="1"/>
  <c r="E883" i="1"/>
  <c r="C883" i="1"/>
  <c r="B883" i="1"/>
  <c r="L882" i="1"/>
  <c r="K882" i="1"/>
  <c r="J882" i="1"/>
  <c r="I882" i="1"/>
  <c r="H882" i="1"/>
  <c r="G882" i="1"/>
  <c r="E882" i="1"/>
  <c r="F882" i="1" s="1"/>
  <c r="C882" i="1"/>
  <c r="B882" i="1"/>
  <c r="K881" i="1"/>
  <c r="J881" i="1"/>
  <c r="H881" i="1"/>
  <c r="G881" i="1"/>
  <c r="I881" i="1" s="1"/>
  <c r="F881" i="1"/>
  <c r="E881" i="1"/>
  <c r="C881" i="1"/>
  <c r="B881" i="1"/>
  <c r="L880" i="1"/>
  <c r="K880" i="1"/>
  <c r="J880" i="1"/>
  <c r="I880" i="1"/>
  <c r="H880" i="1"/>
  <c r="G880" i="1"/>
  <c r="E880" i="1"/>
  <c r="F880" i="1" s="1"/>
  <c r="C880" i="1"/>
  <c r="B880" i="1"/>
  <c r="K879" i="1"/>
  <c r="J879" i="1"/>
  <c r="L879" i="1" s="1"/>
  <c r="H879" i="1"/>
  <c r="G879" i="1"/>
  <c r="I879" i="1" s="1"/>
  <c r="F879" i="1"/>
  <c r="E879" i="1"/>
  <c r="C879" i="1"/>
  <c r="B879" i="1"/>
  <c r="L878" i="1"/>
  <c r="K878" i="1"/>
  <c r="J878" i="1"/>
  <c r="I878" i="1"/>
  <c r="H878" i="1"/>
  <c r="G878" i="1"/>
  <c r="E878" i="1"/>
  <c r="F878" i="1" s="1"/>
  <c r="C878" i="1"/>
  <c r="B878" i="1"/>
  <c r="K877" i="1"/>
  <c r="J877" i="1"/>
  <c r="L877" i="1" s="1"/>
  <c r="H877" i="1"/>
  <c r="G877" i="1"/>
  <c r="I877" i="1" s="1"/>
  <c r="F877" i="1"/>
  <c r="E877" i="1"/>
  <c r="C877" i="1"/>
  <c r="B877" i="1"/>
  <c r="L876" i="1"/>
  <c r="K876" i="1"/>
  <c r="J876" i="1"/>
  <c r="I876" i="1"/>
  <c r="H876" i="1"/>
  <c r="G876" i="1"/>
  <c r="E876" i="1"/>
  <c r="F876" i="1" s="1"/>
  <c r="C876" i="1"/>
  <c r="B876" i="1"/>
  <c r="K875" i="1"/>
  <c r="J875" i="1"/>
  <c r="L875" i="1" s="1"/>
  <c r="H875" i="1"/>
  <c r="G875" i="1"/>
  <c r="I875" i="1" s="1"/>
  <c r="F875" i="1"/>
  <c r="E875" i="1"/>
  <c r="C875" i="1"/>
  <c r="B875" i="1"/>
  <c r="L874" i="1"/>
  <c r="K874" i="1"/>
  <c r="J874" i="1"/>
  <c r="I874" i="1"/>
  <c r="H874" i="1"/>
  <c r="G874" i="1"/>
  <c r="E874" i="1"/>
  <c r="F874" i="1" s="1"/>
  <c r="C874" i="1"/>
  <c r="B874" i="1"/>
  <c r="K873" i="1"/>
  <c r="J873" i="1"/>
  <c r="H873" i="1"/>
  <c r="G873" i="1"/>
  <c r="I873" i="1" s="1"/>
  <c r="F873" i="1"/>
  <c r="E873" i="1"/>
  <c r="C873" i="1"/>
  <c r="B873" i="1"/>
  <c r="L872" i="1"/>
  <c r="K872" i="1"/>
  <c r="J872" i="1"/>
  <c r="I872" i="1"/>
  <c r="H872" i="1"/>
  <c r="G872" i="1"/>
  <c r="E872" i="1"/>
  <c r="F872" i="1" s="1"/>
  <c r="C872" i="1"/>
  <c r="B872" i="1"/>
  <c r="K871" i="1"/>
  <c r="J871" i="1"/>
  <c r="L871" i="1" s="1"/>
  <c r="H871" i="1"/>
  <c r="G871" i="1"/>
  <c r="I871" i="1" s="1"/>
  <c r="F871" i="1"/>
  <c r="E871" i="1"/>
  <c r="C871" i="1"/>
  <c r="B871" i="1"/>
  <c r="L870" i="1"/>
  <c r="K870" i="1"/>
  <c r="J870" i="1"/>
  <c r="I870" i="1"/>
  <c r="H870" i="1"/>
  <c r="G870" i="1"/>
  <c r="E870" i="1"/>
  <c r="F870" i="1" s="1"/>
  <c r="C870" i="1"/>
  <c r="B870" i="1"/>
  <c r="K869" i="1"/>
  <c r="J869" i="1"/>
  <c r="H869" i="1"/>
  <c r="G869" i="1"/>
  <c r="I869" i="1" s="1"/>
  <c r="F869" i="1"/>
  <c r="E869" i="1"/>
  <c r="C869" i="1"/>
  <c r="B869" i="1"/>
  <c r="L868" i="1"/>
  <c r="K868" i="1"/>
  <c r="J868" i="1"/>
  <c r="I868" i="1"/>
  <c r="H868" i="1"/>
  <c r="G868" i="1"/>
  <c r="E868" i="1"/>
  <c r="F868" i="1" s="1"/>
  <c r="C868" i="1"/>
  <c r="B868" i="1"/>
  <c r="K867" i="1"/>
  <c r="J867" i="1"/>
  <c r="L867" i="1" s="1"/>
  <c r="H867" i="1"/>
  <c r="G867" i="1"/>
  <c r="I867" i="1" s="1"/>
  <c r="F867" i="1"/>
  <c r="E867" i="1"/>
  <c r="C867" i="1"/>
  <c r="B867" i="1"/>
  <c r="L866" i="1"/>
  <c r="K866" i="1"/>
  <c r="J866" i="1"/>
  <c r="I866" i="1"/>
  <c r="H866" i="1"/>
  <c r="G866" i="1"/>
  <c r="E866" i="1"/>
  <c r="F866" i="1" s="1"/>
  <c r="C866" i="1"/>
  <c r="B866" i="1"/>
  <c r="K865" i="1"/>
  <c r="J865" i="1"/>
  <c r="H865" i="1"/>
  <c r="G865" i="1"/>
  <c r="I865" i="1" s="1"/>
  <c r="F865" i="1"/>
  <c r="E865" i="1"/>
  <c r="C865" i="1"/>
  <c r="B865" i="1"/>
  <c r="L864" i="1"/>
  <c r="K864" i="1"/>
  <c r="J864" i="1"/>
  <c r="I864" i="1"/>
  <c r="H864" i="1"/>
  <c r="G864" i="1"/>
  <c r="E864" i="1"/>
  <c r="F864" i="1" s="1"/>
  <c r="C864" i="1"/>
  <c r="B864" i="1"/>
  <c r="K863" i="1"/>
  <c r="J863" i="1"/>
  <c r="L863" i="1" s="1"/>
  <c r="H863" i="1"/>
  <c r="G863" i="1"/>
  <c r="I863" i="1" s="1"/>
  <c r="F863" i="1"/>
  <c r="E863" i="1"/>
  <c r="C863" i="1"/>
  <c r="B863" i="1"/>
  <c r="L862" i="1"/>
  <c r="K862" i="1"/>
  <c r="J862" i="1"/>
  <c r="I862" i="1"/>
  <c r="H862" i="1"/>
  <c r="G862" i="1"/>
  <c r="E862" i="1"/>
  <c r="F862" i="1" s="1"/>
  <c r="C862" i="1"/>
  <c r="B862" i="1"/>
  <c r="K861" i="1"/>
  <c r="J861" i="1"/>
  <c r="H861" i="1"/>
  <c r="G861" i="1"/>
  <c r="I861" i="1" s="1"/>
  <c r="F861" i="1"/>
  <c r="E861" i="1"/>
  <c r="C861" i="1"/>
  <c r="B861" i="1"/>
  <c r="L860" i="1"/>
  <c r="K860" i="1"/>
  <c r="J860" i="1"/>
  <c r="I860" i="1"/>
  <c r="H860" i="1"/>
  <c r="G860" i="1"/>
  <c r="E860" i="1"/>
  <c r="F860" i="1" s="1"/>
  <c r="C860" i="1"/>
  <c r="B860" i="1"/>
  <c r="K859" i="1"/>
  <c r="J859" i="1"/>
  <c r="L859" i="1" s="1"/>
  <c r="H859" i="1"/>
  <c r="G859" i="1"/>
  <c r="I859" i="1" s="1"/>
  <c r="F859" i="1"/>
  <c r="E859" i="1"/>
  <c r="C859" i="1"/>
  <c r="B859" i="1"/>
  <c r="L858" i="1"/>
  <c r="K858" i="1"/>
  <c r="J858" i="1"/>
  <c r="I858" i="1"/>
  <c r="H858" i="1"/>
  <c r="G858" i="1"/>
  <c r="E858" i="1"/>
  <c r="F858" i="1" s="1"/>
  <c r="C858" i="1"/>
  <c r="B858" i="1"/>
  <c r="K857" i="1"/>
  <c r="J857" i="1"/>
  <c r="H857" i="1"/>
  <c r="G857" i="1"/>
  <c r="I857" i="1" s="1"/>
  <c r="F857" i="1"/>
  <c r="E857" i="1"/>
  <c r="C857" i="1"/>
  <c r="B857" i="1"/>
  <c r="L856" i="1"/>
  <c r="K856" i="1"/>
  <c r="J856" i="1"/>
  <c r="I856" i="1"/>
  <c r="H856" i="1"/>
  <c r="G856" i="1"/>
  <c r="E856" i="1"/>
  <c r="F856" i="1" s="1"/>
  <c r="C856" i="1"/>
  <c r="B856" i="1"/>
  <c r="K855" i="1"/>
  <c r="J855" i="1"/>
  <c r="L855" i="1" s="1"/>
  <c r="H855" i="1"/>
  <c r="G855" i="1"/>
  <c r="I855" i="1" s="1"/>
  <c r="F855" i="1"/>
  <c r="E855" i="1"/>
  <c r="C855" i="1"/>
  <c r="B855" i="1"/>
  <c r="L854" i="1"/>
  <c r="K854" i="1"/>
  <c r="J854" i="1"/>
  <c r="I854" i="1"/>
  <c r="H854" i="1"/>
  <c r="G854" i="1"/>
  <c r="E854" i="1"/>
  <c r="F854" i="1" s="1"/>
  <c r="C854" i="1"/>
  <c r="B854" i="1"/>
  <c r="K853" i="1"/>
  <c r="J853" i="1"/>
  <c r="H853" i="1"/>
  <c r="G853" i="1"/>
  <c r="I853" i="1" s="1"/>
  <c r="F853" i="1"/>
  <c r="E853" i="1"/>
  <c r="C853" i="1"/>
  <c r="B853" i="1"/>
  <c r="L852" i="1"/>
  <c r="K852" i="1"/>
  <c r="J852" i="1"/>
  <c r="I852" i="1"/>
  <c r="H852" i="1"/>
  <c r="G852" i="1"/>
  <c r="E852" i="1"/>
  <c r="F852" i="1" s="1"/>
  <c r="C852" i="1"/>
  <c r="B852" i="1"/>
  <c r="K851" i="1"/>
  <c r="J851" i="1"/>
  <c r="L851" i="1" s="1"/>
  <c r="H851" i="1"/>
  <c r="G851" i="1"/>
  <c r="I851" i="1" s="1"/>
  <c r="F851" i="1"/>
  <c r="E851" i="1"/>
  <c r="C851" i="1"/>
  <c r="B851" i="1"/>
  <c r="L850" i="1"/>
  <c r="K850" i="1"/>
  <c r="J850" i="1"/>
  <c r="H850" i="1"/>
  <c r="I850" i="1" s="1"/>
  <c r="G850" i="1"/>
  <c r="E850" i="1"/>
  <c r="F850" i="1" s="1"/>
  <c r="C850" i="1"/>
  <c r="B850" i="1"/>
  <c r="K849" i="1"/>
  <c r="J849" i="1"/>
  <c r="H849" i="1"/>
  <c r="G849" i="1"/>
  <c r="I849" i="1" s="1"/>
  <c r="F849" i="1"/>
  <c r="E849" i="1"/>
  <c r="C849" i="1"/>
  <c r="B849" i="1"/>
  <c r="L848" i="1"/>
  <c r="K848" i="1"/>
  <c r="J848" i="1"/>
  <c r="I848" i="1"/>
  <c r="H848" i="1"/>
  <c r="G848" i="1"/>
  <c r="E848" i="1"/>
  <c r="F848" i="1" s="1"/>
  <c r="C848" i="1"/>
  <c r="B848" i="1"/>
  <c r="K847" i="1"/>
  <c r="J847" i="1"/>
  <c r="H847" i="1"/>
  <c r="G847" i="1"/>
  <c r="I847" i="1" s="1"/>
  <c r="F847" i="1"/>
  <c r="E847" i="1"/>
  <c r="C847" i="1"/>
  <c r="B847" i="1"/>
  <c r="L846" i="1"/>
  <c r="K846" i="1"/>
  <c r="J846" i="1"/>
  <c r="I846" i="1"/>
  <c r="H846" i="1"/>
  <c r="G846" i="1"/>
  <c r="E846" i="1"/>
  <c r="F846" i="1" s="1"/>
  <c r="C846" i="1"/>
  <c r="B846" i="1"/>
  <c r="K845" i="1"/>
  <c r="J845" i="1"/>
  <c r="L845" i="1" s="1"/>
  <c r="H845" i="1"/>
  <c r="G845" i="1"/>
  <c r="I845" i="1" s="1"/>
  <c r="F845" i="1"/>
  <c r="E845" i="1"/>
  <c r="C845" i="1"/>
  <c r="B845" i="1"/>
  <c r="L844" i="1"/>
  <c r="K844" i="1"/>
  <c r="J844" i="1"/>
  <c r="H844" i="1"/>
  <c r="I844" i="1" s="1"/>
  <c r="G844" i="1"/>
  <c r="E844" i="1"/>
  <c r="F844" i="1" s="1"/>
  <c r="C844" i="1"/>
  <c r="B844" i="1"/>
  <c r="K843" i="1"/>
  <c r="J843" i="1"/>
  <c r="L843" i="1" s="1"/>
  <c r="H843" i="1"/>
  <c r="G843" i="1"/>
  <c r="I843" i="1" s="1"/>
  <c r="F843" i="1"/>
  <c r="E843" i="1"/>
  <c r="C843" i="1"/>
  <c r="B843" i="1"/>
  <c r="L842" i="1"/>
  <c r="K842" i="1"/>
  <c r="J842" i="1"/>
  <c r="I842" i="1"/>
  <c r="H842" i="1"/>
  <c r="G842" i="1"/>
  <c r="E842" i="1"/>
  <c r="F842" i="1" s="1"/>
  <c r="C842" i="1"/>
  <c r="B842" i="1"/>
  <c r="K841" i="1"/>
  <c r="J841" i="1"/>
  <c r="H841" i="1"/>
  <c r="G841" i="1"/>
  <c r="I841" i="1" s="1"/>
  <c r="F841" i="1"/>
  <c r="E841" i="1"/>
  <c r="C841" i="1"/>
  <c r="B841" i="1"/>
  <c r="L840" i="1"/>
  <c r="K840" i="1"/>
  <c r="J840" i="1"/>
  <c r="H840" i="1"/>
  <c r="I840" i="1" s="1"/>
  <c r="G840" i="1"/>
  <c r="E840" i="1"/>
  <c r="F840" i="1" s="1"/>
  <c r="C840" i="1"/>
  <c r="B840" i="1"/>
  <c r="K839" i="1"/>
  <c r="J839" i="1"/>
  <c r="L839" i="1" s="1"/>
  <c r="H839" i="1"/>
  <c r="G839" i="1"/>
  <c r="I839" i="1" s="1"/>
  <c r="F839" i="1"/>
  <c r="E839" i="1"/>
  <c r="C839" i="1"/>
  <c r="B839" i="1"/>
  <c r="L838" i="1"/>
  <c r="K838" i="1"/>
  <c r="J838" i="1"/>
  <c r="I838" i="1"/>
  <c r="H838" i="1"/>
  <c r="G838" i="1"/>
  <c r="E838" i="1"/>
  <c r="F838" i="1" s="1"/>
  <c r="C838" i="1"/>
  <c r="B838" i="1"/>
  <c r="K837" i="1"/>
  <c r="J837" i="1"/>
  <c r="H837" i="1"/>
  <c r="G837" i="1"/>
  <c r="I837" i="1" s="1"/>
  <c r="F837" i="1"/>
  <c r="E837" i="1"/>
  <c r="C837" i="1"/>
  <c r="B837" i="1"/>
  <c r="L836" i="1"/>
  <c r="K836" i="1"/>
  <c r="J836" i="1"/>
  <c r="I836" i="1"/>
  <c r="H836" i="1"/>
  <c r="G836" i="1"/>
  <c r="E836" i="1"/>
  <c r="F836" i="1" s="1"/>
  <c r="C836" i="1"/>
  <c r="B836" i="1"/>
  <c r="K835" i="1"/>
  <c r="J835" i="1"/>
  <c r="L835" i="1" s="1"/>
  <c r="H835" i="1"/>
  <c r="G835" i="1"/>
  <c r="I835" i="1" s="1"/>
  <c r="F835" i="1"/>
  <c r="E835" i="1"/>
  <c r="C835" i="1"/>
  <c r="B835" i="1"/>
  <c r="L834" i="1"/>
  <c r="K834" i="1"/>
  <c r="J834" i="1"/>
  <c r="H834" i="1"/>
  <c r="I834" i="1" s="1"/>
  <c r="G834" i="1"/>
  <c r="E834" i="1"/>
  <c r="F834" i="1" s="1"/>
  <c r="C834" i="1"/>
  <c r="B834" i="1"/>
  <c r="K833" i="1"/>
  <c r="J833" i="1"/>
  <c r="H833" i="1"/>
  <c r="G833" i="1"/>
  <c r="I833" i="1" s="1"/>
  <c r="F833" i="1"/>
  <c r="E833" i="1"/>
  <c r="C833" i="1"/>
  <c r="B833" i="1"/>
  <c r="L832" i="1"/>
  <c r="K832" i="1"/>
  <c r="J832" i="1"/>
  <c r="H832" i="1"/>
  <c r="I832" i="1" s="1"/>
  <c r="G832" i="1"/>
  <c r="E832" i="1"/>
  <c r="F832" i="1" s="1"/>
  <c r="C832" i="1"/>
  <c r="B832" i="1"/>
  <c r="K831" i="1"/>
  <c r="J831" i="1"/>
  <c r="H831" i="1"/>
  <c r="G831" i="1"/>
  <c r="I831" i="1" s="1"/>
  <c r="F831" i="1"/>
  <c r="E831" i="1"/>
  <c r="C831" i="1"/>
  <c r="B831" i="1"/>
  <c r="L830" i="1"/>
  <c r="K830" i="1"/>
  <c r="J830" i="1"/>
  <c r="I830" i="1"/>
  <c r="H830" i="1"/>
  <c r="G830" i="1"/>
  <c r="E830" i="1"/>
  <c r="F830" i="1" s="1"/>
  <c r="C830" i="1"/>
  <c r="B830" i="1"/>
  <c r="K829" i="1"/>
  <c r="J829" i="1"/>
  <c r="L829" i="1" s="1"/>
  <c r="H829" i="1"/>
  <c r="G829" i="1"/>
  <c r="I829" i="1" s="1"/>
  <c r="F829" i="1"/>
  <c r="E829" i="1"/>
  <c r="C829" i="1"/>
  <c r="B829" i="1"/>
  <c r="K828" i="1"/>
  <c r="J828" i="1"/>
  <c r="L828" i="1" s="1"/>
  <c r="I828" i="1"/>
  <c r="H828" i="1"/>
  <c r="G828" i="1"/>
  <c r="E828" i="1"/>
  <c r="F828" i="1" s="1"/>
  <c r="C828" i="1"/>
  <c r="B828" i="1"/>
  <c r="K827" i="1"/>
  <c r="J827" i="1"/>
  <c r="L827" i="1" s="1"/>
  <c r="H827" i="1"/>
  <c r="G827" i="1"/>
  <c r="I827" i="1" s="1"/>
  <c r="F827" i="1"/>
  <c r="E827" i="1"/>
  <c r="C827" i="1"/>
  <c r="B827" i="1"/>
  <c r="L826" i="1"/>
  <c r="K826" i="1"/>
  <c r="J826" i="1"/>
  <c r="I826" i="1"/>
  <c r="H826" i="1"/>
  <c r="G826" i="1"/>
  <c r="E826" i="1"/>
  <c r="F826" i="1" s="1"/>
  <c r="C826" i="1"/>
  <c r="B826" i="1"/>
  <c r="K825" i="1"/>
  <c r="J825" i="1"/>
  <c r="L825" i="1" s="1"/>
  <c r="I825" i="1"/>
  <c r="H825" i="1"/>
  <c r="G825" i="1"/>
  <c r="E825" i="1"/>
  <c r="F825" i="1" s="1"/>
  <c r="C825" i="1"/>
  <c r="B825" i="1"/>
  <c r="L824" i="1"/>
  <c r="K824" i="1"/>
  <c r="J824" i="1"/>
  <c r="H824" i="1"/>
  <c r="G824" i="1"/>
  <c r="I824" i="1" s="1"/>
  <c r="F824" i="1"/>
  <c r="E824" i="1"/>
  <c r="C824" i="1"/>
  <c r="B824" i="1"/>
  <c r="L823" i="1"/>
  <c r="K823" i="1"/>
  <c r="J823" i="1"/>
  <c r="I823" i="1"/>
  <c r="H823" i="1"/>
  <c r="G823" i="1"/>
  <c r="F823" i="1"/>
  <c r="E823" i="1"/>
  <c r="C823" i="1"/>
  <c r="B823" i="1"/>
  <c r="K822" i="1"/>
  <c r="J822" i="1"/>
  <c r="L822" i="1" s="1"/>
  <c r="H822" i="1"/>
  <c r="G822" i="1"/>
  <c r="F822" i="1"/>
  <c r="E822" i="1"/>
  <c r="C822" i="1"/>
  <c r="B822" i="1"/>
  <c r="K821" i="1"/>
  <c r="J821" i="1"/>
  <c r="L821" i="1" s="1"/>
  <c r="I821" i="1"/>
  <c r="H821" i="1"/>
  <c r="G821" i="1"/>
  <c r="E821" i="1"/>
  <c r="F821" i="1" s="1"/>
  <c r="C821" i="1"/>
  <c r="B821" i="1"/>
  <c r="L820" i="1"/>
  <c r="K820" i="1"/>
  <c r="J820" i="1"/>
  <c r="H820" i="1"/>
  <c r="G820" i="1"/>
  <c r="I820" i="1" s="1"/>
  <c r="F820" i="1"/>
  <c r="E820" i="1"/>
  <c r="C820" i="1"/>
  <c r="B820" i="1"/>
  <c r="L819" i="1"/>
  <c r="K819" i="1"/>
  <c r="J819" i="1"/>
  <c r="I819" i="1"/>
  <c r="H819" i="1"/>
  <c r="G819" i="1"/>
  <c r="F819" i="1"/>
  <c r="E819" i="1"/>
  <c r="C819" i="1"/>
  <c r="B819" i="1"/>
  <c r="K818" i="1"/>
  <c r="J818" i="1"/>
  <c r="L818" i="1" s="1"/>
  <c r="H818" i="1"/>
  <c r="G818" i="1"/>
  <c r="I818" i="1" s="1"/>
  <c r="F818" i="1"/>
  <c r="E818" i="1"/>
  <c r="C818" i="1"/>
  <c r="B818" i="1"/>
  <c r="K817" i="1"/>
  <c r="J817" i="1"/>
  <c r="L817" i="1" s="1"/>
  <c r="I817" i="1"/>
  <c r="H817" i="1"/>
  <c r="G817" i="1"/>
  <c r="E817" i="1"/>
  <c r="F817" i="1" s="1"/>
  <c r="C817" i="1"/>
  <c r="B817" i="1"/>
  <c r="L816" i="1"/>
  <c r="K816" i="1"/>
  <c r="J816" i="1"/>
  <c r="H816" i="1"/>
  <c r="G816" i="1"/>
  <c r="I816" i="1" s="1"/>
  <c r="F816" i="1"/>
  <c r="E816" i="1"/>
  <c r="C816" i="1"/>
  <c r="B816" i="1"/>
  <c r="L815" i="1"/>
  <c r="K815" i="1"/>
  <c r="J815" i="1"/>
  <c r="I815" i="1"/>
  <c r="H815" i="1"/>
  <c r="G815" i="1"/>
  <c r="F815" i="1"/>
  <c r="E815" i="1"/>
  <c r="C815" i="1"/>
  <c r="B815" i="1"/>
  <c r="K814" i="1"/>
  <c r="J814" i="1"/>
  <c r="L814" i="1" s="1"/>
  <c r="H814" i="1"/>
  <c r="G814" i="1"/>
  <c r="I814" i="1" s="1"/>
  <c r="F814" i="1"/>
  <c r="E814" i="1"/>
  <c r="C814" i="1"/>
  <c r="B814" i="1"/>
  <c r="K813" i="1"/>
  <c r="J813" i="1"/>
  <c r="L813" i="1" s="1"/>
  <c r="I813" i="1"/>
  <c r="H813" i="1"/>
  <c r="G813" i="1"/>
  <c r="E813" i="1"/>
  <c r="F813" i="1" s="1"/>
  <c r="C813" i="1"/>
  <c r="B813" i="1"/>
  <c r="L812" i="1"/>
  <c r="K812" i="1"/>
  <c r="J812" i="1"/>
  <c r="H812" i="1"/>
  <c r="G812" i="1"/>
  <c r="I812" i="1" s="1"/>
  <c r="F812" i="1"/>
  <c r="E812" i="1"/>
  <c r="C812" i="1"/>
  <c r="B812" i="1"/>
  <c r="L811" i="1"/>
  <c r="K811" i="1"/>
  <c r="J811" i="1"/>
  <c r="I811" i="1"/>
  <c r="H811" i="1"/>
  <c r="G811" i="1"/>
  <c r="F811" i="1"/>
  <c r="E811" i="1"/>
  <c r="C811" i="1"/>
  <c r="B811" i="1"/>
  <c r="K810" i="1"/>
  <c r="J810" i="1"/>
  <c r="L810" i="1" s="1"/>
  <c r="H810" i="1"/>
  <c r="G810" i="1"/>
  <c r="I810" i="1" s="1"/>
  <c r="F810" i="1"/>
  <c r="E810" i="1"/>
  <c r="C810" i="1"/>
  <c r="B810" i="1"/>
  <c r="K809" i="1"/>
  <c r="J809" i="1"/>
  <c r="L809" i="1" s="1"/>
  <c r="I809" i="1"/>
  <c r="H809" i="1"/>
  <c r="G809" i="1"/>
  <c r="E809" i="1"/>
  <c r="F809" i="1" s="1"/>
  <c r="C809" i="1"/>
  <c r="B809" i="1"/>
  <c r="L808" i="1"/>
  <c r="K808" i="1"/>
  <c r="J808" i="1"/>
  <c r="H808" i="1"/>
  <c r="G808" i="1"/>
  <c r="I808" i="1" s="1"/>
  <c r="F808" i="1"/>
  <c r="E808" i="1"/>
  <c r="C808" i="1"/>
  <c r="B808" i="1"/>
  <c r="L807" i="1"/>
  <c r="K807" i="1"/>
  <c r="J807" i="1"/>
  <c r="I807" i="1"/>
  <c r="H807" i="1"/>
  <c r="G807" i="1"/>
  <c r="F807" i="1"/>
  <c r="E807" i="1"/>
  <c r="C807" i="1"/>
  <c r="B807" i="1"/>
  <c r="K806" i="1"/>
  <c r="J806" i="1"/>
  <c r="L806" i="1" s="1"/>
  <c r="H806" i="1"/>
  <c r="G806" i="1"/>
  <c r="I806" i="1" s="1"/>
  <c r="F806" i="1"/>
  <c r="E806" i="1"/>
  <c r="C806" i="1"/>
  <c r="B806" i="1"/>
  <c r="K805" i="1"/>
  <c r="J805" i="1"/>
  <c r="L805" i="1" s="1"/>
  <c r="I805" i="1"/>
  <c r="H805" i="1"/>
  <c r="G805" i="1"/>
  <c r="E805" i="1"/>
  <c r="F805" i="1" s="1"/>
  <c r="C805" i="1"/>
  <c r="B805" i="1"/>
  <c r="L804" i="1"/>
  <c r="K804" i="1"/>
  <c r="J804" i="1"/>
  <c r="H804" i="1"/>
  <c r="G804" i="1"/>
  <c r="I804" i="1" s="1"/>
  <c r="F804" i="1"/>
  <c r="E804" i="1"/>
  <c r="C804" i="1"/>
  <c r="B804" i="1"/>
  <c r="L803" i="1"/>
  <c r="K803" i="1"/>
  <c r="J803" i="1"/>
  <c r="I803" i="1"/>
  <c r="H803" i="1"/>
  <c r="G803" i="1"/>
  <c r="F803" i="1"/>
  <c r="E803" i="1"/>
  <c r="C803" i="1"/>
  <c r="B803" i="1"/>
  <c r="K802" i="1"/>
  <c r="J802" i="1"/>
  <c r="L802" i="1" s="1"/>
  <c r="H802" i="1"/>
  <c r="G802" i="1"/>
  <c r="I802" i="1" s="1"/>
  <c r="F802" i="1"/>
  <c r="E802" i="1"/>
  <c r="C802" i="1"/>
  <c r="B802" i="1"/>
  <c r="K801" i="1"/>
  <c r="J801" i="1"/>
  <c r="L801" i="1" s="1"/>
  <c r="I801" i="1"/>
  <c r="H801" i="1"/>
  <c r="G801" i="1"/>
  <c r="E801" i="1"/>
  <c r="F801" i="1" s="1"/>
  <c r="C801" i="1"/>
  <c r="B801" i="1"/>
  <c r="L800" i="1"/>
  <c r="K800" i="1"/>
  <c r="J800" i="1"/>
  <c r="H800" i="1"/>
  <c r="G800" i="1"/>
  <c r="I800" i="1" s="1"/>
  <c r="F800" i="1"/>
  <c r="E800" i="1"/>
  <c r="C800" i="1"/>
  <c r="B800" i="1"/>
  <c r="L799" i="1"/>
  <c r="K799" i="1"/>
  <c r="J799" i="1"/>
  <c r="I799" i="1"/>
  <c r="H799" i="1"/>
  <c r="G799" i="1"/>
  <c r="F799" i="1"/>
  <c r="E799" i="1"/>
  <c r="C799" i="1"/>
  <c r="B799" i="1"/>
  <c r="K798" i="1"/>
  <c r="J798" i="1"/>
  <c r="L798" i="1" s="1"/>
  <c r="H798" i="1"/>
  <c r="G798" i="1"/>
  <c r="F798" i="1"/>
  <c r="E798" i="1"/>
  <c r="C798" i="1"/>
  <c r="B798" i="1"/>
  <c r="K797" i="1"/>
  <c r="J797" i="1"/>
  <c r="L797" i="1" s="1"/>
  <c r="I797" i="1"/>
  <c r="H797" i="1"/>
  <c r="G797" i="1"/>
  <c r="E797" i="1"/>
  <c r="F797" i="1" s="1"/>
  <c r="C797" i="1"/>
  <c r="B797" i="1"/>
  <c r="L796" i="1"/>
  <c r="K796" i="1"/>
  <c r="J796" i="1"/>
  <c r="H796" i="1"/>
  <c r="G796" i="1"/>
  <c r="I796" i="1" s="1"/>
  <c r="F796" i="1"/>
  <c r="E796" i="1"/>
  <c r="C796" i="1"/>
  <c r="B796" i="1"/>
  <c r="L795" i="1"/>
  <c r="K795" i="1"/>
  <c r="J795" i="1"/>
  <c r="I795" i="1"/>
  <c r="H795" i="1"/>
  <c r="G795" i="1"/>
  <c r="F795" i="1"/>
  <c r="E795" i="1"/>
  <c r="C795" i="1"/>
  <c r="B795" i="1"/>
  <c r="K794" i="1"/>
  <c r="J794" i="1"/>
  <c r="L794" i="1" s="1"/>
  <c r="H794" i="1"/>
  <c r="G794" i="1"/>
  <c r="F794" i="1"/>
  <c r="E794" i="1"/>
  <c r="C794" i="1"/>
  <c r="B794" i="1"/>
  <c r="K793" i="1"/>
  <c r="J793" i="1"/>
  <c r="L793" i="1" s="1"/>
  <c r="I793" i="1"/>
  <c r="H793" i="1"/>
  <c r="G793" i="1"/>
  <c r="E793" i="1"/>
  <c r="F793" i="1" s="1"/>
  <c r="C793" i="1"/>
  <c r="B793" i="1"/>
  <c r="L792" i="1"/>
  <c r="K792" i="1"/>
  <c r="J792" i="1"/>
  <c r="H792" i="1"/>
  <c r="G792" i="1"/>
  <c r="I792" i="1" s="1"/>
  <c r="F792" i="1"/>
  <c r="E792" i="1"/>
  <c r="C792" i="1"/>
  <c r="B792" i="1"/>
  <c r="L791" i="1"/>
  <c r="K791" i="1"/>
  <c r="J791" i="1"/>
  <c r="I791" i="1"/>
  <c r="H791" i="1"/>
  <c r="G791" i="1"/>
  <c r="F791" i="1"/>
  <c r="E791" i="1"/>
  <c r="C791" i="1"/>
  <c r="B791" i="1"/>
  <c r="K790" i="1"/>
  <c r="J790" i="1"/>
  <c r="L790" i="1" s="1"/>
  <c r="H790" i="1"/>
  <c r="G790" i="1"/>
  <c r="I790" i="1" s="1"/>
  <c r="F790" i="1"/>
  <c r="E790" i="1"/>
  <c r="C790" i="1"/>
  <c r="B790" i="1"/>
  <c r="K789" i="1"/>
  <c r="J789" i="1"/>
  <c r="L789" i="1" s="1"/>
  <c r="I789" i="1"/>
  <c r="H789" i="1"/>
  <c r="G789" i="1"/>
  <c r="E789" i="1"/>
  <c r="F789" i="1" s="1"/>
  <c r="C789" i="1"/>
  <c r="B789" i="1"/>
  <c r="L788" i="1"/>
  <c r="K788" i="1"/>
  <c r="J788" i="1"/>
  <c r="H788" i="1"/>
  <c r="G788" i="1"/>
  <c r="I788" i="1" s="1"/>
  <c r="F788" i="1"/>
  <c r="E788" i="1"/>
  <c r="C788" i="1"/>
  <c r="B788" i="1"/>
  <c r="L787" i="1"/>
  <c r="K787" i="1"/>
  <c r="J787" i="1"/>
  <c r="I787" i="1"/>
  <c r="H787" i="1"/>
  <c r="G787" i="1"/>
  <c r="F787" i="1"/>
  <c r="E787" i="1"/>
  <c r="C787" i="1"/>
  <c r="B787" i="1"/>
  <c r="K786" i="1"/>
  <c r="J786" i="1"/>
  <c r="L786" i="1" s="1"/>
  <c r="H786" i="1"/>
  <c r="G786" i="1"/>
  <c r="I786" i="1" s="1"/>
  <c r="F786" i="1"/>
  <c r="E786" i="1"/>
  <c r="C786" i="1"/>
  <c r="B786" i="1"/>
  <c r="K785" i="1"/>
  <c r="J785" i="1"/>
  <c r="L785" i="1" s="1"/>
  <c r="I785" i="1"/>
  <c r="H785" i="1"/>
  <c r="G785" i="1"/>
  <c r="E785" i="1"/>
  <c r="F785" i="1" s="1"/>
  <c r="C785" i="1"/>
  <c r="B785" i="1"/>
  <c r="L784" i="1"/>
  <c r="K784" i="1"/>
  <c r="J784" i="1"/>
  <c r="H784" i="1"/>
  <c r="G784" i="1"/>
  <c r="I784" i="1" s="1"/>
  <c r="F784" i="1"/>
  <c r="E784" i="1"/>
  <c r="C784" i="1"/>
  <c r="B784" i="1"/>
  <c r="L783" i="1"/>
  <c r="K783" i="1"/>
  <c r="J783" i="1"/>
  <c r="I783" i="1"/>
  <c r="H783" i="1"/>
  <c r="G783" i="1"/>
  <c r="F783" i="1"/>
  <c r="E783" i="1"/>
  <c r="C783" i="1"/>
  <c r="B783" i="1"/>
  <c r="K782" i="1"/>
  <c r="J782" i="1"/>
  <c r="L782" i="1" s="1"/>
  <c r="H782" i="1"/>
  <c r="G782" i="1"/>
  <c r="I782" i="1" s="1"/>
  <c r="F782" i="1"/>
  <c r="E782" i="1"/>
  <c r="C782" i="1"/>
  <c r="B782" i="1"/>
  <c r="K781" i="1"/>
  <c r="J781" i="1"/>
  <c r="L781" i="1" s="1"/>
  <c r="I781" i="1"/>
  <c r="H781" i="1"/>
  <c r="G781" i="1"/>
  <c r="E781" i="1"/>
  <c r="F781" i="1" s="1"/>
  <c r="C781" i="1"/>
  <c r="B781" i="1"/>
  <c r="L780" i="1"/>
  <c r="K780" i="1"/>
  <c r="J780" i="1"/>
  <c r="H780" i="1"/>
  <c r="G780" i="1"/>
  <c r="I780" i="1" s="1"/>
  <c r="F780" i="1"/>
  <c r="E780" i="1"/>
  <c r="C780" i="1"/>
  <c r="B780" i="1"/>
  <c r="L779" i="1"/>
  <c r="K779" i="1"/>
  <c r="J779" i="1"/>
  <c r="I779" i="1"/>
  <c r="H779" i="1"/>
  <c r="G779" i="1"/>
  <c r="F779" i="1"/>
  <c r="E779" i="1"/>
  <c r="C779" i="1"/>
  <c r="B779" i="1"/>
  <c r="K778" i="1"/>
  <c r="J778" i="1"/>
  <c r="L778" i="1" s="1"/>
  <c r="H778" i="1"/>
  <c r="G778" i="1"/>
  <c r="I778" i="1" s="1"/>
  <c r="F778" i="1"/>
  <c r="E778" i="1"/>
  <c r="C778" i="1"/>
  <c r="B778" i="1"/>
  <c r="K777" i="1"/>
  <c r="J777" i="1"/>
  <c r="L777" i="1" s="1"/>
  <c r="I777" i="1"/>
  <c r="H777" i="1"/>
  <c r="G777" i="1"/>
  <c r="E777" i="1"/>
  <c r="F777" i="1" s="1"/>
  <c r="C777" i="1"/>
  <c r="B777" i="1"/>
  <c r="L776" i="1"/>
  <c r="K776" i="1"/>
  <c r="J776" i="1"/>
  <c r="H776" i="1"/>
  <c r="G776" i="1"/>
  <c r="I776" i="1" s="1"/>
  <c r="F776" i="1"/>
  <c r="E776" i="1"/>
  <c r="C776" i="1"/>
  <c r="B776" i="1"/>
  <c r="L775" i="1"/>
  <c r="K775" i="1"/>
  <c r="J775" i="1"/>
  <c r="I775" i="1"/>
  <c r="H775" i="1"/>
  <c r="G775" i="1"/>
  <c r="F775" i="1"/>
  <c r="E775" i="1"/>
  <c r="C775" i="1"/>
  <c r="B775" i="1"/>
  <c r="K774" i="1"/>
  <c r="J774" i="1"/>
  <c r="L774" i="1" s="1"/>
  <c r="H774" i="1"/>
  <c r="G774" i="1"/>
  <c r="I774" i="1" s="1"/>
  <c r="F774" i="1"/>
  <c r="E774" i="1"/>
  <c r="C774" i="1"/>
  <c r="B774" i="1"/>
  <c r="K773" i="1"/>
  <c r="J773" i="1"/>
  <c r="L773" i="1" s="1"/>
  <c r="I773" i="1"/>
  <c r="H773" i="1"/>
  <c r="G773" i="1"/>
  <c r="E773" i="1"/>
  <c r="F773" i="1" s="1"/>
  <c r="C773" i="1"/>
  <c r="B773" i="1"/>
  <c r="L772" i="1"/>
  <c r="K772" i="1"/>
  <c r="J772" i="1"/>
  <c r="H772" i="1"/>
  <c r="G772" i="1"/>
  <c r="I772" i="1" s="1"/>
  <c r="F772" i="1"/>
  <c r="E772" i="1"/>
  <c r="C772" i="1"/>
  <c r="B772" i="1"/>
  <c r="L771" i="1"/>
  <c r="K771" i="1"/>
  <c r="J771" i="1"/>
  <c r="I771" i="1"/>
  <c r="H771" i="1"/>
  <c r="G771" i="1"/>
  <c r="F771" i="1"/>
  <c r="E771" i="1"/>
  <c r="C771" i="1"/>
  <c r="B771" i="1"/>
  <c r="K770" i="1"/>
  <c r="J770" i="1"/>
  <c r="L770" i="1" s="1"/>
  <c r="H770" i="1"/>
  <c r="G770" i="1"/>
  <c r="I770" i="1" s="1"/>
  <c r="F770" i="1"/>
  <c r="E770" i="1"/>
  <c r="C770" i="1"/>
  <c r="B770" i="1"/>
  <c r="K769" i="1"/>
  <c r="J769" i="1"/>
  <c r="L769" i="1" s="1"/>
  <c r="I769" i="1"/>
  <c r="H769" i="1"/>
  <c r="G769" i="1"/>
  <c r="E769" i="1"/>
  <c r="F769" i="1" s="1"/>
  <c r="C769" i="1"/>
  <c r="B769" i="1"/>
  <c r="L768" i="1"/>
  <c r="K768" i="1"/>
  <c r="J768" i="1"/>
  <c r="H768" i="1"/>
  <c r="G768" i="1"/>
  <c r="I768" i="1" s="1"/>
  <c r="F768" i="1"/>
  <c r="E768" i="1"/>
  <c r="C768" i="1"/>
  <c r="B768" i="1"/>
  <c r="L767" i="1"/>
  <c r="K767" i="1"/>
  <c r="J767" i="1"/>
  <c r="I767" i="1"/>
  <c r="H767" i="1"/>
  <c r="G767" i="1"/>
  <c r="F767" i="1"/>
  <c r="E767" i="1"/>
  <c r="C767" i="1"/>
  <c r="B767" i="1"/>
  <c r="K766" i="1"/>
  <c r="J766" i="1"/>
  <c r="L766" i="1" s="1"/>
  <c r="H766" i="1"/>
  <c r="G766" i="1"/>
  <c r="F766" i="1"/>
  <c r="E766" i="1"/>
  <c r="C766" i="1"/>
  <c r="B766" i="1"/>
  <c r="K765" i="1"/>
  <c r="J765" i="1"/>
  <c r="L765" i="1" s="1"/>
  <c r="I765" i="1"/>
  <c r="H765" i="1"/>
  <c r="G765" i="1"/>
  <c r="E765" i="1"/>
  <c r="F765" i="1" s="1"/>
  <c r="C765" i="1"/>
  <c r="B765" i="1"/>
  <c r="L764" i="1"/>
  <c r="K764" i="1"/>
  <c r="J764" i="1"/>
  <c r="H764" i="1"/>
  <c r="G764" i="1"/>
  <c r="I764" i="1" s="1"/>
  <c r="F764" i="1"/>
  <c r="E764" i="1"/>
  <c r="C764" i="1"/>
  <c r="B764" i="1"/>
  <c r="K763" i="1"/>
  <c r="J763" i="1"/>
  <c r="L763" i="1" s="1"/>
  <c r="I763" i="1"/>
  <c r="H763" i="1"/>
  <c r="G763" i="1"/>
  <c r="F763" i="1"/>
  <c r="E763" i="1"/>
  <c r="C763" i="1"/>
  <c r="B763" i="1"/>
  <c r="K762" i="1"/>
  <c r="J762" i="1"/>
  <c r="L762" i="1" s="1"/>
  <c r="H762" i="1"/>
  <c r="G762" i="1"/>
  <c r="I762" i="1" s="1"/>
  <c r="E762" i="1"/>
  <c r="F762" i="1" s="1"/>
  <c r="C762" i="1"/>
  <c r="B762" i="1"/>
  <c r="K761" i="1"/>
  <c r="J761" i="1"/>
  <c r="L761" i="1" s="1"/>
  <c r="H761" i="1"/>
  <c r="G761" i="1"/>
  <c r="I761" i="1" s="1"/>
  <c r="E761" i="1"/>
  <c r="F761" i="1" s="1"/>
  <c r="C761" i="1"/>
  <c r="B761" i="1"/>
  <c r="L760" i="1"/>
  <c r="K760" i="1"/>
  <c r="J760" i="1"/>
  <c r="H760" i="1"/>
  <c r="G760" i="1"/>
  <c r="I760" i="1" s="1"/>
  <c r="F760" i="1"/>
  <c r="E760" i="1"/>
  <c r="C760" i="1"/>
  <c r="B760" i="1"/>
  <c r="K759" i="1"/>
  <c r="J759" i="1"/>
  <c r="L759" i="1" s="1"/>
  <c r="I759" i="1"/>
  <c r="H759" i="1"/>
  <c r="G759" i="1"/>
  <c r="F759" i="1"/>
  <c r="E759" i="1"/>
  <c r="C759" i="1"/>
  <c r="B759" i="1"/>
  <c r="K758" i="1"/>
  <c r="J758" i="1"/>
  <c r="L758" i="1" s="1"/>
  <c r="H758" i="1"/>
  <c r="G758" i="1"/>
  <c r="I758" i="1" s="1"/>
  <c r="E758" i="1"/>
  <c r="F758" i="1" s="1"/>
  <c r="C758" i="1"/>
  <c r="B758" i="1"/>
  <c r="K757" i="1"/>
  <c r="J757" i="1"/>
  <c r="L757" i="1" s="1"/>
  <c r="H757" i="1"/>
  <c r="G757" i="1"/>
  <c r="I757" i="1" s="1"/>
  <c r="E757" i="1"/>
  <c r="F757" i="1" s="1"/>
  <c r="C757" i="1"/>
  <c r="B757" i="1"/>
  <c r="L756" i="1"/>
  <c r="K756" i="1"/>
  <c r="J756" i="1"/>
  <c r="H756" i="1"/>
  <c r="G756" i="1"/>
  <c r="I756" i="1" s="1"/>
  <c r="F756" i="1"/>
  <c r="E756" i="1"/>
  <c r="C756" i="1"/>
  <c r="B756" i="1"/>
  <c r="K755" i="1"/>
  <c r="J755" i="1"/>
  <c r="L755" i="1" s="1"/>
  <c r="I755" i="1"/>
  <c r="H755" i="1"/>
  <c r="G755" i="1"/>
  <c r="F755" i="1"/>
  <c r="E755" i="1"/>
  <c r="C755" i="1"/>
  <c r="B755" i="1"/>
  <c r="K754" i="1"/>
  <c r="J754" i="1"/>
  <c r="L754" i="1" s="1"/>
  <c r="H754" i="1"/>
  <c r="G754" i="1"/>
  <c r="I754" i="1" s="1"/>
  <c r="E754" i="1"/>
  <c r="F754" i="1" s="1"/>
  <c r="C754" i="1"/>
  <c r="B754" i="1"/>
  <c r="K753" i="1"/>
  <c r="J753" i="1"/>
  <c r="L753" i="1" s="1"/>
  <c r="I753" i="1"/>
  <c r="H753" i="1"/>
  <c r="G753" i="1"/>
  <c r="E753" i="1"/>
  <c r="F753" i="1" s="1"/>
  <c r="C753" i="1"/>
  <c r="B753" i="1"/>
  <c r="L752" i="1"/>
  <c r="K752" i="1"/>
  <c r="J752" i="1"/>
  <c r="H752" i="1"/>
  <c r="G752" i="1"/>
  <c r="I752" i="1" s="1"/>
  <c r="F752" i="1"/>
  <c r="E752" i="1"/>
  <c r="C752" i="1"/>
  <c r="B752" i="1"/>
  <c r="K751" i="1"/>
  <c r="J751" i="1"/>
  <c r="L751" i="1" s="1"/>
  <c r="H751" i="1"/>
  <c r="I751" i="1" s="1"/>
  <c r="G751" i="1"/>
  <c r="F751" i="1"/>
  <c r="E751" i="1"/>
  <c r="C751" i="1"/>
  <c r="B751" i="1"/>
  <c r="K750" i="1"/>
  <c r="J750" i="1"/>
  <c r="L750" i="1" s="1"/>
  <c r="H750" i="1"/>
  <c r="G750" i="1"/>
  <c r="I750" i="1" s="1"/>
  <c r="E750" i="1"/>
  <c r="F750" i="1" s="1"/>
  <c r="C750" i="1"/>
  <c r="B750" i="1"/>
  <c r="K749" i="1"/>
  <c r="J749" i="1"/>
  <c r="L749" i="1" s="1"/>
  <c r="H749" i="1"/>
  <c r="G749" i="1"/>
  <c r="I749" i="1" s="1"/>
  <c r="E749" i="1"/>
  <c r="F749" i="1" s="1"/>
  <c r="C749" i="1"/>
  <c r="B749" i="1"/>
  <c r="L748" i="1"/>
  <c r="K748" i="1"/>
  <c r="J748" i="1"/>
  <c r="H748" i="1"/>
  <c r="G748" i="1"/>
  <c r="I748" i="1" s="1"/>
  <c r="F748" i="1"/>
  <c r="E748" i="1"/>
  <c r="C748" i="1"/>
  <c r="B748" i="1"/>
  <c r="K747" i="1"/>
  <c r="J747" i="1"/>
  <c r="L747" i="1" s="1"/>
  <c r="H747" i="1"/>
  <c r="I747" i="1" s="1"/>
  <c r="G747" i="1"/>
  <c r="F747" i="1"/>
  <c r="E747" i="1"/>
  <c r="C747" i="1"/>
  <c r="B747" i="1"/>
  <c r="K746" i="1"/>
  <c r="J746" i="1"/>
  <c r="L746" i="1" s="1"/>
  <c r="H746" i="1"/>
  <c r="G746" i="1"/>
  <c r="E746" i="1"/>
  <c r="F746" i="1" s="1"/>
  <c r="C746" i="1"/>
  <c r="B746" i="1"/>
  <c r="K745" i="1"/>
  <c r="J745" i="1"/>
  <c r="L745" i="1" s="1"/>
  <c r="I745" i="1"/>
  <c r="H745" i="1"/>
  <c r="G745" i="1"/>
  <c r="E745" i="1"/>
  <c r="F745" i="1" s="1"/>
  <c r="C745" i="1"/>
  <c r="B745" i="1"/>
  <c r="L744" i="1"/>
  <c r="K744" i="1"/>
  <c r="J744" i="1"/>
  <c r="H744" i="1"/>
  <c r="G744" i="1"/>
  <c r="I744" i="1" s="1"/>
  <c r="F744" i="1"/>
  <c r="E744" i="1"/>
  <c r="C744" i="1"/>
  <c r="B744" i="1"/>
  <c r="K743" i="1"/>
  <c r="J743" i="1"/>
  <c r="L743" i="1" s="1"/>
  <c r="H743" i="1"/>
  <c r="I743" i="1" s="1"/>
  <c r="G743" i="1"/>
  <c r="F743" i="1"/>
  <c r="E743" i="1"/>
  <c r="C743" i="1"/>
  <c r="B743" i="1"/>
  <c r="K742" i="1"/>
  <c r="J742" i="1"/>
  <c r="L742" i="1" s="1"/>
  <c r="H742" i="1"/>
  <c r="G742" i="1"/>
  <c r="E742" i="1"/>
  <c r="F742" i="1" s="1"/>
  <c r="C742" i="1"/>
  <c r="B742" i="1"/>
  <c r="K741" i="1"/>
  <c r="J741" i="1"/>
  <c r="L741" i="1" s="1"/>
  <c r="I741" i="1"/>
  <c r="H741" i="1"/>
  <c r="G741" i="1"/>
  <c r="E741" i="1"/>
  <c r="F741" i="1" s="1"/>
  <c r="C741" i="1"/>
  <c r="B741" i="1"/>
  <c r="L740" i="1"/>
  <c r="K740" i="1"/>
  <c r="J740" i="1"/>
  <c r="H740" i="1"/>
  <c r="G740" i="1"/>
  <c r="I740" i="1" s="1"/>
  <c r="F740" i="1"/>
  <c r="E740" i="1"/>
  <c r="C740" i="1"/>
  <c r="B740" i="1"/>
  <c r="K739" i="1"/>
  <c r="J739" i="1"/>
  <c r="L739" i="1" s="1"/>
  <c r="H739" i="1"/>
  <c r="I739" i="1" s="1"/>
  <c r="G739" i="1"/>
  <c r="F739" i="1"/>
  <c r="E739" i="1"/>
  <c r="C739" i="1"/>
  <c r="B739" i="1"/>
  <c r="K738" i="1"/>
  <c r="J738" i="1"/>
  <c r="L738" i="1" s="1"/>
  <c r="H738" i="1"/>
  <c r="G738" i="1"/>
  <c r="E738" i="1"/>
  <c r="F738" i="1" s="1"/>
  <c r="C738" i="1"/>
  <c r="B738" i="1"/>
  <c r="K737" i="1"/>
  <c r="J737" i="1"/>
  <c r="L737" i="1" s="1"/>
  <c r="I737" i="1"/>
  <c r="H737" i="1"/>
  <c r="G737" i="1"/>
  <c r="E737" i="1"/>
  <c r="F737" i="1" s="1"/>
  <c r="C737" i="1"/>
  <c r="B737" i="1"/>
  <c r="L736" i="1"/>
  <c r="K736" i="1"/>
  <c r="J736" i="1"/>
  <c r="H736" i="1"/>
  <c r="G736" i="1"/>
  <c r="I736" i="1" s="1"/>
  <c r="F736" i="1"/>
  <c r="E736" i="1"/>
  <c r="C736" i="1"/>
  <c r="B736" i="1"/>
  <c r="K735" i="1"/>
  <c r="J735" i="1"/>
  <c r="L735" i="1" s="1"/>
  <c r="H735" i="1"/>
  <c r="I735" i="1" s="1"/>
  <c r="G735" i="1"/>
  <c r="F735" i="1"/>
  <c r="E735" i="1"/>
  <c r="C735" i="1"/>
  <c r="B735" i="1"/>
  <c r="K734" i="1"/>
  <c r="J734" i="1"/>
  <c r="L734" i="1" s="1"/>
  <c r="H734" i="1"/>
  <c r="G734" i="1"/>
  <c r="E734" i="1"/>
  <c r="F734" i="1" s="1"/>
  <c r="C734" i="1"/>
  <c r="B734" i="1"/>
  <c r="K733" i="1"/>
  <c r="J733" i="1"/>
  <c r="L733" i="1" s="1"/>
  <c r="I733" i="1"/>
  <c r="H733" i="1"/>
  <c r="G733" i="1"/>
  <c r="E733" i="1"/>
  <c r="F733" i="1" s="1"/>
  <c r="C733" i="1"/>
  <c r="B733" i="1"/>
  <c r="L732" i="1"/>
  <c r="K732" i="1"/>
  <c r="J732" i="1"/>
  <c r="H732" i="1"/>
  <c r="G732" i="1"/>
  <c r="I732" i="1" s="1"/>
  <c r="F732" i="1"/>
  <c r="E732" i="1"/>
  <c r="C732" i="1"/>
  <c r="B732" i="1"/>
  <c r="K731" i="1"/>
  <c r="J731" i="1"/>
  <c r="L731" i="1" s="1"/>
  <c r="H731" i="1"/>
  <c r="I731" i="1" s="1"/>
  <c r="G731" i="1"/>
  <c r="F731" i="1"/>
  <c r="E731" i="1"/>
  <c r="C731" i="1"/>
  <c r="B731" i="1"/>
  <c r="K730" i="1"/>
  <c r="J730" i="1"/>
  <c r="L730" i="1" s="1"/>
  <c r="H730" i="1"/>
  <c r="G730" i="1"/>
  <c r="E730" i="1"/>
  <c r="F730" i="1" s="1"/>
  <c r="C730" i="1"/>
  <c r="B730" i="1"/>
  <c r="K729" i="1"/>
  <c r="J729" i="1"/>
  <c r="L729" i="1" s="1"/>
  <c r="I729" i="1"/>
  <c r="H729" i="1"/>
  <c r="G729" i="1"/>
  <c r="E729" i="1"/>
  <c r="F729" i="1" s="1"/>
  <c r="C729" i="1"/>
  <c r="B729" i="1"/>
  <c r="L728" i="1"/>
  <c r="K728" i="1"/>
  <c r="J728" i="1"/>
  <c r="H728" i="1"/>
  <c r="G728" i="1"/>
  <c r="I728" i="1" s="1"/>
  <c r="F728" i="1"/>
  <c r="E728" i="1"/>
  <c r="C728" i="1"/>
  <c r="B728" i="1"/>
  <c r="K727" i="1"/>
  <c r="J727" i="1"/>
  <c r="L727" i="1" s="1"/>
  <c r="H727" i="1"/>
  <c r="I727" i="1" s="1"/>
  <c r="G727" i="1"/>
  <c r="F727" i="1"/>
  <c r="E727" i="1"/>
  <c r="C727" i="1"/>
  <c r="B727" i="1"/>
  <c r="K726" i="1"/>
  <c r="J726" i="1"/>
  <c r="L726" i="1" s="1"/>
  <c r="H726" i="1"/>
  <c r="G726" i="1"/>
  <c r="E726" i="1"/>
  <c r="F726" i="1" s="1"/>
  <c r="C726" i="1"/>
  <c r="B726" i="1"/>
  <c r="K725" i="1"/>
  <c r="J725" i="1"/>
  <c r="L725" i="1" s="1"/>
  <c r="I725" i="1"/>
  <c r="H725" i="1"/>
  <c r="G725" i="1"/>
  <c r="E725" i="1"/>
  <c r="F725" i="1" s="1"/>
  <c r="C725" i="1"/>
  <c r="B725" i="1"/>
  <c r="L724" i="1"/>
  <c r="K724" i="1"/>
  <c r="J724" i="1"/>
  <c r="H724" i="1"/>
  <c r="G724" i="1"/>
  <c r="I724" i="1" s="1"/>
  <c r="F724" i="1"/>
  <c r="E724" i="1"/>
  <c r="C724" i="1"/>
  <c r="B724" i="1"/>
  <c r="K723" i="1"/>
  <c r="J723" i="1"/>
  <c r="L723" i="1" s="1"/>
  <c r="H723" i="1"/>
  <c r="I723" i="1" s="1"/>
  <c r="G723" i="1"/>
  <c r="F723" i="1"/>
  <c r="E723" i="1"/>
  <c r="C723" i="1"/>
  <c r="B723" i="1"/>
  <c r="K722" i="1"/>
  <c r="J722" i="1"/>
  <c r="L722" i="1" s="1"/>
  <c r="H722" i="1"/>
  <c r="G722" i="1"/>
  <c r="E722" i="1"/>
  <c r="F722" i="1" s="1"/>
  <c r="C722" i="1"/>
  <c r="B722" i="1"/>
  <c r="K721" i="1"/>
  <c r="J721" i="1"/>
  <c r="L721" i="1" s="1"/>
  <c r="I721" i="1"/>
  <c r="H721" i="1"/>
  <c r="G721" i="1"/>
  <c r="E721" i="1"/>
  <c r="F721" i="1" s="1"/>
  <c r="C721" i="1"/>
  <c r="B721" i="1"/>
  <c r="L720" i="1"/>
  <c r="K720" i="1"/>
  <c r="J720" i="1"/>
  <c r="H720" i="1"/>
  <c r="G720" i="1"/>
  <c r="I720" i="1" s="1"/>
  <c r="F720" i="1"/>
  <c r="E720" i="1"/>
  <c r="C720" i="1"/>
  <c r="B720" i="1"/>
  <c r="K719" i="1"/>
  <c r="J719" i="1"/>
  <c r="L719" i="1" s="1"/>
  <c r="H719" i="1"/>
  <c r="I719" i="1" s="1"/>
  <c r="G719" i="1"/>
  <c r="F719" i="1"/>
  <c r="E719" i="1"/>
  <c r="C719" i="1"/>
  <c r="B719" i="1"/>
  <c r="K718" i="1"/>
  <c r="J718" i="1"/>
  <c r="L718" i="1" s="1"/>
  <c r="H718" i="1"/>
  <c r="G718" i="1"/>
  <c r="E718" i="1"/>
  <c r="F718" i="1" s="1"/>
  <c r="C718" i="1"/>
  <c r="B718" i="1"/>
  <c r="K717" i="1"/>
  <c r="J717" i="1"/>
  <c r="L717" i="1" s="1"/>
  <c r="I717" i="1"/>
  <c r="H717" i="1"/>
  <c r="G717" i="1"/>
  <c r="E717" i="1"/>
  <c r="F717" i="1" s="1"/>
  <c r="C717" i="1"/>
  <c r="B717" i="1"/>
  <c r="L716" i="1"/>
  <c r="K716" i="1"/>
  <c r="J716" i="1"/>
  <c r="H716" i="1"/>
  <c r="G716" i="1"/>
  <c r="I716" i="1" s="1"/>
  <c r="F716" i="1"/>
  <c r="E716" i="1"/>
  <c r="C716" i="1"/>
  <c r="B716" i="1"/>
  <c r="K715" i="1"/>
  <c r="J715" i="1"/>
  <c r="L715" i="1" s="1"/>
  <c r="H715" i="1"/>
  <c r="I715" i="1" s="1"/>
  <c r="G715" i="1"/>
  <c r="F715" i="1"/>
  <c r="E715" i="1"/>
  <c r="C715" i="1"/>
  <c r="B715" i="1"/>
  <c r="K714" i="1"/>
  <c r="J714" i="1"/>
  <c r="L714" i="1" s="1"/>
  <c r="H714" i="1"/>
  <c r="G714" i="1"/>
  <c r="E714" i="1"/>
  <c r="F714" i="1" s="1"/>
  <c r="C714" i="1"/>
  <c r="B714" i="1"/>
  <c r="K713" i="1"/>
  <c r="J713" i="1"/>
  <c r="L713" i="1" s="1"/>
  <c r="I713" i="1"/>
  <c r="H713" i="1"/>
  <c r="G713" i="1"/>
  <c r="E713" i="1"/>
  <c r="F713" i="1" s="1"/>
  <c r="C713" i="1"/>
  <c r="B713" i="1"/>
  <c r="L712" i="1"/>
  <c r="K712" i="1"/>
  <c r="J712" i="1"/>
  <c r="H712" i="1"/>
  <c r="G712" i="1"/>
  <c r="I712" i="1" s="1"/>
  <c r="F712" i="1"/>
  <c r="E712" i="1"/>
  <c r="C712" i="1"/>
  <c r="B712" i="1"/>
  <c r="K711" i="1"/>
  <c r="J711" i="1"/>
  <c r="L711" i="1" s="1"/>
  <c r="H711" i="1"/>
  <c r="I711" i="1" s="1"/>
  <c r="G711" i="1"/>
  <c r="F711" i="1"/>
  <c r="E711" i="1"/>
  <c r="C711" i="1"/>
  <c r="B711" i="1"/>
  <c r="K710" i="1"/>
  <c r="J710" i="1"/>
  <c r="L710" i="1" s="1"/>
  <c r="H710" i="1"/>
  <c r="G710" i="1"/>
  <c r="E710" i="1"/>
  <c r="F710" i="1" s="1"/>
  <c r="C710" i="1"/>
  <c r="B710" i="1"/>
  <c r="K709" i="1"/>
  <c r="J709" i="1"/>
  <c r="L709" i="1" s="1"/>
  <c r="I709" i="1"/>
  <c r="H709" i="1"/>
  <c r="G709" i="1"/>
  <c r="E709" i="1"/>
  <c r="F709" i="1" s="1"/>
  <c r="C709" i="1"/>
  <c r="B709" i="1"/>
  <c r="L708" i="1"/>
  <c r="K708" i="1"/>
  <c r="J708" i="1"/>
  <c r="H708" i="1"/>
  <c r="G708" i="1"/>
  <c r="I708" i="1" s="1"/>
  <c r="F708" i="1"/>
  <c r="E708" i="1"/>
  <c r="C708" i="1"/>
  <c r="B708" i="1"/>
  <c r="K707" i="1"/>
  <c r="J707" i="1"/>
  <c r="L707" i="1" s="1"/>
  <c r="H707" i="1"/>
  <c r="I707" i="1" s="1"/>
  <c r="G707" i="1"/>
  <c r="F707" i="1"/>
  <c r="E707" i="1"/>
  <c r="C707" i="1"/>
  <c r="B707" i="1"/>
  <c r="K706" i="1"/>
  <c r="J706" i="1"/>
  <c r="L706" i="1" s="1"/>
  <c r="H706" i="1"/>
  <c r="G706" i="1"/>
  <c r="E706" i="1"/>
  <c r="F706" i="1" s="1"/>
  <c r="C706" i="1"/>
  <c r="B706" i="1"/>
  <c r="K705" i="1"/>
  <c r="J705" i="1"/>
  <c r="L705" i="1" s="1"/>
  <c r="I705" i="1"/>
  <c r="H705" i="1"/>
  <c r="G705" i="1"/>
  <c r="E705" i="1"/>
  <c r="F705" i="1" s="1"/>
  <c r="C705" i="1"/>
  <c r="B705" i="1"/>
  <c r="L704" i="1"/>
  <c r="K704" i="1"/>
  <c r="J704" i="1"/>
  <c r="H704" i="1"/>
  <c r="G704" i="1"/>
  <c r="I704" i="1" s="1"/>
  <c r="F704" i="1"/>
  <c r="E704" i="1"/>
  <c r="C704" i="1"/>
  <c r="B704" i="1"/>
  <c r="K703" i="1"/>
  <c r="J703" i="1"/>
  <c r="L703" i="1" s="1"/>
  <c r="H703" i="1"/>
  <c r="I703" i="1" s="1"/>
  <c r="G703" i="1"/>
  <c r="F703" i="1"/>
  <c r="E703" i="1"/>
  <c r="C703" i="1"/>
  <c r="B703" i="1"/>
  <c r="K702" i="1"/>
  <c r="J702" i="1"/>
  <c r="L702" i="1" s="1"/>
  <c r="H702" i="1"/>
  <c r="G702" i="1"/>
  <c r="E702" i="1"/>
  <c r="F702" i="1" s="1"/>
  <c r="C702" i="1"/>
  <c r="B702" i="1"/>
  <c r="K701" i="1"/>
  <c r="J701" i="1"/>
  <c r="L701" i="1" s="1"/>
  <c r="I701" i="1"/>
  <c r="H701" i="1"/>
  <c r="G701" i="1"/>
  <c r="E701" i="1"/>
  <c r="F701" i="1" s="1"/>
  <c r="C701" i="1"/>
  <c r="B701" i="1"/>
  <c r="L700" i="1"/>
  <c r="K700" i="1"/>
  <c r="J700" i="1"/>
  <c r="H700" i="1"/>
  <c r="G700" i="1"/>
  <c r="I700" i="1" s="1"/>
  <c r="F700" i="1"/>
  <c r="E700" i="1"/>
  <c r="C700" i="1"/>
  <c r="B700" i="1"/>
  <c r="K699" i="1"/>
  <c r="J699" i="1"/>
  <c r="L699" i="1" s="1"/>
  <c r="H699" i="1"/>
  <c r="I699" i="1" s="1"/>
  <c r="G699" i="1"/>
  <c r="F699" i="1"/>
  <c r="E699" i="1"/>
  <c r="C699" i="1"/>
  <c r="B699" i="1"/>
  <c r="K698" i="1"/>
  <c r="J698" i="1"/>
  <c r="L698" i="1" s="1"/>
  <c r="H698" i="1"/>
  <c r="G698" i="1"/>
  <c r="E698" i="1"/>
  <c r="F698" i="1" s="1"/>
  <c r="C698" i="1"/>
  <c r="B698" i="1"/>
  <c r="K697" i="1"/>
  <c r="J697" i="1"/>
  <c r="L697" i="1" s="1"/>
  <c r="I697" i="1"/>
  <c r="H697" i="1"/>
  <c r="G697" i="1"/>
  <c r="E697" i="1"/>
  <c r="F697" i="1" s="1"/>
  <c r="C697" i="1"/>
  <c r="B697" i="1"/>
  <c r="L696" i="1"/>
  <c r="K696" i="1"/>
  <c r="J696" i="1"/>
  <c r="H696" i="1"/>
  <c r="G696" i="1"/>
  <c r="I696" i="1" s="1"/>
  <c r="F696" i="1"/>
  <c r="E696" i="1"/>
  <c r="C696" i="1"/>
  <c r="B696" i="1"/>
  <c r="K695" i="1"/>
  <c r="J695" i="1"/>
  <c r="L695" i="1" s="1"/>
  <c r="H695" i="1"/>
  <c r="I695" i="1" s="1"/>
  <c r="G695" i="1"/>
  <c r="F695" i="1"/>
  <c r="E695" i="1"/>
  <c r="C695" i="1"/>
  <c r="B695" i="1"/>
  <c r="K694" i="1"/>
  <c r="J694" i="1"/>
  <c r="L694" i="1" s="1"/>
  <c r="H694" i="1"/>
  <c r="G694" i="1"/>
  <c r="I694" i="1" s="1"/>
  <c r="E694" i="1"/>
  <c r="F694" i="1" s="1"/>
  <c r="C694" i="1"/>
  <c r="B694" i="1"/>
  <c r="L693" i="1"/>
  <c r="K693" i="1"/>
  <c r="J693" i="1"/>
  <c r="I693" i="1"/>
  <c r="H693" i="1"/>
  <c r="G693" i="1"/>
  <c r="E693" i="1"/>
  <c r="F693" i="1" s="1"/>
  <c r="C693" i="1"/>
  <c r="B693" i="1"/>
  <c r="L692" i="1"/>
  <c r="K692" i="1"/>
  <c r="J692" i="1"/>
  <c r="H692" i="1"/>
  <c r="G692" i="1"/>
  <c r="I692" i="1" s="1"/>
  <c r="F692" i="1"/>
  <c r="E692" i="1"/>
  <c r="C692" i="1"/>
  <c r="B692" i="1"/>
  <c r="K691" i="1"/>
  <c r="J691" i="1"/>
  <c r="L691" i="1" s="1"/>
  <c r="H691" i="1"/>
  <c r="I691" i="1" s="1"/>
  <c r="G691" i="1"/>
  <c r="F691" i="1"/>
  <c r="E691" i="1"/>
  <c r="C691" i="1"/>
  <c r="B691" i="1"/>
  <c r="K690" i="1"/>
  <c r="J690" i="1"/>
  <c r="L690" i="1" s="1"/>
  <c r="H690" i="1"/>
  <c r="G690" i="1"/>
  <c r="E690" i="1"/>
  <c r="F690" i="1" s="1"/>
  <c r="C690" i="1"/>
  <c r="B690" i="1"/>
  <c r="L689" i="1"/>
  <c r="K689" i="1"/>
  <c r="J689" i="1"/>
  <c r="I689" i="1"/>
  <c r="H689" i="1"/>
  <c r="G689" i="1"/>
  <c r="E689" i="1"/>
  <c r="F689" i="1" s="1"/>
  <c r="C689" i="1"/>
  <c r="B689" i="1"/>
  <c r="L688" i="1"/>
  <c r="K688" i="1"/>
  <c r="J688" i="1"/>
  <c r="H688" i="1"/>
  <c r="G688" i="1"/>
  <c r="I688" i="1" s="1"/>
  <c r="F688" i="1"/>
  <c r="E688" i="1"/>
  <c r="C688" i="1"/>
  <c r="B688" i="1"/>
  <c r="K687" i="1"/>
  <c r="J687" i="1"/>
  <c r="L687" i="1" s="1"/>
  <c r="H687" i="1"/>
  <c r="I687" i="1" s="1"/>
  <c r="G687" i="1"/>
  <c r="F687" i="1"/>
  <c r="E687" i="1"/>
  <c r="C687" i="1"/>
  <c r="B687" i="1"/>
  <c r="K686" i="1"/>
  <c r="J686" i="1"/>
  <c r="L686" i="1" s="1"/>
  <c r="H686" i="1"/>
  <c r="G686" i="1"/>
  <c r="I686" i="1" s="1"/>
  <c r="E686" i="1"/>
  <c r="F686" i="1" s="1"/>
  <c r="C686" i="1"/>
  <c r="B686" i="1"/>
  <c r="K685" i="1"/>
  <c r="J685" i="1"/>
  <c r="L685" i="1" s="1"/>
  <c r="I685" i="1"/>
  <c r="H685" i="1"/>
  <c r="G685" i="1"/>
  <c r="E685" i="1"/>
  <c r="F685" i="1" s="1"/>
  <c r="C685" i="1"/>
  <c r="B685" i="1"/>
  <c r="L684" i="1"/>
  <c r="K684" i="1"/>
  <c r="J684" i="1"/>
  <c r="H684" i="1"/>
  <c r="G684" i="1"/>
  <c r="I684" i="1" s="1"/>
  <c r="F684" i="1"/>
  <c r="E684" i="1"/>
  <c r="C684" i="1"/>
  <c r="B684" i="1"/>
  <c r="K683" i="1"/>
  <c r="J683" i="1"/>
  <c r="L683" i="1" s="1"/>
  <c r="H683" i="1"/>
  <c r="I683" i="1" s="1"/>
  <c r="G683" i="1"/>
  <c r="F683" i="1"/>
  <c r="E683" i="1"/>
  <c r="C683" i="1"/>
  <c r="B683" i="1"/>
  <c r="K682" i="1"/>
  <c r="J682" i="1"/>
  <c r="L682" i="1" s="1"/>
  <c r="H682" i="1"/>
  <c r="G682" i="1"/>
  <c r="E682" i="1"/>
  <c r="F682" i="1" s="1"/>
  <c r="C682" i="1"/>
  <c r="B682" i="1"/>
  <c r="K681" i="1"/>
  <c r="J681" i="1"/>
  <c r="L681" i="1" s="1"/>
  <c r="I681" i="1"/>
  <c r="H681" i="1"/>
  <c r="G681" i="1"/>
  <c r="E681" i="1"/>
  <c r="F681" i="1" s="1"/>
  <c r="C681" i="1"/>
  <c r="B681" i="1"/>
  <c r="L680" i="1"/>
  <c r="K680" i="1"/>
  <c r="J680" i="1"/>
  <c r="H680" i="1"/>
  <c r="G680" i="1"/>
  <c r="I680" i="1" s="1"/>
  <c r="F680" i="1"/>
  <c r="E680" i="1"/>
  <c r="C680" i="1"/>
  <c r="B680" i="1"/>
  <c r="K679" i="1"/>
  <c r="J679" i="1"/>
  <c r="L679" i="1" s="1"/>
  <c r="H679" i="1"/>
  <c r="I679" i="1" s="1"/>
  <c r="G679" i="1"/>
  <c r="F679" i="1"/>
  <c r="E679" i="1"/>
  <c r="C679" i="1"/>
  <c r="B679" i="1"/>
  <c r="K678" i="1"/>
  <c r="J678" i="1"/>
  <c r="H678" i="1"/>
  <c r="G678" i="1"/>
  <c r="E678" i="1"/>
  <c r="F678" i="1" s="1"/>
  <c r="C678" i="1"/>
  <c r="B678" i="1"/>
  <c r="L677" i="1"/>
  <c r="K677" i="1"/>
  <c r="J677" i="1"/>
  <c r="I677" i="1"/>
  <c r="H677" i="1"/>
  <c r="G677" i="1"/>
  <c r="E677" i="1"/>
  <c r="F677" i="1" s="1"/>
  <c r="C677" i="1"/>
  <c r="B677" i="1"/>
  <c r="L676" i="1"/>
  <c r="K676" i="1"/>
  <c r="J676" i="1"/>
  <c r="H676" i="1"/>
  <c r="G676" i="1"/>
  <c r="I676" i="1" s="1"/>
  <c r="F676" i="1"/>
  <c r="E676" i="1"/>
  <c r="C676" i="1"/>
  <c r="B676" i="1"/>
  <c r="K675" i="1"/>
  <c r="J675" i="1"/>
  <c r="L675" i="1" s="1"/>
  <c r="I675" i="1"/>
  <c r="H675" i="1"/>
  <c r="G675" i="1"/>
  <c r="F675" i="1"/>
  <c r="E675" i="1"/>
  <c r="C675" i="1"/>
  <c r="B675" i="1"/>
  <c r="K674" i="1"/>
  <c r="J674" i="1"/>
  <c r="H674" i="1"/>
  <c r="G674" i="1"/>
  <c r="E674" i="1"/>
  <c r="F674" i="1" s="1"/>
  <c r="C674" i="1"/>
  <c r="B674" i="1"/>
  <c r="K673" i="1"/>
  <c r="J673" i="1"/>
  <c r="L673" i="1" s="1"/>
  <c r="I673" i="1"/>
  <c r="H673" i="1"/>
  <c r="G673" i="1"/>
  <c r="E673" i="1"/>
  <c r="F673" i="1" s="1"/>
  <c r="C673" i="1"/>
  <c r="B673" i="1"/>
  <c r="L672" i="1"/>
  <c r="K672" i="1"/>
  <c r="J672" i="1"/>
  <c r="H672" i="1"/>
  <c r="G672" i="1"/>
  <c r="I672" i="1" s="1"/>
  <c r="F672" i="1"/>
  <c r="E672" i="1"/>
  <c r="C672" i="1"/>
  <c r="B672" i="1"/>
  <c r="K671" i="1"/>
  <c r="J671" i="1"/>
  <c r="L671" i="1" s="1"/>
  <c r="H671" i="1"/>
  <c r="I671" i="1" s="1"/>
  <c r="G671" i="1"/>
  <c r="F671" i="1"/>
  <c r="E671" i="1"/>
  <c r="C671" i="1"/>
  <c r="B671" i="1"/>
  <c r="K670" i="1"/>
  <c r="J670" i="1"/>
  <c r="H670" i="1"/>
  <c r="G670" i="1"/>
  <c r="E670" i="1"/>
  <c r="F670" i="1" s="1"/>
  <c r="C670" i="1"/>
  <c r="B670" i="1"/>
  <c r="L669" i="1"/>
  <c r="K669" i="1"/>
  <c r="J669" i="1"/>
  <c r="I669" i="1"/>
  <c r="H669" i="1"/>
  <c r="G669" i="1"/>
  <c r="E669" i="1"/>
  <c r="F669" i="1" s="1"/>
  <c r="C669" i="1"/>
  <c r="B669" i="1"/>
  <c r="L668" i="1"/>
  <c r="K668" i="1"/>
  <c r="J668" i="1"/>
  <c r="H668" i="1"/>
  <c r="G668" i="1"/>
  <c r="I668" i="1" s="1"/>
  <c r="F668" i="1"/>
  <c r="E668" i="1"/>
  <c r="C668" i="1"/>
  <c r="B668" i="1"/>
  <c r="K667" i="1"/>
  <c r="J667" i="1"/>
  <c r="L667" i="1" s="1"/>
  <c r="H667" i="1"/>
  <c r="I667" i="1" s="1"/>
  <c r="G667" i="1"/>
  <c r="F667" i="1"/>
  <c r="E667" i="1"/>
  <c r="C667" i="1"/>
  <c r="B667" i="1"/>
  <c r="K666" i="1"/>
  <c r="J666" i="1"/>
  <c r="H666" i="1"/>
  <c r="G666" i="1"/>
  <c r="E666" i="1"/>
  <c r="F666" i="1" s="1"/>
  <c r="C666" i="1"/>
  <c r="B666" i="1"/>
  <c r="K665" i="1"/>
  <c r="J665" i="1"/>
  <c r="L665" i="1" s="1"/>
  <c r="I665" i="1"/>
  <c r="H665" i="1"/>
  <c r="G665" i="1"/>
  <c r="E665" i="1"/>
  <c r="F665" i="1" s="1"/>
  <c r="C665" i="1"/>
  <c r="B665" i="1"/>
  <c r="L664" i="1"/>
  <c r="K664" i="1"/>
  <c r="J664" i="1"/>
  <c r="H664" i="1"/>
  <c r="G664" i="1"/>
  <c r="I664" i="1" s="1"/>
  <c r="F664" i="1"/>
  <c r="E664" i="1"/>
  <c r="C664" i="1"/>
  <c r="B664" i="1"/>
  <c r="K663" i="1"/>
  <c r="J663" i="1"/>
  <c r="L663" i="1" s="1"/>
  <c r="H663" i="1"/>
  <c r="I663" i="1" s="1"/>
  <c r="G663" i="1"/>
  <c r="F663" i="1"/>
  <c r="E663" i="1"/>
  <c r="C663" i="1"/>
  <c r="B663" i="1"/>
  <c r="K662" i="1"/>
  <c r="J662" i="1"/>
  <c r="H662" i="1"/>
  <c r="G662" i="1"/>
  <c r="E662" i="1"/>
  <c r="F662" i="1" s="1"/>
  <c r="C662" i="1"/>
  <c r="B662" i="1"/>
  <c r="L661" i="1"/>
  <c r="K661" i="1"/>
  <c r="J661" i="1"/>
  <c r="I661" i="1"/>
  <c r="H661" i="1"/>
  <c r="G661" i="1"/>
  <c r="E661" i="1"/>
  <c r="F661" i="1" s="1"/>
  <c r="C661" i="1"/>
  <c r="B661" i="1"/>
  <c r="L660" i="1"/>
  <c r="K660" i="1"/>
  <c r="J660" i="1"/>
  <c r="H660" i="1"/>
  <c r="G660" i="1"/>
  <c r="I660" i="1" s="1"/>
  <c r="F660" i="1"/>
  <c r="E660" i="1"/>
  <c r="C660" i="1"/>
  <c r="B660" i="1"/>
  <c r="K659" i="1"/>
  <c r="J659" i="1"/>
  <c r="L659" i="1" s="1"/>
  <c r="I659" i="1"/>
  <c r="H659" i="1"/>
  <c r="G659" i="1"/>
  <c r="F659" i="1"/>
  <c r="E659" i="1"/>
  <c r="C659" i="1"/>
  <c r="B659" i="1"/>
  <c r="K658" i="1"/>
  <c r="J658" i="1"/>
  <c r="H658" i="1"/>
  <c r="G658" i="1"/>
  <c r="I658" i="1" s="1"/>
  <c r="E658" i="1"/>
  <c r="F658" i="1" s="1"/>
  <c r="C658" i="1"/>
  <c r="B658" i="1"/>
  <c r="L657" i="1"/>
  <c r="K657" i="1"/>
  <c r="J657" i="1"/>
  <c r="H657" i="1"/>
  <c r="G657" i="1"/>
  <c r="I657" i="1" s="1"/>
  <c r="F657" i="1"/>
  <c r="E657" i="1"/>
  <c r="C657" i="1"/>
  <c r="B657" i="1"/>
  <c r="L656" i="1"/>
  <c r="K656" i="1"/>
  <c r="J656" i="1"/>
  <c r="H656" i="1"/>
  <c r="I656" i="1" s="1"/>
  <c r="G656" i="1"/>
  <c r="F656" i="1"/>
  <c r="E656" i="1"/>
  <c r="C656" i="1"/>
  <c r="B656" i="1"/>
  <c r="K655" i="1"/>
  <c r="J655" i="1"/>
  <c r="I655" i="1"/>
  <c r="H655" i="1"/>
  <c r="G655" i="1"/>
  <c r="F655" i="1"/>
  <c r="E655" i="1"/>
  <c r="C655" i="1"/>
  <c r="B655" i="1"/>
  <c r="K654" i="1"/>
  <c r="L654" i="1" s="1"/>
  <c r="J654" i="1"/>
  <c r="I654" i="1"/>
  <c r="H654" i="1"/>
  <c r="G654" i="1"/>
  <c r="E654" i="1"/>
  <c r="F654" i="1" s="1"/>
  <c r="C654" i="1"/>
  <c r="B654" i="1"/>
  <c r="L653" i="1"/>
  <c r="K653" i="1"/>
  <c r="J653" i="1"/>
  <c r="I653" i="1"/>
  <c r="H653" i="1"/>
  <c r="G653" i="1"/>
  <c r="F653" i="1"/>
  <c r="E653" i="1"/>
  <c r="C653" i="1"/>
  <c r="B653" i="1"/>
  <c r="L652" i="1"/>
  <c r="K652" i="1"/>
  <c r="J652" i="1"/>
  <c r="H652" i="1"/>
  <c r="I652" i="1" s="1"/>
  <c r="G652" i="1"/>
  <c r="F652" i="1"/>
  <c r="E652" i="1"/>
  <c r="C652" i="1"/>
  <c r="B652" i="1"/>
  <c r="K651" i="1"/>
  <c r="J651" i="1"/>
  <c r="L651" i="1" s="1"/>
  <c r="I651" i="1"/>
  <c r="H651" i="1"/>
  <c r="G651" i="1"/>
  <c r="E651" i="1"/>
  <c r="F651" i="1" s="1"/>
  <c r="C651" i="1"/>
  <c r="B651" i="1"/>
  <c r="K650" i="1"/>
  <c r="L650" i="1" s="1"/>
  <c r="J650" i="1"/>
  <c r="I650" i="1"/>
  <c r="H650" i="1"/>
  <c r="G650" i="1"/>
  <c r="E650" i="1"/>
  <c r="F650" i="1" s="1"/>
  <c r="C650" i="1"/>
  <c r="B650" i="1"/>
  <c r="L649" i="1"/>
  <c r="K649" i="1"/>
  <c r="J649" i="1"/>
  <c r="H649" i="1"/>
  <c r="G649" i="1"/>
  <c r="I649" i="1" s="1"/>
  <c r="E649" i="1"/>
  <c r="F649" i="1" s="1"/>
  <c r="C649" i="1"/>
  <c r="B649" i="1"/>
  <c r="L648" i="1"/>
  <c r="K648" i="1"/>
  <c r="J648" i="1"/>
  <c r="I648" i="1"/>
  <c r="H648" i="1"/>
  <c r="G648" i="1"/>
  <c r="F648" i="1"/>
  <c r="E648" i="1"/>
  <c r="C648" i="1"/>
  <c r="B648" i="1"/>
  <c r="K647" i="1"/>
  <c r="J647" i="1"/>
  <c r="H647" i="1"/>
  <c r="G647" i="1"/>
  <c r="I647" i="1" s="1"/>
  <c r="E647" i="1"/>
  <c r="F647" i="1" s="1"/>
  <c r="C647" i="1"/>
  <c r="B647" i="1"/>
  <c r="L646" i="1"/>
  <c r="K646" i="1"/>
  <c r="J646" i="1"/>
  <c r="I646" i="1"/>
  <c r="H646" i="1"/>
  <c r="G646" i="1"/>
  <c r="E646" i="1"/>
  <c r="F646" i="1" s="1"/>
  <c r="C646" i="1"/>
  <c r="B646" i="1"/>
  <c r="K645" i="1"/>
  <c r="J645" i="1"/>
  <c r="L645" i="1" s="1"/>
  <c r="I645" i="1"/>
  <c r="H645" i="1"/>
  <c r="G645" i="1"/>
  <c r="F645" i="1"/>
  <c r="E645" i="1"/>
  <c r="C645" i="1"/>
  <c r="B645" i="1"/>
  <c r="L644" i="1"/>
  <c r="K644" i="1"/>
  <c r="J644" i="1"/>
  <c r="H644" i="1"/>
  <c r="G644" i="1"/>
  <c r="I644" i="1" s="1"/>
  <c r="E644" i="1"/>
  <c r="F644" i="1" s="1"/>
  <c r="C644" i="1"/>
  <c r="B644" i="1"/>
  <c r="K643" i="1"/>
  <c r="J643" i="1"/>
  <c r="I643" i="1"/>
  <c r="H643" i="1"/>
  <c r="G643" i="1"/>
  <c r="E643" i="1"/>
  <c r="F643" i="1" s="1"/>
  <c r="C643" i="1"/>
  <c r="B643" i="1"/>
  <c r="K642" i="1"/>
  <c r="J642" i="1"/>
  <c r="L642" i="1" s="1"/>
  <c r="H642" i="1"/>
  <c r="G642" i="1"/>
  <c r="I642" i="1" s="1"/>
  <c r="E642" i="1"/>
  <c r="F642" i="1" s="1"/>
  <c r="C642" i="1"/>
  <c r="B642" i="1"/>
  <c r="L641" i="1"/>
  <c r="K641" i="1"/>
  <c r="J641" i="1"/>
  <c r="H641" i="1"/>
  <c r="G641" i="1"/>
  <c r="I641" i="1" s="1"/>
  <c r="F641" i="1"/>
  <c r="E641" i="1"/>
  <c r="C641" i="1"/>
  <c r="B641" i="1"/>
  <c r="L640" i="1"/>
  <c r="K640" i="1"/>
  <c r="J640" i="1"/>
  <c r="H640" i="1"/>
  <c r="I640" i="1" s="1"/>
  <c r="G640" i="1"/>
  <c r="F640" i="1"/>
  <c r="E640" i="1"/>
  <c r="C640" i="1"/>
  <c r="B640" i="1"/>
  <c r="K639" i="1"/>
  <c r="J639" i="1"/>
  <c r="I639" i="1"/>
  <c r="H639" i="1"/>
  <c r="G639" i="1"/>
  <c r="F639" i="1"/>
  <c r="E639" i="1"/>
  <c r="C639" i="1"/>
  <c r="B639" i="1"/>
  <c r="K638" i="1"/>
  <c r="L638" i="1" s="1"/>
  <c r="J638" i="1"/>
  <c r="I638" i="1"/>
  <c r="H638" i="1"/>
  <c r="G638" i="1"/>
  <c r="E638" i="1"/>
  <c r="F638" i="1" s="1"/>
  <c r="C638" i="1"/>
  <c r="B638" i="1"/>
  <c r="L637" i="1"/>
  <c r="K637" i="1"/>
  <c r="J637" i="1"/>
  <c r="I637" i="1"/>
  <c r="H637" i="1"/>
  <c r="G637" i="1"/>
  <c r="F637" i="1"/>
  <c r="E637" i="1"/>
  <c r="C637" i="1"/>
  <c r="B637" i="1"/>
  <c r="L636" i="1"/>
  <c r="K636" i="1"/>
  <c r="J636" i="1"/>
  <c r="H636" i="1"/>
  <c r="G636" i="1"/>
  <c r="I636" i="1" s="1"/>
  <c r="F636" i="1"/>
  <c r="E636" i="1"/>
  <c r="C636" i="1"/>
  <c r="B636" i="1"/>
  <c r="K635" i="1"/>
  <c r="J635" i="1"/>
  <c r="I635" i="1"/>
  <c r="H635" i="1"/>
  <c r="G635" i="1"/>
  <c r="E635" i="1"/>
  <c r="F635" i="1" s="1"/>
  <c r="C635" i="1"/>
  <c r="B635" i="1"/>
  <c r="K634" i="1"/>
  <c r="J634" i="1"/>
  <c r="L634" i="1" s="1"/>
  <c r="I634" i="1"/>
  <c r="H634" i="1"/>
  <c r="G634" i="1"/>
  <c r="E634" i="1"/>
  <c r="F634" i="1" s="1"/>
  <c r="C634" i="1"/>
  <c r="B634" i="1"/>
  <c r="L633" i="1"/>
  <c r="K633" i="1"/>
  <c r="J633" i="1"/>
  <c r="H633" i="1"/>
  <c r="G633" i="1"/>
  <c r="I633" i="1" s="1"/>
  <c r="F633" i="1"/>
  <c r="E633" i="1"/>
  <c r="C633" i="1"/>
  <c r="B633" i="1"/>
  <c r="L632" i="1"/>
  <c r="K632" i="1"/>
  <c r="J632" i="1"/>
  <c r="I632" i="1"/>
  <c r="H632" i="1"/>
  <c r="G632" i="1"/>
  <c r="F632" i="1"/>
  <c r="E632" i="1"/>
  <c r="C632" i="1"/>
  <c r="B632" i="1"/>
  <c r="K631" i="1"/>
  <c r="J631" i="1"/>
  <c r="H631" i="1"/>
  <c r="G631" i="1"/>
  <c r="I631" i="1" s="1"/>
  <c r="E631" i="1"/>
  <c r="F631" i="1" s="1"/>
  <c r="C631" i="1"/>
  <c r="B631" i="1"/>
  <c r="L630" i="1"/>
  <c r="K630" i="1"/>
  <c r="J630" i="1"/>
  <c r="I630" i="1"/>
  <c r="H630" i="1"/>
  <c r="G630" i="1"/>
  <c r="E630" i="1"/>
  <c r="F630" i="1" s="1"/>
  <c r="C630" i="1"/>
  <c r="B630" i="1"/>
  <c r="K629" i="1"/>
  <c r="J629" i="1"/>
  <c r="L629" i="1" s="1"/>
  <c r="I629" i="1"/>
  <c r="H629" i="1"/>
  <c r="G629" i="1"/>
  <c r="F629" i="1"/>
  <c r="E629" i="1"/>
  <c r="C629" i="1"/>
  <c r="B629" i="1"/>
  <c r="L628" i="1"/>
  <c r="K628" i="1"/>
  <c r="J628" i="1"/>
  <c r="H628" i="1"/>
  <c r="G628" i="1"/>
  <c r="I628" i="1" s="1"/>
  <c r="F628" i="1"/>
  <c r="E628" i="1"/>
  <c r="C628" i="1"/>
  <c r="B628" i="1"/>
  <c r="K627" i="1"/>
  <c r="J627" i="1"/>
  <c r="I627" i="1"/>
  <c r="H627" i="1"/>
  <c r="G627" i="1"/>
  <c r="E627" i="1"/>
  <c r="F627" i="1" s="1"/>
  <c r="C627" i="1"/>
  <c r="B627" i="1"/>
  <c r="K626" i="1"/>
  <c r="J626" i="1"/>
  <c r="L626" i="1" s="1"/>
  <c r="H626" i="1"/>
  <c r="G626" i="1"/>
  <c r="I626" i="1" s="1"/>
  <c r="E626" i="1"/>
  <c r="F626" i="1" s="1"/>
  <c r="C626" i="1"/>
  <c r="B626" i="1"/>
  <c r="L625" i="1"/>
  <c r="K625" i="1"/>
  <c r="J625" i="1"/>
  <c r="H625" i="1"/>
  <c r="G625" i="1"/>
  <c r="I625" i="1" s="1"/>
  <c r="F625" i="1"/>
  <c r="E625" i="1"/>
  <c r="C625" i="1"/>
  <c r="B625" i="1"/>
  <c r="L624" i="1"/>
  <c r="K624" i="1"/>
  <c r="J624" i="1"/>
  <c r="H624" i="1"/>
  <c r="G624" i="1"/>
  <c r="I624" i="1" s="1"/>
  <c r="F624" i="1"/>
  <c r="E624" i="1"/>
  <c r="C624" i="1"/>
  <c r="B624" i="1"/>
  <c r="L623" i="1"/>
  <c r="K623" i="1"/>
  <c r="J623" i="1"/>
  <c r="H623" i="1"/>
  <c r="G623" i="1"/>
  <c r="I623" i="1" s="1"/>
  <c r="F623" i="1"/>
  <c r="E623" i="1"/>
  <c r="C623" i="1"/>
  <c r="B623" i="1"/>
  <c r="L622" i="1"/>
  <c r="K622" i="1"/>
  <c r="J622" i="1"/>
  <c r="I622" i="1"/>
  <c r="H622" i="1"/>
  <c r="G622" i="1"/>
  <c r="F622" i="1"/>
  <c r="E622" i="1"/>
  <c r="C622" i="1"/>
  <c r="B622" i="1"/>
  <c r="L621" i="1"/>
  <c r="K621" i="1"/>
  <c r="J621" i="1"/>
  <c r="H621" i="1"/>
  <c r="G621" i="1"/>
  <c r="I621" i="1" s="1"/>
  <c r="F621" i="1"/>
  <c r="E621" i="1"/>
  <c r="C621" i="1"/>
  <c r="B621" i="1"/>
  <c r="K620" i="1"/>
  <c r="J620" i="1"/>
  <c r="L620" i="1" s="1"/>
  <c r="H620" i="1"/>
  <c r="G620" i="1"/>
  <c r="I620" i="1" s="1"/>
  <c r="F620" i="1"/>
  <c r="E620" i="1"/>
  <c r="C620" i="1"/>
  <c r="B620" i="1"/>
  <c r="L619" i="1"/>
  <c r="K619" i="1"/>
  <c r="J619" i="1"/>
  <c r="H619" i="1"/>
  <c r="G619" i="1"/>
  <c r="I619" i="1" s="1"/>
  <c r="F619" i="1"/>
  <c r="E619" i="1"/>
  <c r="C619" i="1"/>
  <c r="B619" i="1"/>
  <c r="L618" i="1"/>
  <c r="K618" i="1"/>
  <c r="J618" i="1"/>
  <c r="I618" i="1"/>
  <c r="H618" i="1"/>
  <c r="G618" i="1"/>
  <c r="F618" i="1"/>
  <c r="E618" i="1"/>
  <c r="C618" i="1"/>
  <c r="B618" i="1"/>
  <c r="L617" i="1"/>
  <c r="K617" i="1"/>
  <c r="J617" i="1"/>
  <c r="H617" i="1"/>
  <c r="G617" i="1"/>
  <c r="I617" i="1" s="1"/>
  <c r="F617" i="1"/>
  <c r="E617" i="1"/>
  <c r="C617" i="1"/>
  <c r="B617" i="1"/>
  <c r="K616" i="1"/>
  <c r="J616" i="1"/>
  <c r="L616" i="1" s="1"/>
  <c r="H616" i="1"/>
  <c r="G616" i="1"/>
  <c r="I616" i="1" s="1"/>
  <c r="F616" i="1"/>
  <c r="E616" i="1"/>
  <c r="C616" i="1"/>
  <c r="B616" i="1"/>
  <c r="L615" i="1"/>
  <c r="K615" i="1"/>
  <c r="J615" i="1"/>
  <c r="H615" i="1"/>
  <c r="G615" i="1"/>
  <c r="I615" i="1" s="1"/>
  <c r="F615" i="1"/>
  <c r="E615" i="1"/>
  <c r="C615" i="1"/>
  <c r="B615" i="1"/>
  <c r="L614" i="1"/>
  <c r="K614" i="1"/>
  <c r="J614" i="1"/>
  <c r="I614" i="1"/>
  <c r="H614" i="1"/>
  <c r="G614" i="1"/>
  <c r="F614" i="1"/>
  <c r="E614" i="1"/>
  <c r="C614" i="1"/>
  <c r="B614" i="1"/>
  <c r="L613" i="1"/>
  <c r="K613" i="1"/>
  <c r="J613" i="1"/>
  <c r="H613" i="1"/>
  <c r="G613" i="1"/>
  <c r="I613" i="1" s="1"/>
  <c r="F613" i="1"/>
  <c r="E613" i="1"/>
  <c r="C613" i="1"/>
  <c r="B613" i="1"/>
  <c r="K612" i="1"/>
  <c r="J612" i="1"/>
  <c r="L612" i="1" s="1"/>
  <c r="H612" i="1"/>
  <c r="G612" i="1"/>
  <c r="I612" i="1" s="1"/>
  <c r="E612" i="1"/>
  <c r="F612" i="1" s="1"/>
  <c r="C612" i="1"/>
  <c r="B612" i="1"/>
  <c r="L611" i="1"/>
  <c r="K611" i="1"/>
  <c r="J611" i="1"/>
  <c r="H611" i="1"/>
  <c r="G611" i="1"/>
  <c r="I611" i="1" s="1"/>
  <c r="F611" i="1"/>
  <c r="E611" i="1"/>
  <c r="C611" i="1"/>
  <c r="B611" i="1"/>
  <c r="L610" i="1"/>
  <c r="K610" i="1"/>
  <c r="J610" i="1"/>
  <c r="I610" i="1"/>
  <c r="H610" i="1"/>
  <c r="G610" i="1"/>
  <c r="F610" i="1"/>
  <c r="E610" i="1"/>
  <c r="C610" i="1"/>
  <c r="B610" i="1"/>
  <c r="L609" i="1"/>
  <c r="K609" i="1"/>
  <c r="J609" i="1"/>
  <c r="H609" i="1"/>
  <c r="G609" i="1"/>
  <c r="I609" i="1" s="1"/>
  <c r="F609" i="1"/>
  <c r="E609" i="1"/>
  <c r="C609" i="1"/>
  <c r="B609" i="1"/>
  <c r="K608" i="1"/>
  <c r="J608" i="1"/>
  <c r="L608" i="1" s="1"/>
  <c r="H608" i="1"/>
  <c r="G608" i="1"/>
  <c r="I608" i="1" s="1"/>
  <c r="F608" i="1"/>
  <c r="E608" i="1"/>
  <c r="C608" i="1"/>
  <c r="B608" i="1"/>
  <c r="L607" i="1"/>
  <c r="K607" i="1"/>
  <c r="J607" i="1"/>
  <c r="H607" i="1"/>
  <c r="G607" i="1"/>
  <c r="I607" i="1" s="1"/>
  <c r="F607" i="1"/>
  <c r="E607" i="1"/>
  <c r="C607" i="1"/>
  <c r="B607" i="1"/>
  <c r="L606" i="1"/>
  <c r="K606" i="1"/>
  <c r="J606" i="1"/>
  <c r="I606" i="1"/>
  <c r="H606" i="1"/>
  <c r="G606" i="1"/>
  <c r="F606" i="1"/>
  <c r="E606" i="1"/>
  <c r="C606" i="1"/>
  <c r="B606" i="1"/>
  <c r="K605" i="1"/>
  <c r="L605" i="1" s="1"/>
  <c r="J605" i="1"/>
  <c r="H605" i="1"/>
  <c r="G605" i="1"/>
  <c r="I605" i="1" s="1"/>
  <c r="F605" i="1"/>
  <c r="E605" i="1"/>
  <c r="C605" i="1"/>
  <c r="B605" i="1"/>
  <c r="K604" i="1"/>
  <c r="J604" i="1"/>
  <c r="L604" i="1" s="1"/>
  <c r="H604" i="1"/>
  <c r="I604" i="1" s="1"/>
  <c r="G604" i="1"/>
  <c r="E604" i="1"/>
  <c r="F604" i="1" s="1"/>
  <c r="C604" i="1"/>
  <c r="B604" i="1"/>
  <c r="L603" i="1"/>
  <c r="K603" i="1"/>
  <c r="J603" i="1"/>
  <c r="H603" i="1"/>
  <c r="G603" i="1"/>
  <c r="I603" i="1" s="1"/>
  <c r="F603" i="1"/>
  <c r="E603" i="1"/>
  <c r="C603" i="1"/>
  <c r="B603" i="1"/>
  <c r="L602" i="1"/>
  <c r="K602" i="1"/>
  <c r="J602" i="1"/>
  <c r="I602" i="1"/>
  <c r="H602" i="1"/>
  <c r="G602" i="1"/>
  <c r="F602" i="1"/>
  <c r="E602" i="1"/>
  <c r="C602" i="1"/>
  <c r="B602" i="1"/>
  <c r="K601" i="1"/>
  <c r="L601" i="1" s="1"/>
  <c r="J601" i="1"/>
  <c r="H601" i="1"/>
  <c r="G601" i="1"/>
  <c r="I601" i="1" s="1"/>
  <c r="F601" i="1"/>
  <c r="E601" i="1"/>
  <c r="C601" i="1"/>
  <c r="B601" i="1"/>
  <c r="K600" i="1"/>
  <c r="J600" i="1"/>
  <c r="L600" i="1" s="1"/>
  <c r="H600" i="1"/>
  <c r="I600" i="1" s="1"/>
  <c r="G600" i="1"/>
  <c r="E600" i="1"/>
  <c r="F600" i="1" s="1"/>
  <c r="C600" i="1"/>
  <c r="B600" i="1"/>
  <c r="L599" i="1"/>
  <c r="K599" i="1"/>
  <c r="J599" i="1"/>
  <c r="H599" i="1"/>
  <c r="G599" i="1"/>
  <c r="I599" i="1" s="1"/>
  <c r="F599" i="1"/>
  <c r="E599" i="1"/>
  <c r="C599" i="1"/>
  <c r="B599" i="1"/>
  <c r="L598" i="1"/>
  <c r="K598" i="1"/>
  <c r="J598" i="1"/>
  <c r="I598" i="1"/>
  <c r="H598" i="1"/>
  <c r="G598" i="1"/>
  <c r="F598" i="1"/>
  <c r="E598" i="1"/>
  <c r="C598" i="1"/>
  <c r="B598" i="1"/>
  <c r="K597" i="1"/>
  <c r="L597" i="1" s="1"/>
  <c r="J597" i="1"/>
  <c r="H597" i="1"/>
  <c r="G597" i="1"/>
  <c r="I597" i="1" s="1"/>
  <c r="F597" i="1"/>
  <c r="E597" i="1"/>
  <c r="C597" i="1"/>
  <c r="B597" i="1"/>
  <c r="K596" i="1"/>
  <c r="J596" i="1"/>
  <c r="L596" i="1" s="1"/>
  <c r="H596" i="1"/>
  <c r="I596" i="1" s="1"/>
  <c r="G596" i="1"/>
  <c r="E596" i="1"/>
  <c r="F596" i="1" s="1"/>
  <c r="C596" i="1"/>
  <c r="B596" i="1"/>
  <c r="L595" i="1"/>
  <c r="K595" i="1"/>
  <c r="J595" i="1"/>
  <c r="H595" i="1"/>
  <c r="G595" i="1"/>
  <c r="I595" i="1" s="1"/>
  <c r="F595" i="1"/>
  <c r="E595" i="1"/>
  <c r="C595" i="1"/>
  <c r="B595" i="1"/>
  <c r="L594" i="1"/>
  <c r="K594" i="1"/>
  <c r="J594" i="1"/>
  <c r="I594" i="1"/>
  <c r="H594" i="1"/>
  <c r="G594" i="1"/>
  <c r="F594" i="1"/>
  <c r="E594" i="1"/>
  <c r="C594" i="1"/>
  <c r="B594" i="1"/>
  <c r="K593" i="1"/>
  <c r="L593" i="1" s="1"/>
  <c r="J593" i="1"/>
  <c r="H593" i="1"/>
  <c r="G593" i="1"/>
  <c r="I593" i="1" s="1"/>
  <c r="F593" i="1"/>
  <c r="E593" i="1"/>
  <c r="C593" i="1"/>
  <c r="B593" i="1"/>
  <c r="K592" i="1"/>
  <c r="J592" i="1"/>
  <c r="L592" i="1" s="1"/>
  <c r="H592" i="1"/>
  <c r="I592" i="1" s="1"/>
  <c r="G592" i="1"/>
  <c r="E592" i="1"/>
  <c r="F592" i="1" s="1"/>
  <c r="C592" i="1"/>
  <c r="B592" i="1"/>
  <c r="L591" i="1"/>
  <c r="K591" i="1"/>
  <c r="J591" i="1"/>
  <c r="H591" i="1"/>
  <c r="G591" i="1"/>
  <c r="I591" i="1" s="1"/>
  <c r="F591" i="1"/>
  <c r="E591" i="1"/>
  <c r="C591" i="1"/>
  <c r="B591" i="1"/>
  <c r="L590" i="1"/>
  <c r="K590" i="1"/>
  <c r="J590" i="1"/>
  <c r="I590" i="1"/>
  <c r="H590" i="1"/>
  <c r="G590" i="1"/>
  <c r="F590" i="1"/>
  <c r="E590" i="1"/>
  <c r="C590" i="1"/>
  <c r="B590" i="1"/>
  <c r="K589" i="1"/>
  <c r="L589" i="1" s="1"/>
  <c r="J589" i="1"/>
  <c r="H589" i="1"/>
  <c r="G589" i="1"/>
  <c r="I589" i="1" s="1"/>
  <c r="F589" i="1"/>
  <c r="E589" i="1"/>
  <c r="C589" i="1"/>
  <c r="B589" i="1"/>
  <c r="K588" i="1"/>
  <c r="J588" i="1"/>
  <c r="L588" i="1" s="1"/>
  <c r="H588" i="1"/>
  <c r="I588" i="1" s="1"/>
  <c r="G588" i="1"/>
  <c r="E588" i="1"/>
  <c r="F588" i="1" s="1"/>
  <c r="C588" i="1"/>
  <c r="B588" i="1"/>
  <c r="L587" i="1"/>
  <c r="K587" i="1"/>
  <c r="J587" i="1"/>
  <c r="H587" i="1"/>
  <c r="G587" i="1"/>
  <c r="I587" i="1" s="1"/>
  <c r="F587" i="1"/>
  <c r="E587" i="1"/>
  <c r="C587" i="1"/>
  <c r="B587" i="1"/>
  <c r="L586" i="1"/>
  <c r="K586" i="1"/>
  <c r="J586" i="1"/>
  <c r="I586" i="1"/>
  <c r="H586" i="1"/>
  <c r="G586" i="1"/>
  <c r="F586" i="1"/>
  <c r="E586" i="1"/>
  <c r="C586" i="1"/>
  <c r="B586" i="1"/>
  <c r="K585" i="1"/>
  <c r="L585" i="1" s="1"/>
  <c r="J585" i="1"/>
  <c r="H585" i="1"/>
  <c r="G585" i="1"/>
  <c r="I585" i="1" s="1"/>
  <c r="F585" i="1"/>
  <c r="E585" i="1"/>
  <c r="C585" i="1"/>
  <c r="B585" i="1"/>
  <c r="K584" i="1"/>
  <c r="J584" i="1"/>
  <c r="L584" i="1" s="1"/>
  <c r="H584" i="1"/>
  <c r="I584" i="1" s="1"/>
  <c r="G584" i="1"/>
  <c r="E584" i="1"/>
  <c r="F584" i="1" s="1"/>
  <c r="C584" i="1"/>
  <c r="B584" i="1"/>
  <c r="L583" i="1"/>
  <c r="K583" i="1"/>
  <c r="J583" i="1"/>
  <c r="H583" i="1"/>
  <c r="G583" i="1"/>
  <c r="I583" i="1" s="1"/>
  <c r="F583" i="1"/>
  <c r="E583" i="1"/>
  <c r="C583" i="1"/>
  <c r="B583" i="1"/>
  <c r="L582" i="1"/>
  <c r="K582" i="1"/>
  <c r="J582" i="1"/>
  <c r="I582" i="1"/>
  <c r="H582" i="1"/>
  <c r="G582" i="1"/>
  <c r="F582" i="1"/>
  <c r="E582" i="1"/>
  <c r="C582" i="1"/>
  <c r="B582" i="1"/>
  <c r="K581" i="1"/>
  <c r="L581" i="1" s="1"/>
  <c r="J581" i="1"/>
  <c r="H581" i="1"/>
  <c r="G581" i="1"/>
  <c r="I581" i="1" s="1"/>
  <c r="F581" i="1"/>
  <c r="E581" i="1"/>
  <c r="C581" i="1"/>
  <c r="B581" i="1"/>
  <c r="K580" i="1"/>
  <c r="J580" i="1"/>
  <c r="L580" i="1" s="1"/>
  <c r="H580" i="1"/>
  <c r="I580" i="1" s="1"/>
  <c r="G580" i="1"/>
  <c r="E580" i="1"/>
  <c r="F580" i="1" s="1"/>
  <c r="C580" i="1"/>
  <c r="B580" i="1"/>
  <c r="L579" i="1"/>
  <c r="K579" i="1"/>
  <c r="J579" i="1"/>
  <c r="H579" i="1"/>
  <c r="G579" i="1"/>
  <c r="I579" i="1" s="1"/>
  <c r="F579" i="1"/>
  <c r="E579" i="1"/>
  <c r="C579" i="1"/>
  <c r="B579" i="1"/>
  <c r="L578" i="1"/>
  <c r="K578" i="1"/>
  <c r="J578" i="1"/>
  <c r="I578" i="1"/>
  <c r="H578" i="1"/>
  <c r="G578" i="1"/>
  <c r="F578" i="1"/>
  <c r="E578" i="1"/>
  <c r="C578" i="1"/>
  <c r="B578" i="1"/>
  <c r="K577" i="1"/>
  <c r="L577" i="1" s="1"/>
  <c r="J577" i="1"/>
  <c r="H577" i="1"/>
  <c r="G577" i="1"/>
  <c r="I577" i="1" s="1"/>
  <c r="F577" i="1"/>
  <c r="E577" i="1"/>
  <c r="C577" i="1"/>
  <c r="B577" i="1"/>
  <c r="K576" i="1"/>
  <c r="J576" i="1"/>
  <c r="L576" i="1" s="1"/>
  <c r="H576" i="1"/>
  <c r="I576" i="1" s="1"/>
  <c r="G576" i="1"/>
  <c r="E576" i="1"/>
  <c r="F576" i="1" s="1"/>
  <c r="C576" i="1"/>
  <c r="B576" i="1"/>
  <c r="L575" i="1"/>
  <c r="K575" i="1"/>
  <c r="J575" i="1"/>
  <c r="H575" i="1"/>
  <c r="G575" i="1"/>
  <c r="I575" i="1" s="1"/>
  <c r="F575" i="1"/>
  <c r="E575" i="1"/>
  <c r="C575" i="1"/>
  <c r="B575" i="1"/>
  <c r="L574" i="1"/>
  <c r="K574" i="1"/>
  <c r="J574" i="1"/>
  <c r="I574" i="1"/>
  <c r="H574" i="1"/>
  <c r="G574" i="1"/>
  <c r="F574" i="1"/>
  <c r="E574" i="1"/>
  <c r="C574" i="1"/>
  <c r="B574" i="1"/>
  <c r="K573" i="1"/>
  <c r="L573" i="1" s="1"/>
  <c r="J573" i="1"/>
  <c r="H573" i="1"/>
  <c r="G573" i="1"/>
  <c r="I573" i="1" s="1"/>
  <c r="F573" i="1"/>
  <c r="E573" i="1"/>
  <c r="C573" i="1"/>
  <c r="B573" i="1"/>
  <c r="K572" i="1"/>
  <c r="J572" i="1"/>
  <c r="L572" i="1" s="1"/>
  <c r="H572" i="1"/>
  <c r="I572" i="1" s="1"/>
  <c r="G572" i="1"/>
  <c r="E572" i="1"/>
  <c r="F572" i="1" s="1"/>
  <c r="C572" i="1"/>
  <c r="B572" i="1"/>
  <c r="L571" i="1"/>
  <c r="K571" i="1"/>
  <c r="J571" i="1"/>
  <c r="H571" i="1"/>
  <c r="G571" i="1"/>
  <c r="I571" i="1" s="1"/>
  <c r="F571" i="1"/>
  <c r="E571" i="1"/>
  <c r="C571" i="1"/>
  <c r="B571" i="1"/>
  <c r="L570" i="1"/>
  <c r="K570" i="1"/>
  <c r="J570" i="1"/>
  <c r="I570" i="1"/>
  <c r="H570" i="1"/>
  <c r="G570" i="1"/>
  <c r="F570" i="1"/>
  <c r="E570" i="1"/>
  <c r="C570" i="1"/>
  <c r="B570" i="1"/>
  <c r="K569" i="1"/>
  <c r="L569" i="1" s="1"/>
  <c r="J569" i="1"/>
  <c r="H569" i="1"/>
  <c r="G569" i="1"/>
  <c r="I569" i="1" s="1"/>
  <c r="F569" i="1"/>
  <c r="E569" i="1"/>
  <c r="C569" i="1"/>
  <c r="B569" i="1"/>
  <c r="K568" i="1"/>
  <c r="J568" i="1"/>
  <c r="L568" i="1" s="1"/>
  <c r="H568" i="1"/>
  <c r="I568" i="1" s="1"/>
  <c r="G568" i="1"/>
  <c r="E568" i="1"/>
  <c r="F568" i="1" s="1"/>
  <c r="C568" i="1"/>
  <c r="B568" i="1"/>
  <c r="L567" i="1"/>
  <c r="K567" i="1"/>
  <c r="J567" i="1"/>
  <c r="H567" i="1"/>
  <c r="G567" i="1"/>
  <c r="I567" i="1" s="1"/>
  <c r="F567" i="1"/>
  <c r="E567" i="1"/>
  <c r="C567" i="1"/>
  <c r="B567" i="1"/>
  <c r="L566" i="1"/>
  <c r="K566" i="1"/>
  <c r="J566" i="1"/>
  <c r="I566" i="1"/>
  <c r="H566" i="1"/>
  <c r="G566" i="1"/>
  <c r="F566" i="1"/>
  <c r="E566" i="1"/>
  <c r="C566" i="1"/>
  <c r="B566" i="1"/>
  <c r="K565" i="1"/>
  <c r="J565" i="1"/>
  <c r="L565" i="1" s="1"/>
  <c r="H565" i="1"/>
  <c r="G565" i="1"/>
  <c r="I565" i="1" s="1"/>
  <c r="F565" i="1"/>
  <c r="E565" i="1"/>
  <c r="C565" i="1"/>
  <c r="B565" i="1"/>
  <c r="K564" i="1"/>
  <c r="J564" i="1"/>
  <c r="L564" i="1" s="1"/>
  <c r="H564" i="1"/>
  <c r="I564" i="1" s="1"/>
  <c r="G564" i="1"/>
  <c r="E564" i="1"/>
  <c r="F564" i="1" s="1"/>
  <c r="C564" i="1"/>
  <c r="B564" i="1"/>
  <c r="L563" i="1"/>
  <c r="K563" i="1"/>
  <c r="J563" i="1"/>
  <c r="H563" i="1"/>
  <c r="G563" i="1"/>
  <c r="I563" i="1" s="1"/>
  <c r="F563" i="1"/>
  <c r="E563" i="1"/>
  <c r="C563" i="1"/>
  <c r="B563" i="1"/>
  <c r="L562" i="1"/>
  <c r="K562" i="1"/>
  <c r="J562" i="1"/>
  <c r="I562" i="1"/>
  <c r="H562" i="1"/>
  <c r="G562" i="1"/>
  <c r="F562" i="1"/>
  <c r="E562" i="1"/>
  <c r="C562" i="1"/>
  <c r="B562" i="1"/>
  <c r="K561" i="1"/>
  <c r="J561" i="1"/>
  <c r="L561" i="1" s="1"/>
  <c r="H561" i="1"/>
  <c r="G561" i="1"/>
  <c r="I561" i="1" s="1"/>
  <c r="F561" i="1"/>
  <c r="E561" i="1"/>
  <c r="C561" i="1"/>
  <c r="B561" i="1"/>
  <c r="K560" i="1"/>
  <c r="J560" i="1"/>
  <c r="L560" i="1" s="1"/>
  <c r="H560" i="1"/>
  <c r="I560" i="1" s="1"/>
  <c r="G560" i="1"/>
  <c r="E560" i="1"/>
  <c r="F560" i="1" s="1"/>
  <c r="C560" i="1"/>
  <c r="B560" i="1"/>
  <c r="L559" i="1"/>
  <c r="K559" i="1"/>
  <c r="J559" i="1"/>
  <c r="H559" i="1"/>
  <c r="G559" i="1"/>
  <c r="I559" i="1" s="1"/>
  <c r="F559" i="1"/>
  <c r="E559" i="1"/>
  <c r="C559" i="1"/>
  <c r="B559" i="1"/>
  <c r="L558" i="1"/>
  <c r="K558" i="1"/>
  <c r="J558" i="1"/>
  <c r="I558" i="1"/>
  <c r="H558" i="1"/>
  <c r="G558" i="1"/>
  <c r="F558" i="1"/>
  <c r="E558" i="1"/>
  <c r="C558" i="1"/>
  <c r="B558" i="1"/>
  <c r="K557" i="1"/>
  <c r="J557" i="1"/>
  <c r="L557" i="1" s="1"/>
  <c r="H557" i="1"/>
  <c r="G557" i="1"/>
  <c r="I557" i="1" s="1"/>
  <c r="F557" i="1"/>
  <c r="E557" i="1"/>
  <c r="C557" i="1"/>
  <c r="B557" i="1"/>
  <c r="K556" i="1"/>
  <c r="J556" i="1"/>
  <c r="L556" i="1" s="1"/>
  <c r="H556" i="1"/>
  <c r="I556" i="1" s="1"/>
  <c r="G556" i="1"/>
  <c r="E556" i="1"/>
  <c r="F556" i="1" s="1"/>
  <c r="C556" i="1"/>
  <c r="B556" i="1"/>
  <c r="L555" i="1"/>
  <c r="K555" i="1"/>
  <c r="J555" i="1"/>
  <c r="H555" i="1"/>
  <c r="G555" i="1"/>
  <c r="I555" i="1" s="1"/>
  <c r="F555" i="1"/>
  <c r="E555" i="1"/>
  <c r="C555" i="1"/>
  <c r="B555" i="1"/>
  <c r="L554" i="1"/>
  <c r="K554" i="1"/>
  <c r="J554" i="1"/>
  <c r="I554" i="1"/>
  <c r="H554" i="1"/>
  <c r="G554" i="1"/>
  <c r="F554" i="1"/>
  <c r="E554" i="1"/>
  <c r="C554" i="1"/>
  <c r="B554" i="1"/>
  <c r="K553" i="1"/>
  <c r="J553" i="1"/>
  <c r="L553" i="1" s="1"/>
  <c r="H553" i="1"/>
  <c r="G553" i="1"/>
  <c r="I553" i="1" s="1"/>
  <c r="F553" i="1"/>
  <c r="E553" i="1"/>
  <c r="C553" i="1"/>
  <c r="B553" i="1"/>
  <c r="K552" i="1"/>
  <c r="J552" i="1"/>
  <c r="L552" i="1" s="1"/>
  <c r="H552" i="1"/>
  <c r="I552" i="1" s="1"/>
  <c r="G552" i="1"/>
  <c r="E552" i="1"/>
  <c r="F552" i="1" s="1"/>
  <c r="C552" i="1"/>
  <c r="B552" i="1"/>
  <c r="L551" i="1"/>
  <c r="K551" i="1"/>
  <c r="J551" i="1"/>
  <c r="H551" i="1"/>
  <c r="G551" i="1"/>
  <c r="I551" i="1" s="1"/>
  <c r="F551" i="1"/>
  <c r="E551" i="1"/>
  <c r="C551" i="1"/>
  <c r="B551" i="1"/>
  <c r="L550" i="1"/>
  <c r="K550" i="1"/>
  <c r="J550" i="1"/>
  <c r="I550" i="1"/>
  <c r="H550" i="1"/>
  <c r="G550" i="1"/>
  <c r="F550" i="1"/>
  <c r="E550" i="1"/>
  <c r="C550" i="1"/>
  <c r="B550" i="1"/>
  <c r="K549" i="1"/>
  <c r="J549" i="1"/>
  <c r="L549" i="1" s="1"/>
  <c r="H549" i="1"/>
  <c r="G549" i="1"/>
  <c r="I549" i="1" s="1"/>
  <c r="F549" i="1"/>
  <c r="E549" i="1"/>
  <c r="C549" i="1"/>
  <c r="B549" i="1"/>
  <c r="K548" i="1"/>
  <c r="J548" i="1"/>
  <c r="L548" i="1" s="1"/>
  <c r="H548" i="1"/>
  <c r="I548" i="1" s="1"/>
  <c r="G548" i="1"/>
  <c r="E548" i="1"/>
  <c r="F548" i="1" s="1"/>
  <c r="C548" i="1"/>
  <c r="B548" i="1"/>
  <c r="L547" i="1"/>
  <c r="K547" i="1"/>
  <c r="J547" i="1"/>
  <c r="H547" i="1"/>
  <c r="G547" i="1"/>
  <c r="I547" i="1" s="1"/>
  <c r="F547" i="1"/>
  <c r="E547" i="1"/>
  <c r="C547" i="1"/>
  <c r="B547" i="1"/>
  <c r="L546" i="1"/>
  <c r="K546" i="1"/>
  <c r="J546" i="1"/>
  <c r="I546" i="1"/>
  <c r="H546" i="1"/>
  <c r="G546" i="1"/>
  <c r="F546" i="1"/>
  <c r="E546" i="1"/>
  <c r="C546" i="1"/>
  <c r="B546" i="1"/>
  <c r="K545" i="1"/>
  <c r="L545" i="1" s="1"/>
  <c r="J545" i="1"/>
  <c r="H545" i="1"/>
  <c r="G545" i="1"/>
  <c r="I545" i="1" s="1"/>
  <c r="F545" i="1"/>
  <c r="E545" i="1"/>
  <c r="C545" i="1"/>
  <c r="B545" i="1"/>
  <c r="K544" i="1"/>
  <c r="J544" i="1"/>
  <c r="L544" i="1" s="1"/>
  <c r="H544" i="1"/>
  <c r="I544" i="1" s="1"/>
  <c r="G544" i="1"/>
  <c r="E544" i="1"/>
  <c r="F544" i="1" s="1"/>
  <c r="C544" i="1"/>
  <c r="B544" i="1"/>
  <c r="L543" i="1"/>
  <c r="K543" i="1"/>
  <c r="J543" i="1"/>
  <c r="H543" i="1"/>
  <c r="G543" i="1"/>
  <c r="I543" i="1" s="1"/>
  <c r="F543" i="1"/>
  <c r="E543" i="1"/>
  <c r="C543" i="1"/>
  <c r="B543" i="1"/>
  <c r="L542" i="1"/>
  <c r="K542" i="1"/>
  <c r="J542" i="1"/>
  <c r="I542" i="1"/>
  <c r="H542" i="1"/>
  <c r="G542" i="1"/>
  <c r="F542" i="1"/>
  <c r="E542" i="1"/>
  <c r="C542" i="1"/>
  <c r="B542" i="1"/>
  <c r="K541" i="1"/>
  <c r="L541" i="1" s="1"/>
  <c r="J541" i="1"/>
  <c r="H541" i="1"/>
  <c r="G541" i="1"/>
  <c r="I541" i="1" s="1"/>
  <c r="F541" i="1"/>
  <c r="E541" i="1"/>
  <c r="C541" i="1"/>
  <c r="B541" i="1"/>
  <c r="K540" i="1"/>
  <c r="J540" i="1"/>
  <c r="L540" i="1" s="1"/>
  <c r="H540" i="1"/>
  <c r="I540" i="1" s="1"/>
  <c r="G540" i="1"/>
  <c r="E540" i="1"/>
  <c r="F540" i="1" s="1"/>
  <c r="C540" i="1"/>
  <c r="B540" i="1"/>
  <c r="L539" i="1"/>
  <c r="K539" i="1"/>
  <c r="J539" i="1"/>
  <c r="H539" i="1"/>
  <c r="G539" i="1"/>
  <c r="I539" i="1" s="1"/>
  <c r="F539" i="1"/>
  <c r="E539" i="1"/>
  <c r="C539" i="1"/>
  <c r="B539" i="1"/>
  <c r="L538" i="1"/>
  <c r="K538" i="1"/>
  <c r="J538" i="1"/>
  <c r="I538" i="1"/>
  <c r="H538" i="1"/>
  <c r="G538" i="1"/>
  <c r="F538" i="1"/>
  <c r="E538" i="1"/>
  <c r="C538" i="1"/>
  <c r="B538" i="1"/>
  <c r="K537" i="1"/>
  <c r="L537" i="1" s="1"/>
  <c r="J537" i="1"/>
  <c r="H537" i="1"/>
  <c r="G537" i="1"/>
  <c r="I537" i="1" s="1"/>
  <c r="F537" i="1"/>
  <c r="E537" i="1"/>
  <c r="C537" i="1"/>
  <c r="B537" i="1"/>
  <c r="K536" i="1"/>
  <c r="J536" i="1"/>
  <c r="L536" i="1" s="1"/>
  <c r="H536" i="1"/>
  <c r="I536" i="1" s="1"/>
  <c r="G536" i="1"/>
  <c r="E536" i="1"/>
  <c r="F536" i="1" s="1"/>
  <c r="C536" i="1"/>
  <c r="B536" i="1"/>
  <c r="L535" i="1"/>
  <c r="K535" i="1"/>
  <c r="J535" i="1"/>
  <c r="H535" i="1"/>
  <c r="G535" i="1"/>
  <c r="I535" i="1" s="1"/>
  <c r="F535" i="1"/>
  <c r="E535" i="1"/>
  <c r="C535" i="1"/>
  <c r="B535" i="1"/>
  <c r="L534" i="1"/>
  <c r="K534" i="1"/>
  <c r="J534" i="1"/>
  <c r="I534" i="1"/>
  <c r="H534" i="1"/>
  <c r="G534" i="1"/>
  <c r="F534" i="1"/>
  <c r="E534" i="1"/>
  <c r="C534" i="1"/>
  <c r="B534" i="1"/>
  <c r="K533" i="1"/>
  <c r="L533" i="1" s="1"/>
  <c r="J533" i="1"/>
  <c r="H533" i="1"/>
  <c r="G533" i="1"/>
  <c r="I533" i="1" s="1"/>
  <c r="F533" i="1"/>
  <c r="E533" i="1"/>
  <c r="C533" i="1"/>
  <c r="B533" i="1"/>
  <c r="K532" i="1"/>
  <c r="J532" i="1"/>
  <c r="L532" i="1" s="1"/>
  <c r="H532" i="1"/>
  <c r="I532" i="1" s="1"/>
  <c r="G532" i="1"/>
  <c r="E532" i="1"/>
  <c r="F532" i="1" s="1"/>
  <c r="C532" i="1"/>
  <c r="B532" i="1"/>
  <c r="L531" i="1"/>
  <c r="K531" i="1"/>
  <c r="J531" i="1"/>
  <c r="H531" i="1"/>
  <c r="G531" i="1"/>
  <c r="I531" i="1" s="1"/>
  <c r="F531" i="1"/>
  <c r="E531" i="1"/>
  <c r="C531" i="1"/>
  <c r="B531" i="1"/>
  <c r="L530" i="1"/>
  <c r="K530" i="1"/>
  <c r="J530" i="1"/>
  <c r="I530" i="1"/>
  <c r="H530" i="1"/>
  <c r="G530" i="1"/>
  <c r="F530" i="1"/>
  <c r="E530" i="1"/>
  <c r="C530" i="1"/>
  <c r="B530" i="1"/>
  <c r="K529" i="1"/>
  <c r="L529" i="1" s="1"/>
  <c r="J529" i="1"/>
  <c r="H529" i="1"/>
  <c r="G529" i="1"/>
  <c r="I529" i="1" s="1"/>
  <c r="F529" i="1"/>
  <c r="E529" i="1"/>
  <c r="C529" i="1"/>
  <c r="B529" i="1"/>
  <c r="K528" i="1"/>
  <c r="J528" i="1"/>
  <c r="L528" i="1" s="1"/>
  <c r="H528" i="1"/>
  <c r="I528" i="1" s="1"/>
  <c r="G528" i="1"/>
  <c r="E528" i="1"/>
  <c r="F528" i="1" s="1"/>
  <c r="C528" i="1"/>
  <c r="B528" i="1"/>
  <c r="L527" i="1"/>
  <c r="K527" i="1"/>
  <c r="J527" i="1"/>
  <c r="H527" i="1"/>
  <c r="G527" i="1"/>
  <c r="I527" i="1" s="1"/>
  <c r="F527" i="1"/>
  <c r="E527" i="1"/>
  <c r="C527" i="1"/>
  <c r="B527" i="1"/>
  <c r="L526" i="1"/>
  <c r="K526" i="1"/>
  <c r="J526" i="1"/>
  <c r="I526" i="1"/>
  <c r="H526" i="1"/>
  <c r="G526" i="1"/>
  <c r="F526" i="1"/>
  <c r="E526" i="1"/>
  <c r="C526" i="1"/>
  <c r="B526" i="1"/>
  <c r="K525" i="1"/>
  <c r="L525" i="1" s="1"/>
  <c r="J525" i="1"/>
  <c r="H525" i="1"/>
  <c r="G525" i="1"/>
  <c r="I525" i="1" s="1"/>
  <c r="F525" i="1"/>
  <c r="E525" i="1"/>
  <c r="C525" i="1"/>
  <c r="B525" i="1"/>
  <c r="K524" i="1"/>
  <c r="J524" i="1"/>
  <c r="L524" i="1" s="1"/>
  <c r="H524" i="1"/>
  <c r="I524" i="1" s="1"/>
  <c r="G524" i="1"/>
  <c r="E524" i="1"/>
  <c r="F524" i="1" s="1"/>
  <c r="C524" i="1"/>
  <c r="B524" i="1"/>
  <c r="L523" i="1"/>
  <c r="K523" i="1"/>
  <c r="J523" i="1"/>
  <c r="H523" i="1"/>
  <c r="G523" i="1"/>
  <c r="I523" i="1" s="1"/>
  <c r="F523" i="1"/>
  <c r="E523" i="1"/>
  <c r="C523" i="1"/>
  <c r="B523" i="1"/>
  <c r="L522" i="1"/>
  <c r="K522" i="1"/>
  <c r="J522" i="1"/>
  <c r="I522" i="1"/>
  <c r="H522" i="1"/>
  <c r="G522" i="1"/>
  <c r="F522" i="1"/>
  <c r="E522" i="1"/>
  <c r="C522" i="1"/>
  <c r="B522" i="1"/>
  <c r="K521" i="1"/>
  <c r="L521" i="1" s="1"/>
  <c r="J521" i="1"/>
  <c r="H521" i="1"/>
  <c r="G521" i="1"/>
  <c r="I521" i="1" s="1"/>
  <c r="F521" i="1"/>
  <c r="E521" i="1"/>
  <c r="C521" i="1"/>
  <c r="B521" i="1"/>
  <c r="K520" i="1"/>
  <c r="J520" i="1"/>
  <c r="L520" i="1" s="1"/>
  <c r="H520" i="1"/>
  <c r="I520" i="1" s="1"/>
  <c r="G520" i="1"/>
  <c r="E520" i="1"/>
  <c r="F520" i="1" s="1"/>
  <c r="C520" i="1"/>
  <c r="B520" i="1"/>
  <c r="L519" i="1"/>
  <c r="K519" i="1"/>
  <c r="J519" i="1"/>
  <c r="H519" i="1"/>
  <c r="G519" i="1"/>
  <c r="I519" i="1" s="1"/>
  <c r="F519" i="1"/>
  <c r="E519" i="1"/>
  <c r="C519" i="1"/>
  <c r="B519" i="1"/>
  <c r="L518" i="1"/>
  <c r="K518" i="1"/>
  <c r="J518" i="1"/>
  <c r="I518" i="1"/>
  <c r="H518" i="1"/>
  <c r="G518" i="1"/>
  <c r="F518" i="1"/>
  <c r="E518" i="1"/>
  <c r="C518" i="1"/>
  <c r="B518" i="1"/>
  <c r="K517" i="1"/>
  <c r="L517" i="1" s="1"/>
  <c r="J517" i="1"/>
  <c r="H517" i="1"/>
  <c r="G517" i="1"/>
  <c r="I517" i="1" s="1"/>
  <c r="F517" i="1"/>
  <c r="E517" i="1"/>
  <c r="C517" i="1"/>
  <c r="B517" i="1"/>
  <c r="K516" i="1"/>
  <c r="J516" i="1"/>
  <c r="L516" i="1" s="1"/>
  <c r="H516" i="1"/>
  <c r="I516" i="1" s="1"/>
  <c r="G516" i="1"/>
  <c r="E516" i="1"/>
  <c r="F516" i="1" s="1"/>
  <c r="C516" i="1"/>
  <c r="B516" i="1"/>
  <c r="L515" i="1"/>
  <c r="K515" i="1"/>
  <c r="J515" i="1"/>
  <c r="H515" i="1"/>
  <c r="G515" i="1"/>
  <c r="I515" i="1" s="1"/>
  <c r="F515" i="1"/>
  <c r="E515" i="1"/>
  <c r="C515" i="1"/>
  <c r="B515" i="1"/>
  <c r="L514" i="1"/>
  <c r="K514" i="1"/>
  <c r="J514" i="1"/>
  <c r="I514" i="1"/>
  <c r="H514" i="1"/>
  <c r="G514" i="1"/>
  <c r="F514" i="1"/>
  <c r="E514" i="1"/>
  <c r="C514" i="1"/>
  <c r="B514" i="1"/>
  <c r="K513" i="1"/>
  <c r="L513" i="1" s="1"/>
  <c r="J513" i="1"/>
  <c r="H513" i="1"/>
  <c r="G513" i="1"/>
  <c r="I513" i="1" s="1"/>
  <c r="F513" i="1"/>
  <c r="E513" i="1"/>
  <c r="C513" i="1"/>
  <c r="B513" i="1"/>
  <c r="K512" i="1"/>
  <c r="J512" i="1"/>
  <c r="L512" i="1" s="1"/>
  <c r="H512" i="1"/>
  <c r="I512" i="1" s="1"/>
  <c r="G512" i="1"/>
  <c r="E512" i="1"/>
  <c r="F512" i="1" s="1"/>
  <c r="C512" i="1"/>
  <c r="B512" i="1"/>
  <c r="L511" i="1"/>
  <c r="K511" i="1"/>
  <c r="J511" i="1"/>
  <c r="H511" i="1"/>
  <c r="G511" i="1"/>
  <c r="I511" i="1" s="1"/>
  <c r="F511" i="1"/>
  <c r="E511" i="1"/>
  <c r="C511" i="1"/>
  <c r="B511" i="1"/>
  <c r="L510" i="1"/>
  <c r="K510" i="1"/>
  <c r="J510" i="1"/>
  <c r="I510" i="1"/>
  <c r="H510" i="1"/>
  <c r="G510" i="1"/>
  <c r="F510" i="1"/>
  <c r="E510" i="1"/>
  <c r="C510" i="1"/>
  <c r="B510" i="1"/>
  <c r="K509" i="1"/>
  <c r="L509" i="1" s="1"/>
  <c r="J509" i="1"/>
  <c r="H509" i="1"/>
  <c r="G509" i="1"/>
  <c r="I509" i="1" s="1"/>
  <c r="F509" i="1"/>
  <c r="E509" i="1"/>
  <c r="C509" i="1"/>
  <c r="B509" i="1"/>
  <c r="K508" i="1"/>
  <c r="J508" i="1"/>
  <c r="L508" i="1" s="1"/>
  <c r="H508" i="1"/>
  <c r="I508" i="1" s="1"/>
  <c r="G508" i="1"/>
  <c r="E508" i="1"/>
  <c r="F508" i="1" s="1"/>
  <c r="C508" i="1"/>
  <c r="B508" i="1"/>
  <c r="L507" i="1"/>
  <c r="K507" i="1"/>
  <c r="J507" i="1"/>
  <c r="H507" i="1"/>
  <c r="G507" i="1"/>
  <c r="I507" i="1" s="1"/>
  <c r="F507" i="1"/>
  <c r="E507" i="1"/>
  <c r="C507" i="1"/>
  <c r="B507" i="1"/>
  <c r="L506" i="1"/>
  <c r="K506" i="1"/>
  <c r="J506" i="1"/>
  <c r="I506" i="1"/>
  <c r="H506" i="1"/>
  <c r="G506" i="1"/>
  <c r="F506" i="1"/>
  <c r="E506" i="1"/>
  <c r="C506" i="1"/>
  <c r="B506" i="1"/>
  <c r="K505" i="1"/>
  <c r="L505" i="1" s="1"/>
  <c r="J505" i="1"/>
  <c r="H505" i="1"/>
  <c r="G505" i="1"/>
  <c r="I505" i="1" s="1"/>
  <c r="F505" i="1"/>
  <c r="E505" i="1"/>
  <c r="C505" i="1"/>
  <c r="B505" i="1"/>
  <c r="K504" i="1"/>
  <c r="J504" i="1"/>
  <c r="L504" i="1" s="1"/>
  <c r="H504" i="1"/>
  <c r="I504" i="1" s="1"/>
  <c r="G504" i="1"/>
  <c r="E504" i="1"/>
  <c r="F504" i="1" s="1"/>
  <c r="C504" i="1"/>
  <c r="B504" i="1"/>
  <c r="L503" i="1"/>
  <c r="K503" i="1"/>
  <c r="J503" i="1"/>
  <c r="H503" i="1"/>
  <c r="G503" i="1"/>
  <c r="I503" i="1" s="1"/>
  <c r="F503" i="1"/>
  <c r="E503" i="1"/>
  <c r="C503" i="1"/>
  <c r="B503" i="1"/>
  <c r="L502" i="1"/>
  <c r="K502" i="1"/>
  <c r="J502" i="1"/>
  <c r="I502" i="1"/>
  <c r="H502" i="1"/>
  <c r="G502" i="1"/>
  <c r="F502" i="1"/>
  <c r="E502" i="1"/>
  <c r="C502" i="1"/>
  <c r="B502" i="1"/>
  <c r="K501" i="1"/>
  <c r="L501" i="1" s="1"/>
  <c r="J501" i="1"/>
  <c r="H501" i="1"/>
  <c r="G501" i="1"/>
  <c r="I501" i="1" s="1"/>
  <c r="F501" i="1"/>
  <c r="E501" i="1"/>
  <c r="C501" i="1"/>
  <c r="B501" i="1"/>
  <c r="K500" i="1"/>
  <c r="J500" i="1"/>
  <c r="L500" i="1" s="1"/>
  <c r="H500" i="1"/>
  <c r="I500" i="1" s="1"/>
  <c r="G500" i="1"/>
  <c r="E500" i="1"/>
  <c r="F500" i="1" s="1"/>
  <c r="C500" i="1"/>
  <c r="B500" i="1"/>
  <c r="L499" i="1"/>
  <c r="K499" i="1"/>
  <c r="J499" i="1"/>
  <c r="H499" i="1"/>
  <c r="G499" i="1"/>
  <c r="I499" i="1" s="1"/>
  <c r="F499" i="1"/>
  <c r="E499" i="1"/>
  <c r="C499" i="1"/>
  <c r="B499" i="1"/>
  <c r="L498" i="1"/>
  <c r="K498" i="1"/>
  <c r="J498" i="1"/>
  <c r="I498" i="1"/>
  <c r="H498" i="1"/>
  <c r="G498" i="1"/>
  <c r="F498" i="1"/>
  <c r="E498" i="1"/>
  <c r="C498" i="1"/>
  <c r="B498" i="1"/>
  <c r="K497" i="1"/>
  <c r="L497" i="1" s="1"/>
  <c r="J497" i="1"/>
  <c r="H497" i="1"/>
  <c r="G497" i="1"/>
  <c r="I497" i="1" s="1"/>
  <c r="F497" i="1"/>
  <c r="E497" i="1"/>
  <c r="C497" i="1"/>
  <c r="B497" i="1"/>
  <c r="K496" i="1"/>
  <c r="J496" i="1"/>
  <c r="L496" i="1" s="1"/>
  <c r="H496" i="1"/>
  <c r="I496" i="1" s="1"/>
  <c r="G496" i="1"/>
  <c r="E496" i="1"/>
  <c r="F496" i="1" s="1"/>
  <c r="C496" i="1"/>
  <c r="B496" i="1"/>
  <c r="L495" i="1"/>
  <c r="K495" i="1"/>
  <c r="J495" i="1"/>
  <c r="H495" i="1"/>
  <c r="G495" i="1"/>
  <c r="I495" i="1" s="1"/>
  <c r="F495" i="1"/>
  <c r="E495" i="1"/>
  <c r="C495" i="1"/>
  <c r="B495" i="1"/>
  <c r="L494" i="1"/>
  <c r="K494" i="1"/>
  <c r="J494" i="1"/>
  <c r="I494" i="1"/>
  <c r="H494" i="1"/>
  <c r="G494" i="1"/>
  <c r="F494" i="1"/>
  <c r="E494" i="1"/>
  <c r="C494" i="1"/>
  <c r="B494" i="1"/>
  <c r="K493" i="1"/>
  <c r="L493" i="1" s="1"/>
  <c r="J493" i="1"/>
  <c r="H493" i="1"/>
  <c r="G493" i="1"/>
  <c r="I493" i="1" s="1"/>
  <c r="F493" i="1"/>
  <c r="E493" i="1"/>
  <c r="C493" i="1"/>
  <c r="B493" i="1"/>
  <c r="K492" i="1"/>
  <c r="J492" i="1"/>
  <c r="L492" i="1" s="1"/>
  <c r="H492" i="1"/>
  <c r="I492" i="1" s="1"/>
  <c r="G492" i="1"/>
  <c r="E492" i="1"/>
  <c r="F492" i="1" s="1"/>
  <c r="C492" i="1"/>
  <c r="B492" i="1"/>
  <c r="L491" i="1"/>
  <c r="K491" i="1"/>
  <c r="J491" i="1"/>
  <c r="H491" i="1"/>
  <c r="G491" i="1"/>
  <c r="I491" i="1" s="1"/>
  <c r="F491" i="1"/>
  <c r="E491" i="1"/>
  <c r="C491" i="1"/>
  <c r="B491" i="1"/>
  <c r="L490" i="1"/>
  <c r="K490" i="1"/>
  <c r="J490" i="1"/>
  <c r="I490" i="1"/>
  <c r="H490" i="1"/>
  <c r="G490" i="1"/>
  <c r="F490" i="1"/>
  <c r="E490" i="1"/>
  <c r="C490" i="1"/>
  <c r="B490" i="1"/>
  <c r="K489" i="1"/>
  <c r="L489" i="1" s="1"/>
  <c r="J489" i="1"/>
  <c r="H489" i="1"/>
  <c r="G489" i="1"/>
  <c r="I489" i="1" s="1"/>
  <c r="F489" i="1"/>
  <c r="E489" i="1"/>
  <c r="C489" i="1"/>
  <c r="B489" i="1"/>
  <c r="K488" i="1"/>
  <c r="J488" i="1"/>
  <c r="L488" i="1" s="1"/>
  <c r="H488" i="1"/>
  <c r="I488" i="1" s="1"/>
  <c r="G488" i="1"/>
  <c r="E488" i="1"/>
  <c r="F488" i="1" s="1"/>
  <c r="C488" i="1"/>
  <c r="B488" i="1"/>
  <c r="L487" i="1"/>
  <c r="K487" i="1"/>
  <c r="J487" i="1"/>
  <c r="H487" i="1"/>
  <c r="G487" i="1"/>
  <c r="I487" i="1" s="1"/>
  <c r="F487" i="1"/>
  <c r="E487" i="1"/>
  <c r="C487" i="1"/>
  <c r="B487" i="1"/>
  <c r="L486" i="1"/>
  <c r="K486" i="1"/>
  <c r="J486" i="1"/>
  <c r="I486" i="1"/>
  <c r="H486" i="1"/>
  <c r="G486" i="1"/>
  <c r="F486" i="1"/>
  <c r="E486" i="1"/>
  <c r="C486" i="1"/>
  <c r="B486" i="1"/>
  <c r="K485" i="1"/>
  <c r="L485" i="1" s="1"/>
  <c r="J485" i="1"/>
  <c r="H485" i="1"/>
  <c r="G485" i="1"/>
  <c r="I485" i="1" s="1"/>
  <c r="F485" i="1"/>
  <c r="E485" i="1"/>
  <c r="C485" i="1"/>
  <c r="B485" i="1"/>
  <c r="K484" i="1"/>
  <c r="J484" i="1"/>
  <c r="L484" i="1" s="1"/>
  <c r="H484" i="1"/>
  <c r="I484" i="1" s="1"/>
  <c r="G484" i="1"/>
  <c r="E484" i="1"/>
  <c r="F484" i="1" s="1"/>
  <c r="C484" i="1"/>
  <c r="B484" i="1"/>
  <c r="L483" i="1"/>
  <c r="K483" i="1"/>
  <c r="J483" i="1"/>
  <c r="H483" i="1"/>
  <c r="G483" i="1"/>
  <c r="I483" i="1" s="1"/>
  <c r="F483" i="1"/>
  <c r="E483" i="1"/>
  <c r="C483" i="1"/>
  <c r="B483" i="1"/>
  <c r="L482" i="1"/>
  <c r="K482" i="1"/>
  <c r="J482" i="1"/>
  <c r="I482" i="1"/>
  <c r="H482" i="1"/>
  <c r="G482" i="1"/>
  <c r="F482" i="1"/>
  <c r="E482" i="1"/>
  <c r="C482" i="1"/>
  <c r="B482" i="1"/>
  <c r="K481" i="1"/>
  <c r="L481" i="1" s="1"/>
  <c r="J481" i="1"/>
  <c r="H481" i="1"/>
  <c r="G481" i="1"/>
  <c r="I481" i="1" s="1"/>
  <c r="F481" i="1"/>
  <c r="E481" i="1"/>
  <c r="C481" i="1"/>
  <c r="B481" i="1"/>
  <c r="K480" i="1"/>
  <c r="J480" i="1"/>
  <c r="L480" i="1" s="1"/>
  <c r="H480" i="1"/>
  <c r="I480" i="1" s="1"/>
  <c r="G480" i="1"/>
  <c r="E480" i="1"/>
  <c r="F480" i="1" s="1"/>
  <c r="C480" i="1"/>
  <c r="B480" i="1"/>
  <c r="L479" i="1"/>
  <c r="K479" i="1"/>
  <c r="J479" i="1"/>
  <c r="H479" i="1"/>
  <c r="G479" i="1"/>
  <c r="I479" i="1" s="1"/>
  <c r="F479" i="1"/>
  <c r="E479" i="1"/>
  <c r="C479" i="1"/>
  <c r="B479" i="1"/>
  <c r="L478" i="1"/>
  <c r="K478" i="1"/>
  <c r="J478" i="1"/>
  <c r="I478" i="1"/>
  <c r="H478" i="1"/>
  <c r="G478" i="1"/>
  <c r="F478" i="1"/>
  <c r="E478" i="1"/>
  <c r="C478" i="1"/>
  <c r="B478" i="1"/>
  <c r="K477" i="1"/>
  <c r="L477" i="1" s="1"/>
  <c r="J477" i="1"/>
  <c r="H477" i="1"/>
  <c r="G477" i="1"/>
  <c r="I477" i="1" s="1"/>
  <c r="F477" i="1"/>
  <c r="E477" i="1"/>
  <c r="C477" i="1"/>
  <c r="B477" i="1"/>
  <c r="K476" i="1"/>
  <c r="J476" i="1"/>
  <c r="L476" i="1" s="1"/>
  <c r="H476" i="1"/>
  <c r="I476" i="1" s="1"/>
  <c r="G476" i="1"/>
  <c r="E476" i="1"/>
  <c r="F476" i="1" s="1"/>
  <c r="C476" i="1"/>
  <c r="B476" i="1"/>
  <c r="L475" i="1"/>
  <c r="K475" i="1"/>
  <c r="J475" i="1"/>
  <c r="H475" i="1"/>
  <c r="G475" i="1"/>
  <c r="I475" i="1" s="1"/>
  <c r="F475" i="1"/>
  <c r="E475" i="1"/>
  <c r="C475" i="1"/>
  <c r="B475" i="1"/>
  <c r="L474" i="1"/>
  <c r="K474" i="1"/>
  <c r="J474" i="1"/>
  <c r="I474" i="1"/>
  <c r="H474" i="1"/>
  <c r="G474" i="1"/>
  <c r="F474" i="1"/>
  <c r="E474" i="1"/>
  <c r="C474" i="1"/>
  <c r="B474" i="1"/>
  <c r="L473" i="1"/>
  <c r="K473" i="1"/>
  <c r="J473" i="1"/>
  <c r="H473" i="1"/>
  <c r="G473" i="1"/>
  <c r="I473" i="1" s="1"/>
  <c r="F473" i="1"/>
  <c r="E473" i="1"/>
  <c r="C473" i="1"/>
  <c r="B473" i="1"/>
  <c r="K472" i="1"/>
  <c r="J472" i="1"/>
  <c r="L472" i="1" s="1"/>
  <c r="H472" i="1"/>
  <c r="I472" i="1" s="1"/>
  <c r="G472" i="1"/>
  <c r="F472" i="1"/>
  <c r="E472" i="1"/>
  <c r="C472" i="1"/>
  <c r="B472" i="1"/>
  <c r="L471" i="1"/>
  <c r="K471" i="1"/>
  <c r="J471" i="1"/>
  <c r="H471" i="1"/>
  <c r="G471" i="1"/>
  <c r="I471" i="1" s="1"/>
  <c r="F471" i="1"/>
  <c r="E471" i="1"/>
  <c r="C471" i="1"/>
  <c r="B471" i="1"/>
  <c r="L470" i="1"/>
  <c r="K470" i="1"/>
  <c r="J470" i="1"/>
  <c r="I470" i="1"/>
  <c r="H470" i="1"/>
  <c r="G470" i="1"/>
  <c r="F470" i="1"/>
  <c r="E470" i="1"/>
  <c r="C470" i="1"/>
  <c r="B470" i="1"/>
  <c r="L469" i="1"/>
  <c r="K469" i="1"/>
  <c r="J469" i="1"/>
  <c r="H469" i="1"/>
  <c r="G469" i="1"/>
  <c r="I469" i="1" s="1"/>
  <c r="F469" i="1"/>
  <c r="E469" i="1"/>
  <c r="C469" i="1"/>
  <c r="B469" i="1"/>
  <c r="K468" i="1"/>
  <c r="J468" i="1"/>
  <c r="L468" i="1" s="1"/>
  <c r="H468" i="1"/>
  <c r="I468" i="1" s="1"/>
  <c r="G468" i="1"/>
  <c r="F468" i="1"/>
  <c r="E468" i="1"/>
  <c r="C468" i="1"/>
  <c r="B468" i="1"/>
  <c r="L467" i="1"/>
  <c r="K467" i="1"/>
  <c r="J467" i="1"/>
  <c r="H467" i="1"/>
  <c r="G467" i="1"/>
  <c r="I467" i="1" s="1"/>
  <c r="F467" i="1"/>
  <c r="E467" i="1"/>
  <c r="C467" i="1"/>
  <c r="B467" i="1"/>
  <c r="L466" i="1"/>
  <c r="K466" i="1"/>
  <c r="J466" i="1"/>
  <c r="I466" i="1"/>
  <c r="H466" i="1"/>
  <c r="G466" i="1"/>
  <c r="F466" i="1"/>
  <c r="E466" i="1"/>
  <c r="C466" i="1"/>
  <c r="B466" i="1"/>
  <c r="L465" i="1"/>
  <c r="K465" i="1"/>
  <c r="J465" i="1"/>
  <c r="H465" i="1"/>
  <c r="G465" i="1"/>
  <c r="I465" i="1" s="1"/>
  <c r="F465" i="1"/>
  <c r="E465" i="1"/>
  <c r="C465" i="1"/>
  <c r="B465" i="1"/>
  <c r="K464" i="1"/>
  <c r="J464" i="1"/>
  <c r="L464" i="1" s="1"/>
  <c r="H464" i="1"/>
  <c r="I464" i="1" s="1"/>
  <c r="G464" i="1"/>
  <c r="F464" i="1"/>
  <c r="E464" i="1"/>
  <c r="C464" i="1"/>
  <c r="B464" i="1"/>
  <c r="L463" i="1"/>
  <c r="K463" i="1"/>
  <c r="J463" i="1"/>
  <c r="H463" i="1"/>
  <c r="G463" i="1"/>
  <c r="I463" i="1" s="1"/>
  <c r="F463" i="1"/>
  <c r="E463" i="1"/>
  <c r="C463" i="1"/>
  <c r="B463" i="1"/>
  <c r="L462" i="1"/>
  <c r="K462" i="1"/>
  <c r="J462" i="1"/>
  <c r="I462" i="1"/>
  <c r="H462" i="1"/>
  <c r="G462" i="1"/>
  <c r="F462" i="1"/>
  <c r="E462" i="1"/>
  <c r="C462" i="1"/>
  <c r="B462" i="1"/>
  <c r="L461" i="1"/>
  <c r="K461" i="1"/>
  <c r="J461" i="1"/>
  <c r="H461" i="1"/>
  <c r="G461" i="1"/>
  <c r="I461" i="1" s="1"/>
  <c r="F461" i="1"/>
  <c r="E461" i="1"/>
  <c r="C461" i="1"/>
  <c r="B461" i="1"/>
  <c r="K460" i="1"/>
  <c r="J460" i="1"/>
  <c r="L460" i="1" s="1"/>
  <c r="H460" i="1"/>
  <c r="I460" i="1" s="1"/>
  <c r="G460" i="1"/>
  <c r="F460" i="1"/>
  <c r="E460" i="1"/>
  <c r="C460" i="1"/>
  <c r="B460" i="1"/>
  <c r="L459" i="1"/>
  <c r="K459" i="1"/>
  <c r="J459" i="1"/>
  <c r="H459" i="1"/>
  <c r="G459" i="1"/>
  <c r="I459" i="1" s="1"/>
  <c r="F459" i="1"/>
  <c r="E459" i="1"/>
  <c r="C459" i="1"/>
  <c r="B459" i="1"/>
  <c r="L458" i="1"/>
  <c r="K458" i="1"/>
  <c r="J458" i="1"/>
  <c r="I458" i="1"/>
  <c r="H458" i="1"/>
  <c r="G458" i="1"/>
  <c r="F458" i="1"/>
  <c r="E458" i="1"/>
  <c r="C458" i="1"/>
  <c r="B458" i="1"/>
  <c r="L457" i="1"/>
  <c r="K457" i="1"/>
  <c r="J457" i="1"/>
  <c r="H457" i="1"/>
  <c r="G457" i="1"/>
  <c r="I457" i="1" s="1"/>
  <c r="F457" i="1"/>
  <c r="E457" i="1"/>
  <c r="C457" i="1"/>
  <c r="B457" i="1"/>
  <c r="K456" i="1"/>
  <c r="J456" i="1"/>
  <c r="L456" i="1" s="1"/>
  <c r="H456" i="1"/>
  <c r="G456" i="1"/>
  <c r="I456" i="1" s="1"/>
  <c r="F456" i="1"/>
  <c r="E456" i="1"/>
  <c r="C456" i="1"/>
  <c r="B456" i="1"/>
  <c r="L455" i="1"/>
  <c r="K455" i="1"/>
  <c r="J455" i="1"/>
  <c r="H455" i="1"/>
  <c r="G455" i="1"/>
  <c r="I455" i="1" s="1"/>
  <c r="F455" i="1"/>
  <c r="E455" i="1"/>
  <c r="C455" i="1"/>
  <c r="B455" i="1"/>
  <c r="L454" i="1"/>
  <c r="K454" i="1"/>
  <c r="J454" i="1"/>
  <c r="I454" i="1"/>
  <c r="H454" i="1"/>
  <c r="G454" i="1"/>
  <c r="F454" i="1"/>
  <c r="E454" i="1"/>
  <c r="C454" i="1"/>
  <c r="B454" i="1"/>
  <c r="K453" i="1"/>
  <c r="L453" i="1" s="1"/>
  <c r="J453" i="1"/>
  <c r="H453" i="1"/>
  <c r="G453" i="1"/>
  <c r="I453" i="1" s="1"/>
  <c r="F453" i="1"/>
  <c r="E453" i="1"/>
  <c r="C453" i="1"/>
  <c r="B453" i="1"/>
  <c r="K452" i="1"/>
  <c r="J452" i="1"/>
  <c r="L452" i="1" s="1"/>
  <c r="H452" i="1"/>
  <c r="G452" i="1"/>
  <c r="I452" i="1" s="1"/>
  <c r="E452" i="1"/>
  <c r="F452" i="1" s="1"/>
  <c r="C452" i="1"/>
  <c r="B452" i="1"/>
  <c r="L451" i="1"/>
  <c r="K451" i="1"/>
  <c r="J451" i="1"/>
  <c r="H451" i="1"/>
  <c r="G451" i="1"/>
  <c r="I451" i="1" s="1"/>
  <c r="F451" i="1"/>
  <c r="E451" i="1"/>
  <c r="C451" i="1"/>
  <c r="B451" i="1"/>
  <c r="L450" i="1"/>
  <c r="K450" i="1"/>
  <c r="J450" i="1"/>
  <c r="I450" i="1"/>
  <c r="H450" i="1"/>
  <c r="G450" i="1"/>
  <c r="F450" i="1"/>
  <c r="E450" i="1"/>
  <c r="C450" i="1"/>
  <c r="B450" i="1"/>
  <c r="K449" i="1"/>
  <c r="L449" i="1" s="1"/>
  <c r="J449" i="1"/>
  <c r="H449" i="1"/>
  <c r="G449" i="1"/>
  <c r="F449" i="1"/>
  <c r="E449" i="1"/>
  <c r="C449" i="1"/>
  <c r="B449" i="1"/>
  <c r="K448" i="1"/>
  <c r="J448" i="1"/>
  <c r="L448" i="1" s="1"/>
  <c r="H448" i="1"/>
  <c r="I448" i="1" s="1"/>
  <c r="G448" i="1"/>
  <c r="E448" i="1"/>
  <c r="F448" i="1" s="1"/>
  <c r="C448" i="1"/>
  <c r="B448" i="1"/>
  <c r="L447" i="1"/>
  <c r="K447" i="1"/>
  <c r="J447" i="1"/>
  <c r="H447" i="1"/>
  <c r="G447" i="1"/>
  <c r="I447" i="1" s="1"/>
  <c r="F447" i="1"/>
  <c r="E447" i="1"/>
  <c r="C447" i="1"/>
  <c r="B447" i="1"/>
  <c r="L446" i="1"/>
  <c r="K446" i="1"/>
  <c r="J446" i="1"/>
  <c r="I446" i="1"/>
  <c r="H446" i="1"/>
  <c r="G446" i="1"/>
  <c r="F446" i="1"/>
  <c r="E446" i="1"/>
  <c r="C446" i="1"/>
  <c r="B446" i="1"/>
  <c r="K445" i="1"/>
  <c r="L445" i="1" s="1"/>
  <c r="J445" i="1"/>
  <c r="H445" i="1"/>
  <c r="G445" i="1"/>
  <c r="I445" i="1" s="1"/>
  <c r="F445" i="1"/>
  <c r="E445" i="1"/>
  <c r="C445" i="1"/>
  <c r="B445" i="1"/>
  <c r="K444" i="1"/>
  <c r="J444" i="1"/>
  <c r="L444" i="1" s="1"/>
  <c r="H444" i="1"/>
  <c r="I444" i="1" s="1"/>
  <c r="G444" i="1"/>
  <c r="E444" i="1"/>
  <c r="F444" i="1" s="1"/>
  <c r="C444" i="1"/>
  <c r="B444" i="1"/>
  <c r="L443" i="1"/>
  <c r="K443" i="1"/>
  <c r="J443" i="1"/>
  <c r="H443" i="1"/>
  <c r="G443" i="1"/>
  <c r="I443" i="1" s="1"/>
  <c r="F443" i="1"/>
  <c r="E443" i="1"/>
  <c r="C443" i="1"/>
  <c r="B443" i="1"/>
  <c r="L442" i="1"/>
  <c r="K442" i="1"/>
  <c r="J442" i="1"/>
  <c r="I442" i="1"/>
  <c r="H442" i="1"/>
  <c r="G442" i="1"/>
  <c r="F442" i="1"/>
  <c r="E442" i="1"/>
  <c r="C442" i="1"/>
  <c r="B442" i="1"/>
  <c r="K441" i="1"/>
  <c r="L441" i="1" s="1"/>
  <c r="J441" i="1"/>
  <c r="H441" i="1"/>
  <c r="G441" i="1"/>
  <c r="I441" i="1" s="1"/>
  <c r="F441" i="1"/>
  <c r="E441" i="1"/>
  <c r="C441" i="1"/>
  <c r="B441" i="1"/>
  <c r="K440" i="1"/>
  <c r="J440" i="1"/>
  <c r="L440" i="1" s="1"/>
  <c r="H440" i="1"/>
  <c r="I440" i="1" s="1"/>
  <c r="G440" i="1"/>
  <c r="E440" i="1"/>
  <c r="F440" i="1" s="1"/>
  <c r="C440" i="1"/>
  <c r="B440" i="1"/>
  <c r="K439" i="1"/>
  <c r="J439" i="1"/>
  <c r="L439" i="1" s="1"/>
  <c r="H439" i="1"/>
  <c r="G439" i="1"/>
  <c r="I439" i="1" s="1"/>
  <c r="F439" i="1"/>
  <c r="E439" i="1"/>
  <c r="C439" i="1"/>
  <c r="B439" i="1"/>
  <c r="L438" i="1"/>
  <c r="K438" i="1"/>
  <c r="J438" i="1"/>
  <c r="I438" i="1"/>
  <c r="H438" i="1"/>
  <c r="G438" i="1"/>
  <c r="F438" i="1"/>
  <c r="E438" i="1"/>
  <c r="C438" i="1"/>
  <c r="B438" i="1"/>
  <c r="K437" i="1"/>
  <c r="L437" i="1" s="1"/>
  <c r="J437" i="1"/>
  <c r="H437" i="1"/>
  <c r="G437" i="1"/>
  <c r="F437" i="1"/>
  <c r="E437" i="1"/>
  <c r="C437" i="1"/>
  <c r="B437" i="1"/>
  <c r="K436" i="1"/>
  <c r="J436" i="1"/>
  <c r="L436" i="1" s="1"/>
  <c r="H436" i="1"/>
  <c r="I436" i="1" s="1"/>
  <c r="G436" i="1"/>
  <c r="E436" i="1"/>
  <c r="F436" i="1" s="1"/>
  <c r="C436" i="1"/>
  <c r="B436" i="1"/>
  <c r="K435" i="1"/>
  <c r="J435" i="1"/>
  <c r="L435" i="1" s="1"/>
  <c r="H435" i="1"/>
  <c r="G435" i="1"/>
  <c r="I435" i="1" s="1"/>
  <c r="F435" i="1"/>
  <c r="E435" i="1"/>
  <c r="C435" i="1"/>
  <c r="B435" i="1"/>
  <c r="L434" i="1"/>
  <c r="K434" i="1"/>
  <c r="J434" i="1"/>
  <c r="I434" i="1"/>
  <c r="H434" i="1"/>
  <c r="G434" i="1"/>
  <c r="F434" i="1"/>
  <c r="E434" i="1"/>
  <c r="C434" i="1"/>
  <c r="B434" i="1"/>
  <c r="K433" i="1"/>
  <c r="L433" i="1" s="1"/>
  <c r="J433" i="1"/>
  <c r="H433" i="1"/>
  <c r="G433" i="1"/>
  <c r="F433" i="1"/>
  <c r="E433" i="1"/>
  <c r="C433" i="1"/>
  <c r="B433" i="1"/>
  <c r="K432" i="1"/>
  <c r="J432" i="1"/>
  <c r="L432" i="1" s="1"/>
  <c r="H432" i="1"/>
  <c r="I432" i="1" s="1"/>
  <c r="G432" i="1"/>
  <c r="E432" i="1"/>
  <c r="F432" i="1" s="1"/>
  <c r="C432" i="1"/>
  <c r="B432" i="1"/>
  <c r="L431" i="1"/>
  <c r="K431" i="1"/>
  <c r="J431" i="1"/>
  <c r="H431" i="1"/>
  <c r="G431" i="1"/>
  <c r="I431" i="1" s="1"/>
  <c r="F431" i="1"/>
  <c r="E431" i="1"/>
  <c r="C431" i="1"/>
  <c r="B431" i="1"/>
  <c r="L430" i="1"/>
  <c r="K430" i="1"/>
  <c r="J430" i="1"/>
  <c r="I430" i="1"/>
  <c r="H430" i="1"/>
  <c r="G430" i="1"/>
  <c r="F430" i="1"/>
  <c r="E430" i="1"/>
  <c r="C430" i="1"/>
  <c r="B430" i="1"/>
  <c r="K429" i="1"/>
  <c r="L429" i="1" s="1"/>
  <c r="J429" i="1"/>
  <c r="H429" i="1"/>
  <c r="G429" i="1"/>
  <c r="I429" i="1" s="1"/>
  <c r="F429" i="1"/>
  <c r="E429" i="1"/>
  <c r="C429" i="1"/>
  <c r="B429" i="1"/>
  <c r="K428" i="1"/>
  <c r="J428" i="1"/>
  <c r="L428" i="1" s="1"/>
  <c r="H428" i="1"/>
  <c r="I428" i="1" s="1"/>
  <c r="G428" i="1"/>
  <c r="E428" i="1"/>
  <c r="F428" i="1" s="1"/>
  <c r="C428" i="1"/>
  <c r="B428" i="1"/>
  <c r="K427" i="1"/>
  <c r="J427" i="1"/>
  <c r="L427" i="1" s="1"/>
  <c r="H427" i="1"/>
  <c r="G427" i="1"/>
  <c r="I427" i="1" s="1"/>
  <c r="F427" i="1"/>
  <c r="E427" i="1"/>
  <c r="C427" i="1"/>
  <c r="B427" i="1"/>
  <c r="L426" i="1"/>
  <c r="K426" i="1"/>
  <c r="J426" i="1"/>
  <c r="I426" i="1"/>
  <c r="H426" i="1"/>
  <c r="G426" i="1"/>
  <c r="F426" i="1"/>
  <c r="E426" i="1"/>
  <c r="C426" i="1"/>
  <c r="B426" i="1"/>
  <c r="K425" i="1"/>
  <c r="L425" i="1" s="1"/>
  <c r="J425" i="1"/>
  <c r="H425" i="1"/>
  <c r="G425" i="1"/>
  <c r="I425" i="1" s="1"/>
  <c r="F425" i="1"/>
  <c r="E425" i="1"/>
  <c r="C425" i="1"/>
  <c r="B425" i="1"/>
  <c r="K424" i="1"/>
  <c r="J424" i="1"/>
  <c r="L424" i="1" s="1"/>
  <c r="H424" i="1"/>
  <c r="I424" i="1" s="1"/>
  <c r="G424" i="1"/>
  <c r="E424" i="1"/>
  <c r="F424" i="1" s="1"/>
  <c r="C424" i="1"/>
  <c r="B424" i="1"/>
  <c r="K423" i="1"/>
  <c r="J423" i="1"/>
  <c r="L423" i="1" s="1"/>
  <c r="H423" i="1"/>
  <c r="G423" i="1"/>
  <c r="I423" i="1" s="1"/>
  <c r="F423" i="1"/>
  <c r="E423" i="1"/>
  <c r="C423" i="1"/>
  <c r="B423" i="1"/>
  <c r="L422" i="1"/>
  <c r="K422" i="1"/>
  <c r="J422" i="1"/>
  <c r="I422" i="1"/>
  <c r="H422" i="1"/>
  <c r="G422" i="1"/>
  <c r="F422" i="1"/>
  <c r="E422" i="1"/>
  <c r="C422" i="1"/>
  <c r="B422" i="1"/>
  <c r="K421" i="1"/>
  <c r="L421" i="1" s="1"/>
  <c r="J421" i="1"/>
  <c r="H421" i="1"/>
  <c r="G421" i="1"/>
  <c r="F421" i="1"/>
  <c r="E421" i="1"/>
  <c r="C421" i="1"/>
  <c r="B421" i="1"/>
  <c r="K420" i="1"/>
  <c r="J420" i="1"/>
  <c r="L420" i="1" s="1"/>
  <c r="H420" i="1"/>
  <c r="I420" i="1" s="1"/>
  <c r="G420" i="1"/>
  <c r="E420" i="1"/>
  <c r="F420" i="1" s="1"/>
  <c r="C420" i="1"/>
  <c r="B420" i="1"/>
  <c r="K419" i="1"/>
  <c r="J419" i="1"/>
  <c r="L419" i="1" s="1"/>
  <c r="H419" i="1"/>
  <c r="G419" i="1"/>
  <c r="I419" i="1" s="1"/>
  <c r="F419" i="1"/>
  <c r="E419" i="1"/>
  <c r="C419" i="1"/>
  <c r="B419" i="1"/>
  <c r="L418" i="1"/>
  <c r="K418" i="1"/>
  <c r="J418" i="1"/>
  <c r="I418" i="1"/>
  <c r="H418" i="1"/>
  <c r="G418" i="1"/>
  <c r="F418" i="1"/>
  <c r="E418" i="1"/>
  <c r="C418" i="1"/>
  <c r="B418" i="1"/>
  <c r="K417" i="1"/>
  <c r="L417" i="1" s="1"/>
  <c r="J417" i="1"/>
  <c r="H417" i="1"/>
  <c r="G417" i="1"/>
  <c r="I417" i="1" s="1"/>
  <c r="F417" i="1"/>
  <c r="E417" i="1"/>
  <c r="C417" i="1"/>
  <c r="B417" i="1"/>
  <c r="K416" i="1"/>
  <c r="J416" i="1"/>
  <c r="L416" i="1" s="1"/>
  <c r="H416" i="1"/>
  <c r="I416" i="1" s="1"/>
  <c r="G416" i="1"/>
  <c r="E416" i="1"/>
  <c r="F416" i="1" s="1"/>
  <c r="C416" i="1"/>
  <c r="B416" i="1"/>
  <c r="L415" i="1"/>
  <c r="K415" i="1"/>
  <c r="J415" i="1"/>
  <c r="H415" i="1"/>
  <c r="G415" i="1"/>
  <c r="I415" i="1" s="1"/>
  <c r="F415" i="1"/>
  <c r="E415" i="1"/>
  <c r="C415" i="1"/>
  <c r="B415" i="1"/>
  <c r="K414" i="1"/>
  <c r="J414" i="1"/>
  <c r="L414" i="1" s="1"/>
  <c r="I414" i="1"/>
  <c r="H414" i="1"/>
  <c r="G414" i="1"/>
  <c r="F414" i="1"/>
  <c r="E414" i="1"/>
  <c r="C414" i="1"/>
  <c r="B414" i="1"/>
  <c r="L413" i="1"/>
  <c r="K413" i="1"/>
  <c r="J413" i="1"/>
  <c r="H413" i="1"/>
  <c r="G413" i="1"/>
  <c r="I413" i="1" s="1"/>
  <c r="F413" i="1"/>
  <c r="E413" i="1"/>
  <c r="C413" i="1"/>
  <c r="B413" i="1"/>
  <c r="K412" i="1"/>
  <c r="J412" i="1"/>
  <c r="L412" i="1" s="1"/>
  <c r="H412" i="1"/>
  <c r="I412" i="1" s="1"/>
  <c r="G412" i="1"/>
  <c r="E412" i="1"/>
  <c r="F412" i="1" s="1"/>
  <c r="C412" i="1"/>
  <c r="B412" i="1"/>
  <c r="K411" i="1"/>
  <c r="J411" i="1"/>
  <c r="L411" i="1" s="1"/>
  <c r="H411" i="1"/>
  <c r="G411" i="1"/>
  <c r="F411" i="1"/>
  <c r="E411" i="1"/>
  <c r="C411" i="1"/>
  <c r="B411" i="1"/>
  <c r="K410" i="1"/>
  <c r="J410" i="1"/>
  <c r="L410" i="1" s="1"/>
  <c r="H410" i="1"/>
  <c r="I410" i="1" s="1"/>
  <c r="G410" i="1"/>
  <c r="E410" i="1"/>
  <c r="F410" i="1" s="1"/>
  <c r="C410" i="1"/>
  <c r="B410" i="1"/>
  <c r="L409" i="1"/>
  <c r="K409" i="1"/>
  <c r="J409" i="1"/>
  <c r="H409" i="1"/>
  <c r="G409" i="1"/>
  <c r="I409" i="1" s="1"/>
  <c r="F409" i="1"/>
  <c r="E409" i="1"/>
  <c r="C409" i="1"/>
  <c r="B409" i="1"/>
  <c r="K408" i="1"/>
  <c r="J408" i="1"/>
  <c r="L408" i="1" s="1"/>
  <c r="H408" i="1"/>
  <c r="I408" i="1" s="1"/>
  <c r="G408" i="1"/>
  <c r="F408" i="1"/>
  <c r="E408" i="1"/>
  <c r="C408" i="1"/>
  <c r="B408" i="1"/>
  <c r="K407" i="1"/>
  <c r="J407" i="1"/>
  <c r="L407" i="1" s="1"/>
  <c r="H407" i="1"/>
  <c r="G407" i="1"/>
  <c r="I407" i="1" s="1"/>
  <c r="F407" i="1"/>
  <c r="E407" i="1"/>
  <c r="C407" i="1"/>
  <c r="B407" i="1"/>
  <c r="L406" i="1"/>
  <c r="K406" i="1"/>
  <c r="J406" i="1"/>
  <c r="I406" i="1"/>
  <c r="H406" i="1"/>
  <c r="G406" i="1"/>
  <c r="E406" i="1"/>
  <c r="F406" i="1" s="1"/>
  <c r="C406" i="1"/>
  <c r="B406" i="1"/>
  <c r="K405" i="1"/>
  <c r="J405" i="1"/>
  <c r="L405" i="1" s="1"/>
  <c r="H405" i="1"/>
  <c r="G405" i="1"/>
  <c r="I405" i="1" s="1"/>
  <c r="F405" i="1"/>
  <c r="E405" i="1"/>
  <c r="C405" i="1"/>
  <c r="B405" i="1"/>
  <c r="L404" i="1"/>
  <c r="K404" i="1"/>
  <c r="J404" i="1"/>
  <c r="I404" i="1"/>
  <c r="H404" i="1"/>
  <c r="G404" i="1"/>
  <c r="F404" i="1"/>
  <c r="E404" i="1"/>
  <c r="C404" i="1"/>
  <c r="B404" i="1"/>
  <c r="K403" i="1"/>
  <c r="J403" i="1"/>
  <c r="L403" i="1" s="1"/>
  <c r="H403" i="1"/>
  <c r="G403" i="1"/>
  <c r="I403" i="1" s="1"/>
  <c r="F403" i="1"/>
  <c r="E403" i="1"/>
  <c r="C403" i="1"/>
  <c r="B403" i="1"/>
  <c r="K402" i="1"/>
  <c r="J402" i="1"/>
  <c r="L402" i="1" s="1"/>
  <c r="H402" i="1"/>
  <c r="I402" i="1" s="1"/>
  <c r="G402" i="1"/>
  <c r="E402" i="1"/>
  <c r="F402" i="1" s="1"/>
  <c r="C402" i="1"/>
  <c r="B402" i="1"/>
  <c r="K401" i="1"/>
  <c r="J401" i="1"/>
  <c r="L401" i="1" s="1"/>
  <c r="H401" i="1"/>
  <c r="G401" i="1"/>
  <c r="F401" i="1"/>
  <c r="E401" i="1"/>
  <c r="C401" i="1"/>
  <c r="B401" i="1"/>
  <c r="K400" i="1"/>
  <c r="J400" i="1"/>
  <c r="L400" i="1" s="1"/>
  <c r="H400" i="1"/>
  <c r="G400" i="1"/>
  <c r="I400" i="1" s="1"/>
  <c r="E400" i="1"/>
  <c r="F400" i="1" s="1"/>
  <c r="C400" i="1"/>
  <c r="B400" i="1"/>
  <c r="L399" i="1"/>
  <c r="K399" i="1"/>
  <c r="J399" i="1"/>
  <c r="H399" i="1"/>
  <c r="G399" i="1"/>
  <c r="I399" i="1" s="1"/>
  <c r="F399" i="1"/>
  <c r="E399" i="1"/>
  <c r="C399" i="1"/>
  <c r="B399" i="1"/>
  <c r="L398" i="1"/>
  <c r="K398" i="1"/>
  <c r="J398" i="1"/>
  <c r="I398" i="1"/>
  <c r="H398" i="1"/>
  <c r="G398" i="1"/>
  <c r="F398" i="1"/>
  <c r="E398" i="1"/>
  <c r="C398" i="1"/>
  <c r="B398" i="1"/>
  <c r="K397" i="1"/>
  <c r="J397" i="1"/>
  <c r="L397" i="1" s="1"/>
  <c r="H397" i="1"/>
  <c r="G397" i="1"/>
  <c r="I397" i="1" s="1"/>
  <c r="E397" i="1"/>
  <c r="F397" i="1" s="1"/>
  <c r="C397" i="1"/>
  <c r="B397" i="1"/>
  <c r="K396" i="1"/>
  <c r="J396" i="1"/>
  <c r="L396" i="1" s="1"/>
  <c r="I396" i="1"/>
  <c r="H396" i="1"/>
  <c r="G396" i="1"/>
  <c r="F396" i="1"/>
  <c r="E396" i="1"/>
  <c r="C396" i="1"/>
  <c r="B396" i="1"/>
  <c r="K395" i="1"/>
  <c r="L395" i="1" s="1"/>
  <c r="J395" i="1"/>
  <c r="H395" i="1"/>
  <c r="I395" i="1" s="1"/>
  <c r="G395" i="1"/>
  <c r="F395" i="1"/>
  <c r="E395" i="1"/>
  <c r="C395" i="1"/>
  <c r="B395" i="1"/>
  <c r="K394" i="1"/>
  <c r="J394" i="1"/>
  <c r="L394" i="1" s="1"/>
  <c r="H394" i="1"/>
  <c r="I394" i="1" s="1"/>
  <c r="G394" i="1"/>
  <c r="E394" i="1"/>
  <c r="F394" i="1" s="1"/>
  <c r="C394" i="1"/>
  <c r="B394" i="1"/>
  <c r="L393" i="1"/>
  <c r="K393" i="1"/>
  <c r="J393" i="1"/>
  <c r="H393" i="1"/>
  <c r="G393" i="1"/>
  <c r="I393" i="1" s="1"/>
  <c r="E393" i="1"/>
  <c r="F393" i="1" s="1"/>
  <c r="C393" i="1"/>
  <c r="B393" i="1"/>
  <c r="K392" i="1"/>
  <c r="J392" i="1"/>
  <c r="L392" i="1" s="1"/>
  <c r="I392" i="1"/>
  <c r="H392" i="1"/>
  <c r="G392" i="1"/>
  <c r="F392" i="1"/>
  <c r="E392" i="1"/>
  <c r="C392" i="1"/>
  <c r="B392" i="1"/>
  <c r="K391" i="1"/>
  <c r="L391" i="1" s="1"/>
  <c r="J391" i="1"/>
  <c r="H391" i="1"/>
  <c r="I391" i="1" s="1"/>
  <c r="G391" i="1"/>
  <c r="F391" i="1"/>
  <c r="E391" i="1"/>
  <c r="C391" i="1"/>
  <c r="B391" i="1"/>
  <c r="K390" i="1"/>
  <c r="J390" i="1"/>
  <c r="L390" i="1" s="1"/>
  <c r="H390" i="1"/>
  <c r="I390" i="1" s="1"/>
  <c r="G390" i="1"/>
  <c r="E390" i="1"/>
  <c r="F390" i="1" s="1"/>
  <c r="C390" i="1"/>
  <c r="B390" i="1"/>
  <c r="L389" i="1"/>
  <c r="K389" i="1"/>
  <c r="J389" i="1"/>
  <c r="H389" i="1"/>
  <c r="G389" i="1"/>
  <c r="I389" i="1" s="1"/>
  <c r="E389" i="1"/>
  <c r="F389" i="1" s="1"/>
  <c r="C389" i="1"/>
  <c r="B389" i="1"/>
  <c r="K388" i="1"/>
  <c r="J388" i="1"/>
  <c r="L388" i="1" s="1"/>
  <c r="I388" i="1"/>
  <c r="H388" i="1"/>
  <c r="G388" i="1"/>
  <c r="F388" i="1"/>
  <c r="E388" i="1"/>
  <c r="C388" i="1"/>
  <c r="B388" i="1"/>
  <c r="K387" i="1"/>
  <c r="L387" i="1" s="1"/>
  <c r="J387" i="1"/>
  <c r="H387" i="1"/>
  <c r="I387" i="1" s="1"/>
  <c r="G387" i="1"/>
  <c r="F387" i="1"/>
  <c r="E387" i="1"/>
  <c r="C387" i="1"/>
  <c r="B387" i="1"/>
  <c r="K386" i="1"/>
  <c r="J386" i="1"/>
  <c r="L386" i="1" s="1"/>
  <c r="H386" i="1"/>
  <c r="I386" i="1" s="1"/>
  <c r="G386" i="1"/>
  <c r="E386" i="1"/>
  <c r="F386" i="1" s="1"/>
  <c r="C386" i="1"/>
  <c r="B386" i="1"/>
  <c r="L385" i="1"/>
  <c r="K385" i="1"/>
  <c r="J385" i="1"/>
  <c r="H385" i="1"/>
  <c r="G385" i="1"/>
  <c r="I385" i="1" s="1"/>
  <c r="E385" i="1"/>
  <c r="F385" i="1" s="1"/>
  <c r="C385" i="1"/>
  <c r="B385" i="1"/>
  <c r="K384" i="1"/>
  <c r="J384" i="1"/>
  <c r="L384" i="1" s="1"/>
  <c r="I384" i="1"/>
  <c r="H384" i="1"/>
  <c r="G384" i="1"/>
  <c r="F384" i="1"/>
  <c r="E384" i="1"/>
  <c r="C384" i="1"/>
  <c r="B384" i="1"/>
  <c r="K383" i="1"/>
  <c r="L383" i="1" s="1"/>
  <c r="J383" i="1"/>
  <c r="H383" i="1"/>
  <c r="G383" i="1"/>
  <c r="I383" i="1" s="1"/>
  <c r="F383" i="1"/>
  <c r="E383" i="1"/>
  <c r="C383" i="1"/>
  <c r="B383" i="1"/>
  <c r="K382" i="1"/>
  <c r="J382" i="1"/>
  <c r="L382" i="1" s="1"/>
  <c r="H382" i="1"/>
  <c r="I382" i="1" s="1"/>
  <c r="G382" i="1"/>
  <c r="E382" i="1"/>
  <c r="F382" i="1" s="1"/>
  <c r="C382" i="1"/>
  <c r="B382" i="1"/>
  <c r="L381" i="1"/>
  <c r="K381" i="1"/>
  <c r="J381" i="1"/>
  <c r="H381" i="1"/>
  <c r="G381" i="1"/>
  <c r="I381" i="1" s="1"/>
  <c r="E381" i="1"/>
  <c r="F381" i="1" s="1"/>
  <c r="C381" i="1"/>
  <c r="B381" i="1"/>
  <c r="K380" i="1"/>
  <c r="J380" i="1"/>
  <c r="L380" i="1" s="1"/>
  <c r="I380" i="1"/>
  <c r="H380" i="1"/>
  <c r="G380" i="1"/>
  <c r="F380" i="1"/>
  <c r="E380" i="1"/>
  <c r="C380" i="1"/>
  <c r="B380" i="1"/>
  <c r="K379" i="1"/>
  <c r="L379" i="1" s="1"/>
  <c r="J379" i="1"/>
  <c r="H379" i="1"/>
  <c r="G379" i="1"/>
  <c r="I379" i="1" s="1"/>
  <c r="F379" i="1"/>
  <c r="E379" i="1"/>
  <c r="C379" i="1"/>
  <c r="B379" i="1"/>
  <c r="K378" i="1"/>
  <c r="J378" i="1"/>
  <c r="L378" i="1" s="1"/>
  <c r="H378" i="1"/>
  <c r="I378" i="1" s="1"/>
  <c r="G378" i="1"/>
  <c r="E378" i="1"/>
  <c r="F378" i="1" s="1"/>
  <c r="C378" i="1"/>
  <c r="B378" i="1"/>
  <c r="L377" i="1"/>
  <c r="K377" i="1"/>
  <c r="J377" i="1"/>
  <c r="H377" i="1"/>
  <c r="G377" i="1"/>
  <c r="I377" i="1" s="1"/>
  <c r="E377" i="1"/>
  <c r="F377" i="1" s="1"/>
  <c r="C377" i="1"/>
  <c r="B377" i="1"/>
  <c r="K376" i="1"/>
  <c r="J376" i="1"/>
  <c r="L376" i="1" s="1"/>
  <c r="I376" i="1"/>
  <c r="H376" i="1"/>
  <c r="G376" i="1"/>
  <c r="F376" i="1"/>
  <c r="E376" i="1"/>
  <c r="C376" i="1"/>
  <c r="B376" i="1"/>
  <c r="K375" i="1"/>
  <c r="L375" i="1" s="1"/>
  <c r="J375" i="1"/>
  <c r="H375" i="1"/>
  <c r="G375" i="1"/>
  <c r="I375" i="1" s="1"/>
  <c r="F375" i="1"/>
  <c r="E375" i="1"/>
  <c r="C375" i="1"/>
  <c r="B375" i="1"/>
  <c r="K374" i="1"/>
  <c r="J374" i="1"/>
  <c r="L374" i="1" s="1"/>
  <c r="H374" i="1"/>
  <c r="I374" i="1" s="1"/>
  <c r="G374" i="1"/>
  <c r="E374" i="1"/>
  <c r="F374" i="1" s="1"/>
  <c r="C374" i="1"/>
  <c r="B374" i="1"/>
  <c r="L373" i="1"/>
  <c r="K373" i="1"/>
  <c r="J373" i="1"/>
  <c r="H373" i="1"/>
  <c r="G373" i="1"/>
  <c r="I373" i="1" s="1"/>
  <c r="E373" i="1"/>
  <c r="F373" i="1" s="1"/>
  <c r="C373" i="1"/>
  <c r="B373" i="1"/>
  <c r="K372" i="1"/>
  <c r="J372" i="1"/>
  <c r="L372" i="1" s="1"/>
  <c r="I372" i="1"/>
  <c r="H372" i="1"/>
  <c r="G372" i="1"/>
  <c r="F372" i="1"/>
  <c r="E372" i="1"/>
  <c r="C372" i="1"/>
  <c r="B372" i="1"/>
  <c r="K371" i="1"/>
  <c r="L371" i="1" s="1"/>
  <c r="J371" i="1"/>
  <c r="H371" i="1"/>
  <c r="G371" i="1"/>
  <c r="I371" i="1" s="1"/>
  <c r="F371" i="1"/>
  <c r="E371" i="1"/>
  <c r="C371" i="1"/>
  <c r="B371" i="1"/>
  <c r="K370" i="1"/>
  <c r="J370" i="1"/>
  <c r="L370" i="1" s="1"/>
  <c r="I370" i="1"/>
  <c r="H370" i="1"/>
  <c r="G370" i="1"/>
  <c r="E370" i="1"/>
  <c r="F370" i="1" s="1"/>
  <c r="C370" i="1"/>
  <c r="B370" i="1"/>
  <c r="K369" i="1"/>
  <c r="L369" i="1" s="1"/>
  <c r="J369" i="1"/>
  <c r="H369" i="1"/>
  <c r="G369" i="1"/>
  <c r="I369" i="1" s="1"/>
  <c r="E369" i="1"/>
  <c r="F369" i="1" s="1"/>
  <c r="C369" i="1"/>
  <c r="B369" i="1"/>
  <c r="K368" i="1"/>
  <c r="J368" i="1"/>
  <c r="L368" i="1" s="1"/>
  <c r="I368" i="1"/>
  <c r="H368" i="1"/>
  <c r="G368" i="1"/>
  <c r="E368" i="1"/>
  <c r="F368" i="1" s="1"/>
  <c r="C368" i="1"/>
  <c r="B368" i="1"/>
  <c r="K367" i="1"/>
  <c r="L367" i="1" s="1"/>
  <c r="J367" i="1"/>
  <c r="H367" i="1"/>
  <c r="G367" i="1"/>
  <c r="I367" i="1" s="1"/>
  <c r="F367" i="1"/>
  <c r="E367" i="1"/>
  <c r="C367" i="1"/>
  <c r="B367" i="1"/>
  <c r="K366" i="1"/>
  <c r="J366" i="1"/>
  <c r="L366" i="1" s="1"/>
  <c r="I366" i="1"/>
  <c r="H366" i="1"/>
  <c r="G366" i="1"/>
  <c r="E366" i="1"/>
  <c r="F366" i="1" s="1"/>
  <c r="C366" i="1"/>
  <c r="B366" i="1"/>
  <c r="K365" i="1"/>
  <c r="L365" i="1" s="1"/>
  <c r="J365" i="1"/>
  <c r="H365" i="1"/>
  <c r="G365" i="1"/>
  <c r="I365" i="1" s="1"/>
  <c r="E365" i="1"/>
  <c r="F365" i="1" s="1"/>
  <c r="C365" i="1"/>
  <c r="B365" i="1"/>
  <c r="K364" i="1"/>
  <c r="J364" i="1"/>
  <c r="L364" i="1" s="1"/>
  <c r="I364" i="1"/>
  <c r="H364" i="1"/>
  <c r="G364" i="1"/>
  <c r="E364" i="1"/>
  <c r="F364" i="1" s="1"/>
  <c r="C364" i="1"/>
  <c r="B364" i="1"/>
  <c r="K363" i="1"/>
  <c r="L363" i="1" s="1"/>
  <c r="J363" i="1"/>
  <c r="H363" i="1"/>
  <c r="G363" i="1"/>
  <c r="I363" i="1" s="1"/>
  <c r="F363" i="1"/>
  <c r="E363" i="1"/>
  <c r="C363" i="1"/>
  <c r="B363" i="1"/>
  <c r="K362" i="1"/>
  <c r="J362" i="1"/>
  <c r="L362" i="1" s="1"/>
  <c r="I362" i="1"/>
  <c r="H362" i="1"/>
  <c r="G362" i="1"/>
  <c r="E362" i="1"/>
  <c r="F362" i="1" s="1"/>
  <c r="C362" i="1"/>
  <c r="B362" i="1"/>
  <c r="K361" i="1"/>
  <c r="L361" i="1" s="1"/>
  <c r="J361" i="1"/>
  <c r="H361" i="1"/>
  <c r="G361" i="1"/>
  <c r="I361" i="1" s="1"/>
  <c r="E361" i="1"/>
  <c r="F361" i="1" s="1"/>
  <c r="C361" i="1"/>
  <c r="B361" i="1"/>
  <c r="K360" i="1"/>
  <c r="J360" i="1"/>
  <c r="L360" i="1" s="1"/>
  <c r="I360" i="1"/>
  <c r="H360" i="1"/>
  <c r="G360" i="1"/>
  <c r="E360" i="1"/>
  <c r="F360" i="1" s="1"/>
  <c r="C360" i="1"/>
  <c r="B360" i="1"/>
  <c r="K359" i="1"/>
  <c r="L359" i="1" s="1"/>
  <c r="J359" i="1"/>
  <c r="H359" i="1"/>
  <c r="G359" i="1"/>
  <c r="I359" i="1" s="1"/>
  <c r="F359" i="1"/>
  <c r="E359" i="1"/>
  <c r="C359" i="1"/>
  <c r="B359" i="1"/>
  <c r="K358" i="1"/>
  <c r="J358" i="1"/>
  <c r="L358" i="1" s="1"/>
  <c r="I358" i="1"/>
  <c r="H358" i="1"/>
  <c r="G358" i="1"/>
  <c r="E358" i="1"/>
  <c r="F358" i="1" s="1"/>
  <c r="C358" i="1"/>
  <c r="B358" i="1"/>
  <c r="K357" i="1"/>
  <c r="L357" i="1" s="1"/>
  <c r="J357" i="1"/>
  <c r="H357" i="1"/>
  <c r="G357" i="1"/>
  <c r="I357" i="1" s="1"/>
  <c r="E357" i="1"/>
  <c r="F357" i="1" s="1"/>
  <c r="C357" i="1"/>
  <c r="B357" i="1"/>
  <c r="K356" i="1"/>
  <c r="J356" i="1"/>
  <c r="L356" i="1" s="1"/>
  <c r="I356" i="1"/>
  <c r="H356" i="1"/>
  <c r="G356" i="1"/>
  <c r="E356" i="1"/>
  <c r="F356" i="1" s="1"/>
  <c r="C356" i="1"/>
  <c r="B356" i="1"/>
  <c r="K355" i="1"/>
  <c r="L355" i="1" s="1"/>
  <c r="J355" i="1"/>
  <c r="H355" i="1"/>
  <c r="G355" i="1"/>
  <c r="I355" i="1" s="1"/>
  <c r="F355" i="1"/>
  <c r="E355" i="1"/>
  <c r="C355" i="1"/>
  <c r="B355" i="1"/>
  <c r="K354" i="1"/>
  <c r="J354" i="1"/>
  <c r="L354" i="1" s="1"/>
  <c r="I354" i="1"/>
  <c r="H354" i="1"/>
  <c r="G354" i="1"/>
  <c r="E354" i="1"/>
  <c r="F354" i="1" s="1"/>
  <c r="C354" i="1"/>
  <c r="B354" i="1"/>
  <c r="K353" i="1"/>
  <c r="L353" i="1" s="1"/>
  <c r="J353" i="1"/>
  <c r="H353" i="1"/>
  <c r="G353" i="1"/>
  <c r="I353" i="1" s="1"/>
  <c r="E353" i="1"/>
  <c r="F353" i="1" s="1"/>
  <c r="C353" i="1"/>
  <c r="B353" i="1"/>
  <c r="K352" i="1"/>
  <c r="J352" i="1"/>
  <c r="L352" i="1" s="1"/>
  <c r="I352" i="1"/>
  <c r="H352" i="1"/>
  <c r="G352" i="1"/>
  <c r="E352" i="1"/>
  <c r="F352" i="1" s="1"/>
  <c r="C352" i="1"/>
  <c r="B352" i="1"/>
  <c r="K351" i="1"/>
  <c r="L351" i="1" s="1"/>
  <c r="J351" i="1"/>
  <c r="H351" i="1"/>
  <c r="G351" i="1"/>
  <c r="I351" i="1" s="1"/>
  <c r="F351" i="1"/>
  <c r="E351" i="1"/>
  <c r="C351" i="1"/>
  <c r="B351" i="1"/>
  <c r="K350" i="1"/>
  <c r="J350" i="1"/>
  <c r="L350" i="1" s="1"/>
  <c r="I350" i="1"/>
  <c r="H350" i="1"/>
  <c r="G350" i="1"/>
  <c r="E350" i="1"/>
  <c r="F350" i="1" s="1"/>
  <c r="C350" i="1"/>
  <c r="B350" i="1"/>
  <c r="L349" i="1"/>
  <c r="K349" i="1"/>
  <c r="J349" i="1"/>
  <c r="H349" i="1"/>
  <c r="G349" i="1"/>
  <c r="I349" i="1" s="1"/>
  <c r="E349" i="1"/>
  <c r="F349" i="1" s="1"/>
  <c r="C349" i="1"/>
  <c r="B349" i="1"/>
  <c r="K348" i="1"/>
  <c r="J348" i="1"/>
  <c r="L348" i="1" s="1"/>
  <c r="I348" i="1"/>
  <c r="H348" i="1"/>
  <c r="G348" i="1"/>
  <c r="F348" i="1"/>
  <c r="E348" i="1"/>
  <c r="C348" i="1"/>
  <c r="B348" i="1"/>
  <c r="K347" i="1"/>
  <c r="L347" i="1" s="1"/>
  <c r="J347" i="1"/>
  <c r="H347" i="1"/>
  <c r="G347" i="1"/>
  <c r="I347" i="1" s="1"/>
  <c r="E347" i="1"/>
  <c r="F347" i="1" s="1"/>
  <c r="C347" i="1"/>
  <c r="B347" i="1"/>
  <c r="K346" i="1"/>
  <c r="J346" i="1"/>
  <c r="L346" i="1" s="1"/>
  <c r="I346" i="1"/>
  <c r="H346" i="1"/>
  <c r="G346" i="1"/>
  <c r="E346" i="1"/>
  <c r="F346" i="1" s="1"/>
  <c r="C346" i="1"/>
  <c r="B346" i="1"/>
  <c r="L345" i="1"/>
  <c r="K345" i="1"/>
  <c r="J345" i="1"/>
  <c r="H345" i="1"/>
  <c r="G345" i="1"/>
  <c r="I345" i="1" s="1"/>
  <c r="E345" i="1"/>
  <c r="F345" i="1" s="1"/>
  <c r="C345" i="1"/>
  <c r="B345" i="1"/>
  <c r="K344" i="1"/>
  <c r="J344" i="1"/>
  <c r="L344" i="1" s="1"/>
  <c r="I344" i="1"/>
  <c r="H344" i="1"/>
  <c r="G344" i="1"/>
  <c r="F344" i="1"/>
  <c r="E344" i="1"/>
  <c r="C344" i="1"/>
  <c r="B344" i="1"/>
  <c r="K343" i="1"/>
  <c r="L343" i="1" s="1"/>
  <c r="J343" i="1"/>
  <c r="H343" i="1"/>
  <c r="G343" i="1"/>
  <c r="I343" i="1" s="1"/>
  <c r="F343" i="1"/>
  <c r="E343" i="1"/>
  <c r="C343" i="1"/>
  <c r="B343" i="1"/>
  <c r="K342" i="1"/>
  <c r="J342" i="1"/>
  <c r="L342" i="1" s="1"/>
  <c r="I342" i="1"/>
  <c r="H342" i="1"/>
  <c r="G342" i="1"/>
  <c r="E342" i="1"/>
  <c r="F342" i="1" s="1"/>
  <c r="C342" i="1"/>
  <c r="B342" i="1"/>
  <c r="L341" i="1"/>
  <c r="K341" i="1"/>
  <c r="J341" i="1"/>
  <c r="H341" i="1"/>
  <c r="G341" i="1"/>
  <c r="I341" i="1" s="1"/>
  <c r="E341" i="1"/>
  <c r="F341" i="1" s="1"/>
  <c r="C341" i="1"/>
  <c r="B341" i="1"/>
  <c r="K340" i="1"/>
  <c r="J340" i="1"/>
  <c r="L340" i="1" s="1"/>
  <c r="I340" i="1"/>
  <c r="H340" i="1"/>
  <c r="G340" i="1"/>
  <c r="F340" i="1"/>
  <c r="E340" i="1"/>
  <c r="C340" i="1"/>
  <c r="B340" i="1"/>
  <c r="K339" i="1"/>
  <c r="L339" i="1" s="1"/>
  <c r="J339" i="1"/>
  <c r="H339" i="1"/>
  <c r="G339" i="1"/>
  <c r="I339" i="1" s="1"/>
  <c r="F339" i="1"/>
  <c r="E339" i="1"/>
  <c r="C339" i="1"/>
  <c r="B339" i="1"/>
  <c r="K338" i="1"/>
  <c r="J338" i="1"/>
  <c r="L338" i="1" s="1"/>
  <c r="I338" i="1"/>
  <c r="H338" i="1"/>
  <c r="G338" i="1"/>
  <c r="E338" i="1"/>
  <c r="F338" i="1" s="1"/>
  <c r="C338" i="1"/>
  <c r="B338" i="1"/>
  <c r="L337" i="1"/>
  <c r="K337" i="1"/>
  <c r="J337" i="1"/>
  <c r="H337" i="1"/>
  <c r="G337" i="1"/>
  <c r="I337" i="1" s="1"/>
  <c r="E337" i="1"/>
  <c r="F337" i="1" s="1"/>
  <c r="C337" i="1"/>
  <c r="B337" i="1"/>
  <c r="K336" i="1"/>
  <c r="J336" i="1"/>
  <c r="L336" i="1" s="1"/>
  <c r="I336" i="1"/>
  <c r="H336" i="1"/>
  <c r="G336" i="1"/>
  <c r="F336" i="1"/>
  <c r="E336" i="1"/>
  <c r="C336" i="1"/>
  <c r="B336" i="1"/>
  <c r="K335" i="1"/>
  <c r="L335" i="1" s="1"/>
  <c r="J335" i="1"/>
  <c r="H335" i="1"/>
  <c r="G335" i="1"/>
  <c r="I335" i="1" s="1"/>
  <c r="F335" i="1"/>
  <c r="E335" i="1"/>
  <c r="C335" i="1"/>
  <c r="B335" i="1"/>
  <c r="K334" i="1"/>
  <c r="J334" i="1"/>
  <c r="L334" i="1" s="1"/>
  <c r="I334" i="1"/>
  <c r="H334" i="1"/>
  <c r="G334" i="1"/>
  <c r="E334" i="1"/>
  <c r="F334" i="1" s="1"/>
  <c r="C334" i="1"/>
  <c r="B334" i="1"/>
  <c r="L333" i="1"/>
  <c r="K333" i="1"/>
  <c r="J333" i="1"/>
  <c r="H333" i="1"/>
  <c r="G333" i="1"/>
  <c r="I333" i="1" s="1"/>
  <c r="E333" i="1"/>
  <c r="F333" i="1" s="1"/>
  <c r="C333" i="1"/>
  <c r="B333" i="1"/>
  <c r="K332" i="1"/>
  <c r="J332" i="1"/>
  <c r="L332" i="1" s="1"/>
  <c r="I332" i="1"/>
  <c r="H332" i="1"/>
  <c r="G332" i="1"/>
  <c r="F332" i="1"/>
  <c r="E332" i="1"/>
  <c r="C332" i="1"/>
  <c r="B332" i="1"/>
  <c r="K331" i="1"/>
  <c r="L331" i="1" s="1"/>
  <c r="J331" i="1"/>
  <c r="H331" i="1"/>
  <c r="G331" i="1"/>
  <c r="I331" i="1" s="1"/>
  <c r="F331" i="1"/>
  <c r="E331" i="1"/>
  <c r="C331" i="1"/>
  <c r="B331" i="1"/>
  <c r="K330" i="1"/>
  <c r="J330" i="1"/>
  <c r="L330" i="1" s="1"/>
  <c r="I330" i="1"/>
  <c r="H330" i="1"/>
  <c r="G330" i="1"/>
  <c r="E330" i="1"/>
  <c r="F330" i="1" s="1"/>
  <c r="C330" i="1"/>
  <c r="B330" i="1"/>
  <c r="L329" i="1"/>
  <c r="K329" i="1"/>
  <c r="J329" i="1"/>
  <c r="H329" i="1"/>
  <c r="G329" i="1"/>
  <c r="I329" i="1" s="1"/>
  <c r="E329" i="1"/>
  <c r="F329" i="1" s="1"/>
  <c r="C329" i="1"/>
  <c r="B329" i="1"/>
  <c r="K328" i="1"/>
  <c r="J328" i="1"/>
  <c r="L328" i="1" s="1"/>
  <c r="I328" i="1"/>
  <c r="H328" i="1"/>
  <c r="G328" i="1"/>
  <c r="F328" i="1"/>
  <c r="E328" i="1"/>
  <c r="C328" i="1"/>
  <c r="B328" i="1"/>
  <c r="K327" i="1"/>
  <c r="L327" i="1" s="1"/>
  <c r="J327" i="1"/>
  <c r="H327" i="1"/>
  <c r="G327" i="1"/>
  <c r="I327" i="1" s="1"/>
  <c r="F327" i="1"/>
  <c r="E327" i="1"/>
  <c r="C327" i="1"/>
  <c r="B327" i="1"/>
  <c r="K326" i="1"/>
  <c r="J326" i="1"/>
  <c r="L326" i="1" s="1"/>
  <c r="I326" i="1"/>
  <c r="H326" i="1"/>
  <c r="G326" i="1"/>
  <c r="E326" i="1"/>
  <c r="F326" i="1" s="1"/>
  <c r="C326" i="1"/>
  <c r="B326" i="1"/>
  <c r="L325" i="1"/>
  <c r="K325" i="1"/>
  <c r="J325" i="1"/>
  <c r="H325" i="1"/>
  <c r="G325" i="1"/>
  <c r="I325" i="1" s="1"/>
  <c r="E325" i="1"/>
  <c r="F325" i="1" s="1"/>
  <c r="C325" i="1"/>
  <c r="B325" i="1"/>
  <c r="K324" i="1"/>
  <c r="J324" i="1"/>
  <c r="L324" i="1" s="1"/>
  <c r="I324" i="1"/>
  <c r="H324" i="1"/>
  <c r="G324" i="1"/>
  <c r="F324" i="1"/>
  <c r="E324" i="1"/>
  <c r="C324" i="1"/>
  <c r="B324" i="1"/>
  <c r="K323" i="1"/>
  <c r="L323" i="1" s="1"/>
  <c r="J323" i="1"/>
  <c r="H323" i="1"/>
  <c r="G323" i="1"/>
  <c r="I323" i="1" s="1"/>
  <c r="F323" i="1"/>
  <c r="E323" i="1"/>
  <c r="C323" i="1"/>
  <c r="B323" i="1"/>
  <c r="K322" i="1"/>
  <c r="J322" i="1"/>
  <c r="L322" i="1" s="1"/>
  <c r="I322" i="1"/>
  <c r="H322" i="1"/>
  <c r="G322" i="1"/>
  <c r="E322" i="1"/>
  <c r="F322" i="1" s="1"/>
  <c r="C322" i="1"/>
  <c r="B322" i="1"/>
  <c r="L321" i="1"/>
  <c r="K321" i="1"/>
  <c r="J321" i="1"/>
  <c r="H321" i="1"/>
  <c r="G321" i="1"/>
  <c r="I321" i="1" s="1"/>
  <c r="E321" i="1"/>
  <c r="F321" i="1" s="1"/>
  <c r="C321" i="1"/>
  <c r="B321" i="1"/>
  <c r="K320" i="1"/>
  <c r="J320" i="1"/>
  <c r="L320" i="1" s="1"/>
  <c r="I320" i="1"/>
  <c r="H320" i="1"/>
  <c r="G320" i="1"/>
  <c r="F320" i="1"/>
  <c r="E320" i="1"/>
  <c r="C320" i="1"/>
  <c r="B320" i="1"/>
  <c r="K319" i="1"/>
  <c r="L319" i="1" s="1"/>
  <c r="J319" i="1"/>
  <c r="H319" i="1"/>
  <c r="G319" i="1"/>
  <c r="I319" i="1" s="1"/>
  <c r="F319" i="1"/>
  <c r="E319" i="1"/>
  <c r="C319" i="1"/>
  <c r="B319" i="1"/>
  <c r="K318" i="1"/>
  <c r="J318" i="1"/>
  <c r="L318" i="1" s="1"/>
  <c r="I318" i="1"/>
  <c r="H318" i="1"/>
  <c r="G318" i="1"/>
  <c r="E318" i="1"/>
  <c r="F318" i="1" s="1"/>
  <c r="C318" i="1"/>
  <c r="B318" i="1"/>
  <c r="L317" i="1"/>
  <c r="K317" i="1"/>
  <c r="J317" i="1"/>
  <c r="H317" i="1"/>
  <c r="G317" i="1"/>
  <c r="I317" i="1" s="1"/>
  <c r="E317" i="1"/>
  <c r="F317" i="1" s="1"/>
  <c r="C317" i="1"/>
  <c r="B317" i="1"/>
  <c r="K316" i="1"/>
  <c r="J316" i="1"/>
  <c r="L316" i="1" s="1"/>
  <c r="I316" i="1"/>
  <c r="H316" i="1"/>
  <c r="G316" i="1"/>
  <c r="F316" i="1"/>
  <c r="E316" i="1"/>
  <c r="C316" i="1"/>
  <c r="B316" i="1"/>
  <c r="K315" i="1"/>
  <c r="L315" i="1" s="1"/>
  <c r="J315" i="1"/>
  <c r="H315" i="1"/>
  <c r="G315" i="1"/>
  <c r="I315" i="1" s="1"/>
  <c r="F315" i="1"/>
  <c r="E315" i="1"/>
  <c r="C315" i="1"/>
  <c r="B315" i="1"/>
  <c r="K314" i="1"/>
  <c r="J314" i="1"/>
  <c r="L314" i="1" s="1"/>
  <c r="I314" i="1"/>
  <c r="H314" i="1"/>
  <c r="G314" i="1"/>
  <c r="E314" i="1"/>
  <c r="F314" i="1" s="1"/>
  <c r="C314" i="1"/>
  <c r="B314" i="1"/>
  <c r="L313" i="1"/>
  <c r="K313" i="1"/>
  <c r="J313" i="1"/>
  <c r="H313" i="1"/>
  <c r="G313" i="1"/>
  <c r="I313" i="1" s="1"/>
  <c r="E313" i="1"/>
  <c r="F313" i="1" s="1"/>
  <c r="C313" i="1"/>
  <c r="B313" i="1"/>
  <c r="K312" i="1"/>
  <c r="J312" i="1"/>
  <c r="L312" i="1" s="1"/>
  <c r="I312" i="1"/>
  <c r="H312" i="1"/>
  <c r="G312" i="1"/>
  <c r="F312" i="1"/>
  <c r="E312" i="1"/>
  <c r="C312" i="1"/>
  <c r="B312" i="1"/>
  <c r="K311" i="1"/>
  <c r="L311" i="1" s="1"/>
  <c r="J311" i="1"/>
  <c r="H311" i="1"/>
  <c r="I311" i="1" s="1"/>
  <c r="G311" i="1"/>
  <c r="E311" i="1"/>
  <c r="F311" i="1" s="1"/>
  <c r="C311" i="1"/>
  <c r="B311" i="1"/>
  <c r="K310" i="1"/>
  <c r="J310" i="1"/>
  <c r="L310" i="1" s="1"/>
  <c r="I310" i="1"/>
  <c r="H310" i="1"/>
  <c r="G310" i="1"/>
  <c r="E310" i="1"/>
  <c r="F310" i="1" s="1"/>
  <c r="C310" i="1"/>
  <c r="B310" i="1"/>
  <c r="L309" i="1"/>
  <c r="K309" i="1"/>
  <c r="J309" i="1"/>
  <c r="H309" i="1"/>
  <c r="G309" i="1"/>
  <c r="I309" i="1" s="1"/>
  <c r="E309" i="1"/>
  <c r="F309" i="1" s="1"/>
  <c r="C309" i="1"/>
  <c r="B309" i="1"/>
  <c r="K308" i="1"/>
  <c r="J308" i="1"/>
  <c r="L308" i="1" s="1"/>
  <c r="I308" i="1"/>
  <c r="H308" i="1"/>
  <c r="G308" i="1"/>
  <c r="F308" i="1"/>
  <c r="E308" i="1"/>
  <c r="C308" i="1"/>
  <c r="B308" i="1"/>
  <c r="K307" i="1"/>
  <c r="L307" i="1" s="1"/>
  <c r="J307" i="1"/>
  <c r="H307" i="1"/>
  <c r="G307" i="1"/>
  <c r="I307" i="1" s="1"/>
  <c r="E307" i="1"/>
  <c r="F307" i="1" s="1"/>
  <c r="C307" i="1"/>
  <c r="B307" i="1"/>
  <c r="K306" i="1"/>
  <c r="J306" i="1"/>
  <c r="L306" i="1" s="1"/>
  <c r="I306" i="1"/>
  <c r="H306" i="1"/>
  <c r="G306" i="1"/>
  <c r="E306" i="1"/>
  <c r="F306" i="1" s="1"/>
  <c r="C306" i="1"/>
  <c r="B306" i="1"/>
  <c r="L305" i="1"/>
  <c r="K305" i="1"/>
  <c r="J305" i="1"/>
  <c r="H305" i="1"/>
  <c r="G305" i="1"/>
  <c r="I305" i="1" s="1"/>
  <c r="E305" i="1"/>
  <c r="F305" i="1" s="1"/>
  <c r="C305" i="1"/>
  <c r="B305" i="1"/>
  <c r="K304" i="1"/>
  <c r="J304" i="1"/>
  <c r="L304" i="1" s="1"/>
  <c r="I304" i="1"/>
  <c r="H304" i="1"/>
  <c r="G304" i="1"/>
  <c r="F304" i="1"/>
  <c r="E304" i="1"/>
  <c r="C304" i="1"/>
  <c r="B304" i="1"/>
  <c r="K303" i="1"/>
  <c r="L303" i="1" s="1"/>
  <c r="J303" i="1"/>
  <c r="H303" i="1"/>
  <c r="G303" i="1"/>
  <c r="I303" i="1" s="1"/>
  <c r="F303" i="1"/>
  <c r="E303" i="1"/>
  <c r="C303" i="1"/>
  <c r="B303" i="1"/>
  <c r="K302" i="1"/>
  <c r="J302" i="1"/>
  <c r="L302" i="1" s="1"/>
  <c r="I302" i="1"/>
  <c r="H302" i="1"/>
  <c r="G302" i="1"/>
  <c r="E302" i="1"/>
  <c r="F302" i="1" s="1"/>
  <c r="C302" i="1"/>
  <c r="B302" i="1"/>
  <c r="L301" i="1"/>
  <c r="K301" i="1"/>
  <c r="J301" i="1"/>
  <c r="H301" i="1"/>
  <c r="G301" i="1"/>
  <c r="I301" i="1" s="1"/>
  <c r="E301" i="1"/>
  <c r="F301" i="1" s="1"/>
  <c r="C301" i="1"/>
  <c r="B301" i="1"/>
  <c r="K300" i="1"/>
  <c r="J300" i="1"/>
  <c r="L300" i="1" s="1"/>
  <c r="I300" i="1"/>
  <c r="H300" i="1"/>
  <c r="G300" i="1"/>
  <c r="F300" i="1"/>
  <c r="E300" i="1"/>
  <c r="C300" i="1"/>
  <c r="B300" i="1"/>
  <c r="K299" i="1"/>
  <c r="L299" i="1" s="1"/>
  <c r="J299" i="1"/>
  <c r="H299" i="1"/>
  <c r="G299" i="1"/>
  <c r="I299" i="1" s="1"/>
  <c r="F299" i="1"/>
  <c r="E299" i="1"/>
  <c r="C299" i="1"/>
  <c r="B299" i="1"/>
  <c r="K298" i="1"/>
  <c r="J298" i="1"/>
  <c r="L298" i="1" s="1"/>
  <c r="I298" i="1"/>
  <c r="H298" i="1"/>
  <c r="G298" i="1"/>
  <c r="E298" i="1"/>
  <c r="F298" i="1" s="1"/>
  <c r="C298" i="1"/>
  <c r="B298" i="1"/>
  <c r="L297" i="1"/>
  <c r="K297" i="1"/>
  <c r="J297" i="1"/>
  <c r="H297" i="1"/>
  <c r="G297" i="1"/>
  <c r="I297" i="1" s="1"/>
  <c r="E297" i="1"/>
  <c r="F297" i="1" s="1"/>
  <c r="C297" i="1"/>
  <c r="B297" i="1"/>
  <c r="K296" i="1"/>
  <c r="J296" i="1"/>
  <c r="L296" i="1" s="1"/>
  <c r="I296" i="1"/>
  <c r="H296" i="1"/>
  <c r="G296" i="1"/>
  <c r="F296" i="1"/>
  <c r="E296" i="1"/>
  <c r="C296" i="1"/>
  <c r="B296" i="1"/>
  <c r="K295" i="1"/>
  <c r="L295" i="1" s="1"/>
  <c r="J295" i="1"/>
  <c r="H295" i="1"/>
  <c r="G295" i="1"/>
  <c r="I295" i="1" s="1"/>
  <c r="F295" i="1"/>
  <c r="E295" i="1"/>
  <c r="C295" i="1"/>
  <c r="B295" i="1"/>
  <c r="K294" i="1"/>
  <c r="J294" i="1"/>
  <c r="L294" i="1" s="1"/>
  <c r="I294" i="1"/>
  <c r="H294" i="1"/>
  <c r="G294" i="1"/>
  <c r="E294" i="1"/>
  <c r="F294" i="1" s="1"/>
  <c r="C294" i="1"/>
  <c r="B294" i="1"/>
  <c r="L293" i="1"/>
  <c r="K293" i="1"/>
  <c r="J293" i="1"/>
  <c r="H293" i="1"/>
  <c r="G293" i="1"/>
  <c r="I293" i="1" s="1"/>
  <c r="E293" i="1"/>
  <c r="F293" i="1" s="1"/>
  <c r="C293" i="1"/>
  <c r="B293" i="1"/>
  <c r="K292" i="1"/>
  <c r="J292" i="1"/>
  <c r="L292" i="1" s="1"/>
  <c r="I292" i="1"/>
  <c r="H292" i="1"/>
  <c r="G292" i="1"/>
  <c r="F292" i="1"/>
  <c r="E292" i="1"/>
  <c r="C292" i="1"/>
  <c r="B292" i="1"/>
  <c r="K291" i="1"/>
  <c r="L291" i="1" s="1"/>
  <c r="J291" i="1"/>
  <c r="H291" i="1"/>
  <c r="G291" i="1"/>
  <c r="I291" i="1" s="1"/>
  <c r="F291" i="1"/>
  <c r="E291" i="1"/>
  <c r="C291" i="1"/>
  <c r="B291" i="1"/>
  <c r="K290" i="1"/>
  <c r="J290" i="1"/>
  <c r="L290" i="1" s="1"/>
  <c r="I290" i="1"/>
  <c r="H290" i="1"/>
  <c r="G290" i="1"/>
  <c r="E290" i="1"/>
  <c r="F290" i="1" s="1"/>
  <c r="C290" i="1"/>
  <c r="B290" i="1"/>
  <c r="K289" i="1"/>
  <c r="L289" i="1" s="1"/>
  <c r="J289" i="1"/>
  <c r="H289" i="1"/>
  <c r="G289" i="1"/>
  <c r="I289" i="1" s="1"/>
  <c r="E289" i="1"/>
  <c r="F289" i="1" s="1"/>
  <c r="C289" i="1"/>
  <c r="B289" i="1"/>
  <c r="K288" i="1"/>
  <c r="J288" i="1"/>
  <c r="L288" i="1" s="1"/>
  <c r="I288" i="1"/>
  <c r="H288" i="1"/>
  <c r="G288" i="1"/>
  <c r="E288" i="1"/>
  <c r="F288" i="1" s="1"/>
  <c r="C288" i="1"/>
  <c r="B288" i="1"/>
  <c r="K287" i="1"/>
  <c r="L287" i="1" s="1"/>
  <c r="J287" i="1"/>
  <c r="H287" i="1"/>
  <c r="G287" i="1"/>
  <c r="I287" i="1" s="1"/>
  <c r="F287" i="1"/>
  <c r="E287" i="1"/>
  <c r="C287" i="1"/>
  <c r="B287" i="1"/>
  <c r="K286" i="1"/>
  <c r="J286" i="1"/>
  <c r="L286" i="1" s="1"/>
  <c r="I286" i="1"/>
  <c r="H286" i="1"/>
  <c r="G286" i="1"/>
  <c r="E286" i="1"/>
  <c r="F286" i="1" s="1"/>
  <c r="C286" i="1"/>
  <c r="B286" i="1"/>
  <c r="K285" i="1"/>
  <c r="L285" i="1" s="1"/>
  <c r="J285" i="1"/>
  <c r="H285" i="1"/>
  <c r="G285" i="1"/>
  <c r="I285" i="1" s="1"/>
  <c r="E285" i="1"/>
  <c r="F285" i="1" s="1"/>
  <c r="C285" i="1"/>
  <c r="B285" i="1"/>
  <c r="K284" i="1"/>
  <c r="J284" i="1"/>
  <c r="L284" i="1" s="1"/>
  <c r="I284" i="1"/>
  <c r="H284" i="1"/>
  <c r="G284" i="1"/>
  <c r="E284" i="1"/>
  <c r="F284" i="1" s="1"/>
  <c r="C284" i="1"/>
  <c r="B284" i="1"/>
  <c r="K283" i="1"/>
  <c r="L283" i="1" s="1"/>
  <c r="J283" i="1"/>
  <c r="H283" i="1"/>
  <c r="G283" i="1"/>
  <c r="I283" i="1" s="1"/>
  <c r="F283" i="1"/>
  <c r="E283" i="1"/>
  <c r="C283" i="1"/>
  <c r="B283" i="1"/>
  <c r="K282" i="1"/>
  <c r="J282" i="1"/>
  <c r="L282" i="1" s="1"/>
  <c r="I282" i="1"/>
  <c r="H282" i="1"/>
  <c r="G282" i="1"/>
  <c r="E282" i="1"/>
  <c r="F282" i="1" s="1"/>
  <c r="C282" i="1"/>
  <c r="B282" i="1"/>
  <c r="K281" i="1"/>
  <c r="L281" i="1" s="1"/>
  <c r="J281" i="1"/>
  <c r="H281" i="1"/>
  <c r="G281" i="1"/>
  <c r="I281" i="1" s="1"/>
  <c r="E281" i="1"/>
  <c r="F281" i="1" s="1"/>
  <c r="C281" i="1"/>
  <c r="B281" i="1"/>
  <c r="K280" i="1"/>
  <c r="J280" i="1"/>
  <c r="L280" i="1" s="1"/>
  <c r="I280" i="1"/>
  <c r="H280" i="1"/>
  <c r="G280" i="1"/>
  <c r="E280" i="1"/>
  <c r="F280" i="1" s="1"/>
  <c r="C280" i="1"/>
  <c r="B280" i="1"/>
  <c r="K279" i="1"/>
  <c r="L279" i="1" s="1"/>
  <c r="J279" i="1"/>
  <c r="H279" i="1"/>
  <c r="G279" i="1"/>
  <c r="I279" i="1" s="1"/>
  <c r="E279" i="1"/>
  <c r="F279" i="1" s="1"/>
  <c r="C279" i="1"/>
  <c r="B279" i="1"/>
  <c r="K278" i="1"/>
  <c r="J278" i="1"/>
  <c r="L278" i="1" s="1"/>
  <c r="I278" i="1"/>
  <c r="H278" i="1"/>
  <c r="G278" i="1"/>
  <c r="E278" i="1"/>
  <c r="F278" i="1" s="1"/>
  <c r="C278" i="1"/>
  <c r="B278" i="1"/>
  <c r="L277" i="1"/>
  <c r="K277" i="1"/>
  <c r="J277" i="1"/>
  <c r="H277" i="1"/>
  <c r="G277" i="1"/>
  <c r="I277" i="1" s="1"/>
  <c r="E277" i="1"/>
  <c r="F277" i="1" s="1"/>
  <c r="C277" i="1"/>
  <c r="B277" i="1"/>
  <c r="K276" i="1"/>
  <c r="J276" i="1"/>
  <c r="L276" i="1" s="1"/>
  <c r="I276" i="1"/>
  <c r="H276" i="1"/>
  <c r="G276" i="1"/>
  <c r="F276" i="1"/>
  <c r="E276" i="1"/>
  <c r="C276" i="1"/>
  <c r="B276" i="1"/>
  <c r="K275" i="1"/>
  <c r="L275" i="1" s="1"/>
  <c r="J275" i="1"/>
  <c r="H275" i="1"/>
  <c r="G275" i="1"/>
  <c r="I275" i="1" s="1"/>
  <c r="E275" i="1"/>
  <c r="F275" i="1" s="1"/>
  <c r="C275" i="1"/>
  <c r="B275" i="1"/>
  <c r="K274" i="1"/>
  <c r="J274" i="1"/>
  <c r="L274" i="1" s="1"/>
  <c r="H274" i="1"/>
  <c r="G274" i="1"/>
  <c r="I274" i="1" s="1"/>
  <c r="E274" i="1"/>
  <c r="F274" i="1" s="1"/>
  <c r="C274" i="1"/>
  <c r="B274" i="1"/>
  <c r="L273" i="1"/>
  <c r="K273" i="1"/>
  <c r="J273" i="1"/>
  <c r="H273" i="1"/>
  <c r="G273" i="1"/>
  <c r="I273" i="1" s="1"/>
  <c r="E273" i="1"/>
  <c r="F273" i="1" s="1"/>
  <c r="C273" i="1"/>
  <c r="B273" i="1"/>
  <c r="K272" i="1"/>
  <c r="J272" i="1"/>
  <c r="L272" i="1" s="1"/>
  <c r="I272" i="1"/>
  <c r="H272" i="1"/>
  <c r="G272" i="1"/>
  <c r="F272" i="1"/>
  <c r="E272" i="1"/>
  <c r="C272" i="1"/>
  <c r="B272" i="1"/>
  <c r="K271" i="1"/>
  <c r="L271" i="1" s="1"/>
  <c r="J271" i="1"/>
  <c r="H271" i="1"/>
  <c r="G271" i="1"/>
  <c r="I271" i="1" s="1"/>
  <c r="E271" i="1"/>
  <c r="F271" i="1" s="1"/>
  <c r="C271" i="1"/>
  <c r="B271" i="1"/>
  <c r="K270" i="1"/>
  <c r="J270" i="1"/>
  <c r="L270" i="1" s="1"/>
  <c r="H270" i="1"/>
  <c r="G270" i="1"/>
  <c r="I270" i="1" s="1"/>
  <c r="E270" i="1"/>
  <c r="F270" i="1" s="1"/>
  <c r="C270" i="1"/>
  <c r="B270" i="1"/>
  <c r="L269" i="1"/>
  <c r="K269" i="1"/>
  <c r="J269" i="1"/>
  <c r="H269" i="1"/>
  <c r="G269" i="1"/>
  <c r="I269" i="1" s="1"/>
  <c r="E269" i="1"/>
  <c r="F269" i="1" s="1"/>
  <c r="C269" i="1"/>
  <c r="B269" i="1"/>
  <c r="K268" i="1"/>
  <c r="J268" i="1"/>
  <c r="L268" i="1" s="1"/>
  <c r="I268" i="1"/>
  <c r="H268" i="1"/>
  <c r="G268" i="1"/>
  <c r="F268" i="1"/>
  <c r="E268" i="1"/>
  <c r="C268" i="1"/>
  <c r="B268" i="1"/>
  <c r="K267" i="1"/>
  <c r="L267" i="1" s="1"/>
  <c r="J267" i="1"/>
  <c r="H267" i="1"/>
  <c r="G267" i="1"/>
  <c r="I267" i="1" s="1"/>
  <c r="E267" i="1"/>
  <c r="F267" i="1" s="1"/>
  <c r="C267" i="1"/>
  <c r="B267" i="1"/>
  <c r="K266" i="1"/>
  <c r="J266" i="1"/>
  <c r="L266" i="1" s="1"/>
  <c r="H266" i="1"/>
  <c r="G266" i="1"/>
  <c r="I266" i="1" s="1"/>
  <c r="E266" i="1"/>
  <c r="F266" i="1" s="1"/>
  <c r="C266" i="1"/>
  <c r="B266" i="1"/>
  <c r="L265" i="1"/>
  <c r="K265" i="1"/>
  <c r="J265" i="1"/>
  <c r="H265" i="1"/>
  <c r="G265" i="1"/>
  <c r="I265" i="1" s="1"/>
  <c r="E265" i="1"/>
  <c r="F265" i="1" s="1"/>
  <c r="C265" i="1"/>
  <c r="B265" i="1"/>
  <c r="K264" i="1"/>
  <c r="J264" i="1"/>
  <c r="L264" i="1" s="1"/>
  <c r="I264" i="1"/>
  <c r="H264" i="1"/>
  <c r="G264" i="1"/>
  <c r="F264" i="1"/>
  <c r="E264" i="1"/>
  <c r="C264" i="1"/>
  <c r="B264" i="1"/>
  <c r="K263" i="1"/>
  <c r="L263" i="1" s="1"/>
  <c r="J263" i="1"/>
  <c r="H263" i="1"/>
  <c r="I263" i="1" s="1"/>
  <c r="G263" i="1"/>
  <c r="E263" i="1"/>
  <c r="F263" i="1" s="1"/>
  <c r="C263" i="1"/>
  <c r="B263" i="1"/>
  <c r="K262" i="1"/>
  <c r="J262" i="1"/>
  <c r="L262" i="1" s="1"/>
  <c r="H262" i="1"/>
  <c r="G262" i="1"/>
  <c r="I262" i="1" s="1"/>
  <c r="E262" i="1"/>
  <c r="F262" i="1" s="1"/>
  <c r="C262" i="1"/>
  <c r="B262" i="1"/>
  <c r="L261" i="1"/>
  <c r="K261" i="1"/>
  <c r="J261" i="1"/>
  <c r="I261" i="1"/>
  <c r="H261" i="1"/>
  <c r="G261" i="1"/>
  <c r="E261" i="1"/>
  <c r="F261" i="1" s="1"/>
  <c r="C261" i="1"/>
  <c r="B261" i="1"/>
  <c r="K260" i="1"/>
  <c r="J260" i="1"/>
  <c r="L260" i="1" s="1"/>
  <c r="I260" i="1"/>
  <c r="H260" i="1"/>
  <c r="G260" i="1"/>
  <c r="F260" i="1"/>
  <c r="E260" i="1"/>
  <c r="C260" i="1"/>
  <c r="B260" i="1"/>
  <c r="K259" i="1"/>
  <c r="L259" i="1" s="1"/>
  <c r="J259" i="1"/>
  <c r="I259" i="1"/>
  <c r="H259" i="1"/>
  <c r="G259" i="1"/>
  <c r="E259" i="1"/>
  <c r="F259" i="1" s="1"/>
  <c r="C259" i="1"/>
  <c r="B259" i="1"/>
  <c r="K258" i="1"/>
  <c r="J258" i="1"/>
  <c r="L258" i="1" s="1"/>
  <c r="H258" i="1"/>
  <c r="G258" i="1"/>
  <c r="I258" i="1" s="1"/>
  <c r="E258" i="1"/>
  <c r="F258" i="1" s="1"/>
  <c r="C258" i="1"/>
  <c r="B258" i="1"/>
  <c r="L257" i="1"/>
  <c r="K257" i="1"/>
  <c r="J257" i="1"/>
  <c r="I257" i="1"/>
  <c r="H257" i="1"/>
  <c r="G257" i="1"/>
  <c r="E257" i="1"/>
  <c r="F257" i="1" s="1"/>
  <c r="C257" i="1"/>
  <c r="B257" i="1"/>
  <c r="K256" i="1"/>
  <c r="J256" i="1"/>
  <c r="L256" i="1" s="1"/>
  <c r="H256" i="1"/>
  <c r="G256" i="1"/>
  <c r="I256" i="1" s="1"/>
  <c r="F256" i="1"/>
  <c r="E256" i="1"/>
  <c r="C256" i="1"/>
  <c r="B256" i="1"/>
  <c r="K255" i="1"/>
  <c r="L255" i="1" s="1"/>
  <c r="J255" i="1"/>
  <c r="I255" i="1"/>
  <c r="H255" i="1"/>
  <c r="G255" i="1"/>
  <c r="E255" i="1"/>
  <c r="F255" i="1" s="1"/>
  <c r="C255" i="1"/>
  <c r="B255" i="1"/>
  <c r="K254" i="1"/>
  <c r="J254" i="1"/>
  <c r="L254" i="1" s="1"/>
  <c r="H254" i="1"/>
  <c r="G254" i="1"/>
  <c r="I254" i="1" s="1"/>
  <c r="E254" i="1"/>
  <c r="F254" i="1" s="1"/>
  <c r="C254" i="1"/>
  <c r="B254" i="1"/>
  <c r="L253" i="1"/>
  <c r="K253" i="1"/>
  <c r="J253" i="1"/>
  <c r="I253" i="1"/>
  <c r="H253" i="1"/>
  <c r="G253" i="1"/>
  <c r="E253" i="1"/>
  <c r="F253" i="1" s="1"/>
  <c r="C253" i="1"/>
  <c r="B253" i="1"/>
  <c r="K252" i="1"/>
  <c r="J252" i="1"/>
  <c r="L252" i="1" s="1"/>
  <c r="H252" i="1"/>
  <c r="G252" i="1"/>
  <c r="I252" i="1" s="1"/>
  <c r="F252" i="1"/>
  <c r="E252" i="1"/>
  <c r="C252" i="1"/>
  <c r="B252" i="1"/>
  <c r="K251" i="1"/>
  <c r="L251" i="1" s="1"/>
  <c r="J251" i="1"/>
  <c r="H251" i="1"/>
  <c r="I251" i="1" s="1"/>
  <c r="G251" i="1"/>
  <c r="E251" i="1"/>
  <c r="F251" i="1" s="1"/>
  <c r="C251" i="1"/>
  <c r="B251" i="1"/>
  <c r="K250" i="1"/>
  <c r="J250" i="1"/>
  <c r="L250" i="1" s="1"/>
  <c r="H250" i="1"/>
  <c r="G250" i="1"/>
  <c r="I250" i="1" s="1"/>
  <c r="E250" i="1"/>
  <c r="F250" i="1" s="1"/>
  <c r="C250" i="1"/>
  <c r="B250" i="1"/>
  <c r="L249" i="1"/>
  <c r="K249" i="1"/>
  <c r="J249" i="1"/>
  <c r="I249" i="1"/>
  <c r="H249" i="1"/>
  <c r="G249" i="1"/>
  <c r="E249" i="1"/>
  <c r="F249" i="1" s="1"/>
  <c r="C249" i="1"/>
  <c r="B249" i="1"/>
  <c r="K248" i="1"/>
  <c r="J248" i="1"/>
  <c r="L248" i="1" s="1"/>
  <c r="I248" i="1"/>
  <c r="H248" i="1"/>
  <c r="G248" i="1"/>
  <c r="F248" i="1"/>
  <c r="E248" i="1"/>
  <c r="C248" i="1"/>
  <c r="B248" i="1"/>
  <c r="K247" i="1"/>
  <c r="L247" i="1" s="1"/>
  <c r="J247" i="1"/>
  <c r="H247" i="1"/>
  <c r="I247" i="1" s="1"/>
  <c r="G247" i="1"/>
  <c r="E247" i="1"/>
  <c r="F247" i="1" s="1"/>
  <c r="C247" i="1"/>
  <c r="B247" i="1"/>
  <c r="K246" i="1"/>
  <c r="J246" i="1"/>
  <c r="L246" i="1" s="1"/>
  <c r="H246" i="1"/>
  <c r="G246" i="1"/>
  <c r="I246" i="1" s="1"/>
  <c r="E246" i="1"/>
  <c r="F246" i="1" s="1"/>
  <c r="C246" i="1"/>
  <c r="B246" i="1"/>
  <c r="L245" i="1"/>
  <c r="K245" i="1"/>
  <c r="J245" i="1"/>
  <c r="I245" i="1"/>
  <c r="H245" i="1"/>
  <c r="G245" i="1"/>
  <c r="E245" i="1"/>
  <c r="F245" i="1" s="1"/>
  <c r="C245" i="1"/>
  <c r="B245" i="1"/>
  <c r="K244" i="1"/>
  <c r="J244" i="1"/>
  <c r="L244" i="1" s="1"/>
  <c r="I244" i="1"/>
  <c r="H244" i="1"/>
  <c r="G244" i="1"/>
  <c r="F244" i="1"/>
  <c r="E244" i="1"/>
  <c r="C244" i="1"/>
  <c r="B244" i="1"/>
  <c r="K243" i="1"/>
  <c r="L243" i="1" s="1"/>
  <c r="J243" i="1"/>
  <c r="H243" i="1"/>
  <c r="I243" i="1" s="1"/>
  <c r="G243" i="1"/>
  <c r="E243" i="1"/>
  <c r="F243" i="1" s="1"/>
  <c r="C243" i="1"/>
  <c r="B243" i="1"/>
  <c r="K242" i="1"/>
  <c r="J242" i="1"/>
  <c r="L242" i="1" s="1"/>
  <c r="H242" i="1"/>
  <c r="G242" i="1"/>
  <c r="I242" i="1" s="1"/>
  <c r="E242" i="1"/>
  <c r="F242" i="1" s="1"/>
  <c r="C242" i="1"/>
  <c r="B242" i="1"/>
  <c r="L241" i="1"/>
  <c r="K241" i="1"/>
  <c r="J241" i="1"/>
  <c r="I241" i="1"/>
  <c r="H241" i="1"/>
  <c r="G241" i="1"/>
  <c r="E241" i="1"/>
  <c r="F241" i="1" s="1"/>
  <c r="C241" i="1"/>
  <c r="B241" i="1"/>
  <c r="K240" i="1"/>
  <c r="J240" i="1"/>
  <c r="L240" i="1" s="1"/>
  <c r="I240" i="1"/>
  <c r="H240" i="1"/>
  <c r="G240" i="1"/>
  <c r="F240" i="1"/>
  <c r="E240" i="1"/>
  <c r="C240" i="1"/>
  <c r="B240" i="1"/>
  <c r="K239" i="1"/>
  <c r="L239" i="1" s="1"/>
  <c r="J239" i="1"/>
  <c r="H239" i="1"/>
  <c r="I239" i="1" s="1"/>
  <c r="G239" i="1"/>
  <c r="E239" i="1"/>
  <c r="F239" i="1" s="1"/>
  <c r="C239" i="1"/>
  <c r="B239" i="1"/>
  <c r="K238" i="1"/>
  <c r="J238" i="1"/>
  <c r="L238" i="1" s="1"/>
  <c r="H238" i="1"/>
  <c r="G238" i="1"/>
  <c r="I238" i="1" s="1"/>
  <c r="E238" i="1"/>
  <c r="F238" i="1" s="1"/>
  <c r="C238" i="1"/>
  <c r="B238" i="1"/>
  <c r="L237" i="1"/>
  <c r="K237" i="1"/>
  <c r="J237" i="1"/>
  <c r="I237" i="1"/>
  <c r="H237" i="1"/>
  <c r="G237" i="1"/>
  <c r="E237" i="1"/>
  <c r="F237" i="1" s="1"/>
  <c r="C237" i="1"/>
  <c r="B237" i="1"/>
  <c r="K236" i="1"/>
  <c r="J236" i="1"/>
  <c r="L236" i="1" s="1"/>
  <c r="I236" i="1"/>
  <c r="H236" i="1"/>
  <c r="G236" i="1"/>
  <c r="F236" i="1"/>
  <c r="E236" i="1"/>
  <c r="C236" i="1"/>
  <c r="B236" i="1"/>
  <c r="K235" i="1"/>
  <c r="L235" i="1" s="1"/>
  <c r="J235" i="1"/>
  <c r="H235" i="1"/>
  <c r="I235" i="1" s="1"/>
  <c r="G235" i="1"/>
  <c r="E235" i="1"/>
  <c r="F235" i="1" s="1"/>
  <c r="C235" i="1"/>
  <c r="B235" i="1"/>
  <c r="K234" i="1"/>
  <c r="J234" i="1"/>
  <c r="L234" i="1" s="1"/>
  <c r="H234" i="1"/>
  <c r="G234" i="1"/>
  <c r="I234" i="1" s="1"/>
  <c r="E234" i="1"/>
  <c r="F234" i="1" s="1"/>
  <c r="C234" i="1"/>
  <c r="B234" i="1"/>
  <c r="L233" i="1"/>
  <c r="K233" i="1"/>
  <c r="J233" i="1"/>
  <c r="I233" i="1"/>
  <c r="H233" i="1"/>
  <c r="G233" i="1"/>
  <c r="E233" i="1"/>
  <c r="F233" i="1" s="1"/>
  <c r="C233" i="1"/>
  <c r="B233" i="1"/>
  <c r="K232" i="1"/>
  <c r="J232" i="1"/>
  <c r="L232" i="1" s="1"/>
  <c r="I232" i="1"/>
  <c r="H232" i="1"/>
  <c r="G232" i="1"/>
  <c r="F232" i="1"/>
  <c r="E232" i="1"/>
  <c r="C232" i="1"/>
  <c r="B232" i="1"/>
  <c r="K231" i="1"/>
  <c r="L231" i="1" s="1"/>
  <c r="J231" i="1"/>
  <c r="H231" i="1"/>
  <c r="I231" i="1" s="1"/>
  <c r="G231" i="1"/>
  <c r="E231" i="1"/>
  <c r="F231" i="1" s="1"/>
  <c r="C231" i="1"/>
  <c r="B231" i="1"/>
  <c r="K230" i="1"/>
  <c r="J230" i="1"/>
  <c r="L230" i="1" s="1"/>
  <c r="H230" i="1"/>
  <c r="G230" i="1"/>
  <c r="I230" i="1" s="1"/>
  <c r="E230" i="1"/>
  <c r="F230" i="1" s="1"/>
  <c r="C230" i="1"/>
  <c r="B230" i="1"/>
  <c r="L229" i="1"/>
  <c r="K229" i="1"/>
  <c r="J229" i="1"/>
  <c r="I229" i="1"/>
  <c r="H229" i="1"/>
  <c r="G229" i="1"/>
  <c r="E229" i="1"/>
  <c r="F229" i="1" s="1"/>
  <c r="C229" i="1"/>
  <c r="B229" i="1"/>
  <c r="K228" i="1"/>
  <c r="J228" i="1"/>
  <c r="L228" i="1" s="1"/>
  <c r="H228" i="1"/>
  <c r="G228" i="1"/>
  <c r="I228" i="1" s="1"/>
  <c r="F228" i="1"/>
  <c r="E228" i="1"/>
  <c r="C228" i="1"/>
  <c r="B228" i="1"/>
  <c r="K227" i="1"/>
  <c r="L227" i="1" s="1"/>
  <c r="J227" i="1"/>
  <c r="H227" i="1"/>
  <c r="I227" i="1" s="1"/>
  <c r="G227" i="1"/>
  <c r="E227" i="1"/>
  <c r="F227" i="1" s="1"/>
  <c r="C227" i="1"/>
  <c r="B227" i="1"/>
  <c r="K226" i="1"/>
  <c r="J226" i="1"/>
  <c r="L226" i="1" s="1"/>
  <c r="H226" i="1"/>
  <c r="G226" i="1"/>
  <c r="I226" i="1" s="1"/>
  <c r="E226" i="1"/>
  <c r="F226" i="1" s="1"/>
  <c r="C226" i="1"/>
  <c r="B226" i="1"/>
  <c r="L225" i="1"/>
  <c r="K225" i="1"/>
  <c r="J225" i="1"/>
  <c r="I225" i="1"/>
  <c r="H225" i="1"/>
  <c r="G225" i="1"/>
  <c r="E225" i="1"/>
  <c r="F225" i="1" s="1"/>
  <c r="C225" i="1"/>
  <c r="B225" i="1"/>
  <c r="K224" i="1"/>
  <c r="J224" i="1"/>
  <c r="L224" i="1" s="1"/>
  <c r="H224" i="1"/>
  <c r="G224" i="1"/>
  <c r="I224" i="1" s="1"/>
  <c r="F224" i="1"/>
  <c r="E224" i="1"/>
  <c r="C224" i="1"/>
  <c r="B224" i="1"/>
  <c r="K223" i="1"/>
  <c r="L223" i="1" s="1"/>
  <c r="J223" i="1"/>
  <c r="H223" i="1"/>
  <c r="I223" i="1" s="1"/>
  <c r="G223" i="1"/>
  <c r="E223" i="1"/>
  <c r="F223" i="1" s="1"/>
  <c r="C223" i="1"/>
  <c r="B223" i="1"/>
  <c r="K222" i="1"/>
  <c r="J222" i="1"/>
  <c r="L222" i="1" s="1"/>
  <c r="H222" i="1"/>
  <c r="G222" i="1"/>
  <c r="I222" i="1" s="1"/>
  <c r="E222" i="1"/>
  <c r="F222" i="1" s="1"/>
  <c r="C222" i="1"/>
  <c r="B222" i="1"/>
  <c r="L221" i="1"/>
  <c r="K221" i="1"/>
  <c r="J221" i="1"/>
  <c r="I221" i="1"/>
  <c r="H221" i="1"/>
  <c r="G221" i="1"/>
  <c r="E221" i="1"/>
  <c r="F221" i="1" s="1"/>
  <c r="C221" i="1"/>
  <c r="B221" i="1"/>
  <c r="K220" i="1"/>
  <c r="J220" i="1"/>
  <c r="L220" i="1" s="1"/>
  <c r="H220" i="1"/>
  <c r="G220" i="1"/>
  <c r="I220" i="1" s="1"/>
  <c r="F220" i="1"/>
  <c r="E220" i="1"/>
  <c r="C220" i="1"/>
  <c r="B220" i="1"/>
  <c r="K219" i="1"/>
  <c r="L219" i="1" s="1"/>
  <c r="J219" i="1"/>
  <c r="H219" i="1"/>
  <c r="I219" i="1" s="1"/>
  <c r="G219" i="1"/>
  <c r="E219" i="1"/>
  <c r="F219" i="1" s="1"/>
  <c r="C219" i="1"/>
  <c r="B219" i="1"/>
  <c r="K218" i="1"/>
  <c r="J218" i="1"/>
  <c r="L218" i="1" s="1"/>
  <c r="H218" i="1"/>
  <c r="G218" i="1"/>
  <c r="I218" i="1" s="1"/>
  <c r="E218" i="1"/>
  <c r="F218" i="1" s="1"/>
  <c r="C218" i="1"/>
  <c r="B218" i="1"/>
  <c r="L217" i="1"/>
  <c r="K217" i="1"/>
  <c r="J217" i="1"/>
  <c r="I217" i="1"/>
  <c r="H217" i="1"/>
  <c r="G217" i="1"/>
  <c r="E217" i="1"/>
  <c r="F217" i="1" s="1"/>
  <c r="C217" i="1"/>
  <c r="B217" i="1"/>
  <c r="K216" i="1"/>
  <c r="J216" i="1"/>
  <c r="L216" i="1" s="1"/>
  <c r="H216" i="1"/>
  <c r="G216" i="1"/>
  <c r="I216" i="1" s="1"/>
  <c r="F216" i="1"/>
  <c r="E216" i="1"/>
  <c r="C216" i="1"/>
  <c r="B216" i="1"/>
  <c r="K215" i="1"/>
  <c r="L215" i="1" s="1"/>
  <c r="J215" i="1"/>
  <c r="I215" i="1"/>
  <c r="H215" i="1"/>
  <c r="G215" i="1"/>
  <c r="E215" i="1"/>
  <c r="F215" i="1" s="1"/>
  <c r="C215" i="1"/>
  <c r="B215" i="1"/>
  <c r="K214" i="1"/>
  <c r="J214" i="1"/>
  <c r="L214" i="1" s="1"/>
  <c r="H214" i="1"/>
  <c r="G214" i="1"/>
  <c r="I214" i="1" s="1"/>
  <c r="E214" i="1"/>
  <c r="F214" i="1" s="1"/>
  <c r="C214" i="1"/>
  <c r="B214" i="1"/>
  <c r="L213" i="1"/>
  <c r="K213" i="1"/>
  <c r="J213" i="1"/>
  <c r="I213" i="1"/>
  <c r="H213" i="1"/>
  <c r="G213" i="1"/>
  <c r="E213" i="1"/>
  <c r="F213" i="1" s="1"/>
  <c r="C213" i="1"/>
  <c r="B213" i="1"/>
  <c r="K212" i="1"/>
  <c r="J212" i="1"/>
  <c r="L212" i="1" s="1"/>
  <c r="H212" i="1"/>
  <c r="G212" i="1"/>
  <c r="I212" i="1" s="1"/>
  <c r="F212" i="1"/>
  <c r="E212" i="1"/>
  <c r="C212" i="1"/>
  <c r="B212" i="1"/>
  <c r="K211" i="1"/>
  <c r="L211" i="1" s="1"/>
  <c r="J211" i="1"/>
  <c r="H211" i="1"/>
  <c r="I211" i="1" s="1"/>
  <c r="G211" i="1"/>
  <c r="E211" i="1"/>
  <c r="F211" i="1" s="1"/>
  <c r="C211" i="1"/>
  <c r="B211" i="1"/>
  <c r="K210" i="1"/>
  <c r="J210" i="1"/>
  <c r="L210" i="1" s="1"/>
  <c r="H210" i="1"/>
  <c r="G210" i="1"/>
  <c r="I210" i="1" s="1"/>
  <c r="E210" i="1"/>
  <c r="F210" i="1" s="1"/>
  <c r="C210" i="1"/>
  <c r="B210" i="1"/>
  <c r="L209" i="1"/>
  <c r="K209" i="1"/>
  <c r="J209" i="1"/>
  <c r="I209" i="1"/>
  <c r="H209" i="1"/>
  <c r="G209" i="1"/>
  <c r="E209" i="1"/>
  <c r="F209" i="1" s="1"/>
  <c r="C209" i="1"/>
  <c r="B209" i="1"/>
  <c r="K208" i="1"/>
  <c r="J208" i="1"/>
  <c r="L208" i="1" s="1"/>
  <c r="H208" i="1"/>
  <c r="G208" i="1"/>
  <c r="I208" i="1" s="1"/>
  <c r="F208" i="1"/>
  <c r="E208" i="1"/>
  <c r="C208" i="1"/>
  <c r="B208" i="1"/>
  <c r="K207" i="1"/>
  <c r="L207" i="1" s="1"/>
  <c r="J207" i="1"/>
  <c r="H207" i="1"/>
  <c r="I207" i="1" s="1"/>
  <c r="G207" i="1"/>
  <c r="E207" i="1"/>
  <c r="F207" i="1" s="1"/>
  <c r="C207" i="1"/>
  <c r="B207" i="1"/>
  <c r="K206" i="1"/>
  <c r="J206" i="1"/>
  <c r="L206" i="1" s="1"/>
  <c r="H206" i="1"/>
  <c r="G206" i="1"/>
  <c r="I206" i="1" s="1"/>
  <c r="E206" i="1"/>
  <c r="F206" i="1" s="1"/>
  <c r="C206" i="1"/>
  <c r="B206" i="1"/>
  <c r="L205" i="1"/>
  <c r="K205" i="1"/>
  <c r="J205" i="1"/>
  <c r="I205" i="1"/>
  <c r="H205" i="1"/>
  <c r="G205" i="1"/>
  <c r="E205" i="1"/>
  <c r="F205" i="1" s="1"/>
  <c r="C205" i="1"/>
  <c r="B205" i="1"/>
  <c r="K204" i="1"/>
  <c r="J204" i="1"/>
  <c r="L204" i="1" s="1"/>
  <c r="H204" i="1"/>
  <c r="G204" i="1"/>
  <c r="I204" i="1" s="1"/>
  <c r="F204" i="1"/>
  <c r="E204" i="1"/>
  <c r="C204" i="1"/>
  <c r="B204" i="1"/>
  <c r="K203" i="1"/>
  <c r="L203" i="1" s="1"/>
  <c r="J203" i="1"/>
  <c r="I203" i="1"/>
  <c r="H203" i="1"/>
  <c r="G203" i="1"/>
  <c r="E203" i="1"/>
  <c r="F203" i="1" s="1"/>
  <c r="C203" i="1"/>
  <c r="B203" i="1"/>
  <c r="K202" i="1"/>
  <c r="J202" i="1"/>
  <c r="L202" i="1" s="1"/>
  <c r="H202" i="1"/>
  <c r="G202" i="1"/>
  <c r="I202" i="1" s="1"/>
  <c r="E202" i="1"/>
  <c r="F202" i="1" s="1"/>
  <c r="C202" i="1"/>
  <c r="B202" i="1"/>
  <c r="L201" i="1"/>
  <c r="K201" i="1"/>
  <c r="J201" i="1"/>
  <c r="I201" i="1"/>
  <c r="H201" i="1"/>
  <c r="G201" i="1"/>
  <c r="E201" i="1"/>
  <c r="F201" i="1" s="1"/>
  <c r="C201" i="1"/>
  <c r="B201" i="1"/>
  <c r="K200" i="1"/>
  <c r="J200" i="1"/>
  <c r="H200" i="1"/>
  <c r="G200" i="1"/>
  <c r="I200" i="1" s="1"/>
  <c r="F200" i="1"/>
  <c r="E200" i="1"/>
  <c r="C200" i="1"/>
  <c r="B200" i="1"/>
  <c r="K199" i="1"/>
  <c r="L199" i="1" s="1"/>
  <c r="J199" i="1"/>
  <c r="I199" i="1"/>
  <c r="H199" i="1"/>
  <c r="G199" i="1"/>
  <c r="E199" i="1"/>
  <c r="F199" i="1" s="1"/>
  <c r="C199" i="1"/>
  <c r="B199" i="1"/>
  <c r="K198" i="1"/>
  <c r="J198" i="1"/>
  <c r="L198" i="1" s="1"/>
  <c r="H198" i="1"/>
  <c r="G198" i="1"/>
  <c r="I198" i="1" s="1"/>
  <c r="E198" i="1"/>
  <c r="F198" i="1" s="1"/>
  <c r="C198" i="1"/>
  <c r="B198" i="1"/>
  <c r="L197" i="1"/>
  <c r="K197" i="1"/>
  <c r="J197" i="1"/>
  <c r="I197" i="1"/>
  <c r="H197" i="1"/>
  <c r="G197" i="1"/>
  <c r="E197" i="1"/>
  <c r="F197" i="1" s="1"/>
  <c r="C197" i="1"/>
  <c r="B197" i="1"/>
  <c r="K196" i="1"/>
  <c r="J196" i="1"/>
  <c r="H196" i="1"/>
  <c r="G196" i="1"/>
  <c r="I196" i="1" s="1"/>
  <c r="F196" i="1"/>
  <c r="E196" i="1"/>
  <c r="C196" i="1"/>
  <c r="B196" i="1"/>
  <c r="K195" i="1"/>
  <c r="L195" i="1" s="1"/>
  <c r="J195" i="1"/>
  <c r="I195" i="1"/>
  <c r="H195" i="1"/>
  <c r="G195" i="1"/>
  <c r="E195" i="1"/>
  <c r="F195" i="1" s="1"/>
  <c r="C195" i="1"/>
  <c r="B195" i="1"/>
  <c r="K194" i="1"/>
  <c r="J194" i="1"/>
  <c r="L194" i="1" s="1"/>
  <c r="H194" i="1"/>
  <c r="G194" i="1"/>
  <c r="I194" i="1" s="1"/>
  <c r="E194" i="1"/>
  <c r="F194" i="1" s="1"/>
  <c r="C194" i="1"/>
  <c r="B194" i="1"/>
  <c r="L193" i="1"/>
  <c r="K193" i="1"/>
  <c r="J193" i="1"/>
  <c r="H193" i="1"/>
  <c r="G193" i="1"/>
  <c r="I193" i="1" s="1"/>
  <c r="E193" i="1"/>
  <c r="F193" i="1" s="1"/>
  <c r="C193" i="1"/>
  <c r="B193" i="1"/>
  <c r="K192" i="1"/>
  <c r="J192" i="1"/>
  <c r="H192" i="1"/>
  <c r="G192" i="1"/>
  <c r="I192" i="1" s="1"/>
  <c r="F192" i="1"/>
  <c r="E192" i="1"/>
  <c r="C192" i="1"/>
  <c r="B192" i="1"/>
  <c r="K191" i="1"/>
  <c r="L191" i="1" s="1"/>
  <c r="J191" i="1"/>
  <c r="I191" i="1"/>
  <c r="H191" i="1"/>
  <c r="G191" i="1"/>
  <c r="E191" i="1"/>
  <c r="F191" i="1" s="1"/>
  <c r="C191" i="1"/>
  <c r="B191" i="1"/>
  <c r="K190" i="1"/>
  <c r="J190" i="1"/>
  <c r="L190" i="1" s="1"/>
  <c r="H190" i="1"/>
  <c r="G190" i="1"/>
  <c r="I190" i="1" s="1"/>
  <c r="E190" i="1"/>
  <c r="F190" i="1" s="1"/>
  <c r="C190" i="1"/>
  <c r="B190" i="1"/>
  <c r="L189" i="1"/>
  <c r="K189" i="1"/>
  <c r="J189" i="1"/>
  <c r="H189" i="1"/>
  <c r="G189" i="1"/>
  <c r="I189" i="1" s="1"/>
  <c r="E189" i="1"/>
  <c r="F189" i="1" s="1"/>
  <c r="C189" i="1"/>
  <c r="B189" i="1"/>
  <c r="K188" i="1"/>
  <c r="J188" i="1"/>
  <c r="L188" i="1" s="1"/>
  <c r="H188" i="1"/>
  <c r="G188" i="1"/>
  <c r="I188" i="1" s="1"/>
  <c r="F188" i="1"/>
  <c r="E188" i="1"/>
  <c r="C188" i="1"/>
  <c r="B188" i="1"/>
  <c r="K187" i="1"/>
  <c r="L187" i="1" s="1"/>
  <c r="J187" i="1"/>
  <c r="I187" i="1"/>
  <c r="H187" i="1"/>
  <c r="G187" i="1"/>
  <c r="E187" i="1"/>
  <c r="F187" i="1" s="1"/>
  <c r="C187" i="1"/>
  <c r="B187" i="1"/>
  <c r="K186" i="1"/>
  <c r="J186" i="1"/>
  <c r="L186" i="1" s="1"/>
  <c r="H186" i="1"/>
  <c r="G186" i="1"/>
  <c r="I186" i="1" s="1"/>
  <c r="F186" i="1"/>
  <c r="E186" i="1"/>
  <c r="C186" i="1"/>
  <c r="B186" i="1"/>
  <c r="L185" i="1"/>
  <c r="K185" i="1"/>
  <c r="J185" i="1"/>
  <c r="H185" i="1"/>
  <c r="G185" i="1"/>
  <c r="I185" i="1" s="1"/>
  <c r="E185" i="1"/>
  <c r="F185" i="1" s="1"/>
  <c r="C185" i="1"/>
  <c r="B185" i="1"/>
  <c r="K184" i="1"/>
  <c r="J184" i="1"/>
  <c r="L184" i="1" s="1"/>
  <c r="H184" i="1"/>
  <c r="G184" i="1"/>
  <c r="I184" i="1" s="1"/>
  <c r="F184" i="1"/>
  <c r="E184" i="1"/>
  <c r="C184" i="1"/>
  <c r="B184" i="1"/>
  <c r="L183" i="1"/>
  <c r="K183" i="1"/>
  <c r="J183" i="1"/>
  <c r="I183" i="1"/>
  <c r="H183" i="1"/>
  <c r="G183" i="1"/>
  <c r="E183" i="1"/>
  <c r="F183" i="1" s="1"/>
  <c r="C183" i="1"/>
  <c r="B183" i="1"/>
  <c r="K182" i="1"/>
  <c r="J182" i="1"/>
  <c r="L182" i="1" s="1"/>
  <c r="H182" i="1"/>
  <c r="G182" i="1"/>
  <c r="I182" i="1" s="1"/>
  <c r="E182" i="1"/>
  <c r="F182" i="1" s="1"/>
  <c r="C182" i="1"/>
  <c r="B182" i="1"/>
  <c r="K181" i="1"/>
  <c r="J181" i="1"/>
  <c r="L181" i="1" s="1"/>
  <c r="H181" i="1"/>
  <c r="G181" i="1"/>
  <c r="I181" i="1" s="1"/>
  <c r="E181" i="1"/>
  <c r="F181" i="1" s="1"/>
  <c r="C181" i="1"/>
  <c r="B181" i="1"/>
  <c r="K180" i="1"/>
  <c r="J180" i="1"/>
  <c r="L180" i="1" s="1"/>
  <c r="H180" i="1"/>
  <c r="G180" i="1"/>
  <c r="I180" i="1" s="1"/>
  <c r="F180" i="1"/>
  <c r="E180" i="1"/>
  <c r="C180" i="1"/>
  <c r="B180" i="1"/>
  <c r="L179" i="1"/>
  <c r="K179" i="1"/>
  <c r="J179" i="1"/>
  <c r="I179" i="1"/>
  <c r="H179" i="1"/>
  <c r="G179" i="1"/>
  <c r="E179" i="1"/>
  <c r="F179" i="1" s="1"/>
  <c r="C179" i="1"/>
  <c r="B179" i="1"/>
  <c r="K178" i="1"/>
  <c r="J178" i="1"/>
  <c r="L178" i="1" s="1"/>
  <c r="H178" i="1"/>
  <c r="G178" i="1"/>
  <c r="I178" i="1" s="1"/>
  <c r="F178" i="1"/>
  <c r="E178" i="1"/>
  <c r="C178" i="1"/>
  <c r="B178" i="1"/>
  <c r="L177" i="1"/>
  <c r="K177" i="1"/>
  <c r="J177" i="1"/>
  <c r="I177" i="1"/>
  <c r="H177" i="1"/>
  <c r="G177" i="1"/>
  <c r="E177" i="1"/>
  <c r="F177" i="1" s="1"/>
  <c r="C177" i="1"/>
  <c r="B177" i="1"/>
  <c r="K176" i="1"/>
  <c r="J176" i="1"/>
  <c r="L176" i="1" s="1"/>
  <c r="H176" i="1"/>
  <c r="G176" i="1"/>
  <c r="I176" i="1" s="1"/>
  <c r="F176" i="1"/>
  <c r="E176" i="1"/>
  <c r="C176" i="1"/>
  <c r="B176" i="1"/>
  <c r="L175" i="1"/>
  <c r="K175" i="1"/>
  <c r="J175" i="1"/>
  <c r="H175" i="1"/>
  <c r="I175" i="1" s="1"/>
  <c r="G175" i="1"/>
  <c r="E175" i="1"/>
  <c r="F175" i="1" s="1"/>
  <c r="C175" i="1"/>
  <c r="B175" i="1"/>
  <c r="K174" i="1"/>
  <c r="J174" i="1"/>
  <c r="L174" i="1" s="1"/>
  <c r="H174" i="1"/>
  <c r="G174" i="1"/>
  <c r="I174" i="1" s="1"/>
  <c r="F174" i="1"/>
  <c r="E174" i="1"/>
  <c r="C174" i="1"/>
  <c r="B174" i="1"/>
  <c r="L173" i="1"/>
  <c r="K173" i="1"/>
  <c r="J173" i="1"/>
  <c r="I173" i="1"/>
  <c r="H173" i="1"/>
  <c r="G173" i="1"/>
  <c r="E173" i="1"/>
  <c r="F173" i="1" s="1"/>
  <c r="C173" i="1"/>
  <c r="B173" i="1"/>
  <c r="K172" i="1"/>
  <c r="J172" i="1"/>
  <c r="L172" i="1" s="1"/>
  <c r="H172" i="1"/>
  <c r="G172" i="1"/>
  <c r="I172" i="1" s="1"/>
  <c r="F172" i="1"/>
  <c r="E172" i="1"/>
  <c r="C172" i="1"/>
  <c r="B172" i="1"/>
  <c r="L171" i="1"/>
  <c r="K171" i="1"/>
  <c r="J171" i="1"/>
  <c r="H171" i="1"/>
  <c r="I171" i="1" s="1"/>
  <c r="G171" i="1"/>
  <c r="E171" i="1"/>
  <c r="F171" i="1" s="1"/>
  <c r="C171" i="1"/>
  <c r="B171" i="1"/>
  <c r="K170" i="1"/>
  <c r="J170" i="1"/>
  <c r="L170" i="1" s="1"/>
  <c r="H170" i="1"/>
  <c r="G170" i="1"/>
  <c r="I170" i="1" s="1"/>
  <c r="F170" i="1"/>
  <c r="E170" i="1"/>
  <c r="C170" i="1"/>
  <c r="B170" i="1"/>
  <c r="L169" i="1"/>
  <c r="K169" i="1"/>
  <c r="J169" i="1"/>
  <c r="H169" i="1"/>
  <c r="I169" i="1" s="1"/>
  <c r="G169" i="1"/>
  <c r="E169" i="1"/>
  <c r="F169" i="1" s="1"/>
  <c r="C169" i="1"/>
  <c r="B169" i="1"/>
  <c r="K168" i="1"/>
  <c r="J168" i="1"/>
  <c r="L168" i="1" s="1"/>
  <c r="H168" i="1"/>
  <c r="G168" i="1"/>
  <c r="I168" i="1" s="1"/>
  <c r="F168" i="1"/>
  <c r="E168" i="1"/>
  <c r="C168" i="1"/>
  <c r="B168" i="1"/>
  <c r="L167" i="1"/>
  <c r="K167" i="1"/>
  <c r="J167" i="1"/>
  <c r="H167" i="1"/>
  <c r="I167" i="1" s="1"/>
  <c r="G167" i="1"/>
  <c r="E167" i="1"/>
  <c r="F167" i="1" s="1"/>
  <c r="C167" i="1"/>
  <c r="B167" i="1"/>
  <c r="K166" i="1"/>
  <c r="J166" i="1"/>
  <c r="L166" i="1" s="1"/>
  <c r="H166" i="1"/>
  <c r="G166" i="1"/>
  <c r="I166" i="1" s="1"/>
  <c r="F166" i="1"/>
  <c r="E166" i="1"/>
  <c r="C166" i="1"/>
  <c r="B166" i="1"/>
  <c r="L165" i="1"/>
  <c r="K165" i="1"/>
  <c r="J165" i="1"/>
  <c r="H165" i="1"/>
  <c r="G165" i="1"/>
  <c r="I165" i="1" s="1"/>
  <c r="E165" i="1"/>
  <c r="F165" i="1" s="1"/>
  <c r="C165" i="1"/>
  <c r="B165" i="1"/>
  <c r="K164" i="1"/>
  <c r="J164" i="1"/>
  <c r="L164" i="1" s="1"/>
  <c r="H164" i="1"/>
  <c r="G164" i="1"/>
  <c r="I164" i="1" s="1"/>
  <c r="F164" i="1"/>
  <c r="E164" i="1"/>
  <c r="C164" i="1"/>
  <c r="B164" i="1"/>
  <c r="K163" i="1"/>
  <c r="L163" i="1" s="1"/>
  <c r="J163" i="1"/>
  <c r="H163" i="1"/>
  <c r="I163" i="1" s="1"/>
  <c r="G163" i="1"/>
  <c r="F163" i="1"/>
  <c r="E163" i="1"/>
  <c r="C163" i="1"/>
  <c r="B163" i="1"/>
  <c r="K162" i="1"/>
  <c r="J162" i="1"/>
  <c r="L162" i="1" s="1"/>
  <c r="H162" i="1"/>
  <c r="G162" i="1"/>
  <c r="I162" i="1" s="1"/>
  <c r="E162" i="1"/>
  <c r="F162" i="1" s="1"/>
  <c r="C162" i="1"/>
  <c r="B162" i="1"/>
  <c r="L161" i="1"/>
  <c r="K161" i="1"/>
  <c r="J161" i="1"/>
  <c r="H161" i="1"/>
  <c r="G161" i="1"/>
  <c r="I161" i="1" s="1"/>
  <c r="E161" i="1"/>
  <c r="F161" i="1" s="1"/>
  <c r="C161" i="1"/>
  <c r="B161" i="1"/>
  <c r="K160" i="1"/>
  <c r="J160" i="1"/>
  <c r="L160" i="1" s="1"/>
  <c r="H160" i="1"/>
  <c r="G160" i="1"/>
  <c r="I160" i="1" s="1"/>
  <c r="F160" i="1"/>
  <c r="E160" i="1"/>
  <c r="C160" i="1"/>
  <c r="B160" i="1"/>
  <c r="K159" i="1"/>
  <c r="L159" i="1" s="1"/>
  <c r="J159" i="1"/>
  <c r="H159" i="1"/>
  <c r="I159" i="1" s="1"/>
  <c r="G159" i="1"/>
  <c r="F159" i="1"/>
  <c r="E159" i="1"/>
  <c r="C159" i="1"/>
  <c r="B159" i="1"/>
  <c r="K158" i="1"/>
  <c r="J158" i="1"/>
  <c r="L158" i="1" s="1"/>
  <c r="H158" i="1"/>
  <c r="I158" i="1" s="1"/>
  <c r="G158" i="1"/>
  <c r="E158" i="1"/>
  <c r="F158" i="1" s="1"/>
  <c r="C158" i="1"/>
  <c r="B158" i="1"/>
  <c r="L157" i="1"/>
  <c r="K157" i="1"/>
  <c r="J157" i="1"/>
  <c r="H157" i="1"/>
  <c r="G157" i="1"/>
  <c r="I157" i="1" s="1"/>
  <c r="E157" i="1"/>
  <c r="F157" i="1" s="1"/>
  <c r="C157" i="1"/>
  <c r="B157" i="1"/>
  <c r="K156" i="1"/>
  <c r="J156" i="1"/>
  <c r="L156" i="1" s="1"/>
  <c r="I156" i="1"/>
  <c r="H156" i="1"/>
  <c r="G156" i="1"/>
  <c r="F156" i="1"/>
  <c r="E156" i="1"/>
  <c r="C156" i="1"/>
  <c r="B156" i="1"/>
  <c r="K155" i="1"/>
  <c r="L155" i="1" s="1"/>
  <c r="J155" i="1"/>
  <c r="H155" i="1"/>
  <c r="I155" i="1" s="1"/>
  <c r="G155" i="1"/>
  <c r="F155" i="1"/>
  <c r="E155" i="1"/>
  <c r="C155" i="1"/>
  <c r="B155" i="1"/>
  <c r="K154" i="1"/>
  <c r="J154" i="1"/>
  <c r="L154" i="1" s="1"/>
  <c r="H154" i="1"/>
  <c r="I154" i="1" s="1"/>
  <c r="G154" i="1"/>
  <c r="E154" i="1"/>
  <c r="F154" i="1" s="1"/>
  <c r="C154" i="1"/>
  <c r="B154" i="1"/>
  <c r="L153" i="1"/>
  <c r="K153" i="1"/>
  <c r="J153" i="1"/>
  <c r="H153" i="1"/>
  <c r="G153" i="1"/>
  <c r="I153" i="1" s="1"/>
  <c r="E153" i="1"/>
  <c r="F153" i="1" s="1"/>
  <c r="C153" i="1"/>
  <c r="B153" i="1"/>
  <c r="K152" i="1"/>
  <c r="J152" i="1"/>
  <c r="L152" i="1" s="1"/>
  <c r="H152" i="1"/>
  <c r="G152" i="1"/>
  <c r="I152" i="1" s="1"/>
  <c r="F152" i="1"/>
  <c r="E152" i="1"/>
  <c r="C152" i="1"/>
  <c r="B152" i="1"/>
  <c r="K151" i="1"/>
  <c r="L151" i="1" s="1"/>
  <c r="J151" i="1"/>
  <c r="H151" i="1"/>
  <c r="I151" i="1" s="1"/>
  <c r="G151" i="1"/>
  <c r="F151" i="1"/>
  <c r="E151" i="1"/>
  <c r="C151" i="1"/>
  <c r="B151" i="1"/>
  <c r="K150" i="1"/>
  <c r="J150" i="1"/>
  <c r="L150" i="1" s="1"/>
  <c r="H150" i="1"/>
  <c r="I150" i="1" s="1"/>
  <c r="G150" i="1"/>
  <c r="E150" i="1"/>
  <c r="F150" i="1" s="1"/>
  <c r="C150" i="1"/>
  <c r="B150" i="1"/>
  <c r="L149" i="1"/>
  <c r="K149" i="1"/>
  <c r="J149" i="1"/>
  <c r="H149" i="1"/>
  <c r="G149" i="1"/>
  <c r="I149" i="1" s="1"/>
  <c r="E149" i="1"/>
  <c r="F149" i="1" s="1"/>
  <c r="C149" i="1"/>
  <c r="B149" i="1"/>
  <c r="K148" i="1"/>
  <c r="J148" i="1"/>
  <c r="L148" i="1" s="1"/>
  <c r="H148" i="1"/>
  <c r="G148" i="1"/>
  <c r="I148" i="1" s="1"/>
  <c r="F148" i="1"/>
  <c r="E148" i="1"/>
  <c r="C148" i="1"/>
  <c r="B148" i="1"/>
  <c r="K147" i="1"/>
  <c r="L147" i="1" s="1"/>
  <c r="J147" i="1"/>
  <c r="H147" i="1"/>
  <c r="I147" i="1" s="1"/>
  <c r="G147" i="1"/>
  <c r="F147" i="1"/>
  <c r="E147" i="1"/>
  <c r="C147" i="1"/>
  <c r="B147" i="1"/>
  <c r="K146" i="1"/>
  <c r="J146" i="1"/>
  <c r="L146" i="1" s="1"/>
  <c r="H146" i="1"/>
  <c r="I146" i="1" s="1"/>
  <c r="G146" i="1"/>
  <c r="E146" i="1"/>
  <c r="F146" i="1" s="1"/>
  <c r="C146" i="1"/>
  <c r="B146" i="1"/>
  <c r="L145" i="1"/>
  <c r="K145" i="1"/>
  <c r="J145" i="1"/>
  <c r="H145" i="1"/>
  <c r="G145" i="1"/>
  <c r="I145" i="1" s="1"/>
  <c r="E145" i="1"/>
  <c r="F145" i="1" s="1"/>
  <c r="C145" i="1"/>
  <c r="B145" i="1"/>
  <c r="K144" i="1"/>
  <c r="J144" i="1"/>
  <c r="L144" i="1" s="1"/>
  <c r="H144" i="1"/>
  <c r="G144" i="1"/>
  <c r="I144" i="1" s="1"/>
  <c r="F144" i="1"/>
  <c r="E144" i="1"/>
  <c r="C144" i="1"/>
  <c r="B144" i="1"/>
  <c r="K143" i="1"/>
  <c r="L143" i="1" s="1"/>
  <c r="J143" i="1"/>
  <c r="H143" i="1"/>
  <c r="I143" i="1" s="1"/>
  <c r="G143" i="1"/>
  <c r="F143" i="1"/>
  <c r="E143" i="1"/>
  <c r="C143" i="1"/>
  <c r="B143" i="1"/>
  <c r="K142" i="1"/>
  <c r="J142" i="1"/>
  <c r="L142" i="1" s="1"/>
  <c r="I142" i="1"/>
  <c r="H142" i="1"/>
  <c r="G142" i="1"/>
  <c r="E142" i="1"/>
  <c r="F142" i="1" s="1"/>
  <c r="C142" i="1"/>
  <c r="B142" i="1"/>
  <c r="L141" i="1"/>
  <c r="K141" i="1"/>
  <c r="J141" i="1"/>
  <c r="H141" i="1"/>
  <c r="G141" i="1"/>
  <c r="I141" i="1" s="1"/>
  <c r="E141" i="1"/>
  <c r="F141" i="1" s="1"/>
  <c r="C141" i="1"/>
  <c r="B141" i="1"/>
  <c r="K140" i="1"/>
  <c r="J140" i="1"/>
  <c r="L140" i="1" s="1"/>
  <c r="H140" i="1"/>
  <c r="G140" i="1"/>
  <c r="I140" i="1" s="1"/>
  <c r="F140" i="1"/>
  <c r="E140" i="1"/>
  <c r="C140" i="1"/>
  <c r="B140" i="1"/>
  <c r="K139" i="1"/>
  <c r="L139" i="1" s="1"/>
  <c r="J139" i="1"/>
  <c r="H139" i="1"/>
  <c r="I139" i="1" s="1"/>
  <c r="G139" i="1"/>
  <c r="F139" i="1"/>
  <c r="E139" i="1"/>
  <c r="C139" i="1"/>
  <c r="B139" i="1"/>
  <c r="K138" i="1"/>
  <c r="J138" i="1"/>
  <c r="L138" i="1" s="1"/>
  <c r="H138" i="1"/>
  <c r="I138" i="1" s="1"/>
  <c r="G138" i="1"/>
  <c r="E138" i="1"/>
  <c r="F138" i="1" s="1"/>
  <c r="C138" i="1"/>
  <c r="B138" i="1"/>
  <c r="L137" i="1"/>
  <c r="K137" i="1"/>
  <c r="J137" i="1"/>
  <c r="H137" i="1"/>
  <c r="G137" i="1"/>
  <c r="I137" i="1" s="1"/>
  <c r="E137" i="1"/>
  <c r="F137" i="1" s="1"/>
  <c r="C137" i="1"/>
  <c r="B137" i="1"/>
  <c r="K136" i="1"/>
  <c r="J136" i="1"/>
  <c r="L136" i="1" s="1"/>
  <c r="H136" i="1"/>
  <c r="G136" i="1"/>
  <c r="I136" i="1" s="1"/>
  <c r="F136" i="1"/>
  <c r="E136" i="1"/>
  <c r="C136" i="1"/>
  <c r="B136" i="1"/>
  <c r="K135" i="1"/>
  <c r="L135" i="1" s="1"/>
  <c r="J135" i="1"/>
  <c r="H135" i="1"/>
  <c r="I135" i="1" s="1"/>
  <c r="G135" i="1"/>
  <c r="F135" i="1"/>
  <c r="E135" i="1"/>
  <c r="C135" i="1"/>
  <c r="B135" i="1"/>
  <c r="K134" i="1"/>
  <c r="J134" i="1"/>
  <c r="L134" i="1" s="1"/>
  <c r="H134" i="1"/>
  <c r="G134" i="1"/>
  <c r="I134" i="1" s="1"/>
  <c r="E134" i="1"/>
  <c r="F134" i="1" s="1"/>
  <c r="C134" i="1"/>
  <c r="B134" i="1"/>
  <c r="L133" i="1"/>
  <c r="K133" i="1"/>
  <c r="J133" i="1"/>
  <c r="H133" i="1"/>
  <c r="G133" i="1"/>
  <c r="I133" i="1" s="1"/>
  <c r="E133" i="1"/>
  <c r="F133" i="1" s="1"/>
  <c r="C133" i="1"/>
  <c r="B133" i="1"/>
  <c r="K132" i="1"/>
  <c r="J132" i="1"/>
  <c r="L132" i="1" s="1"/>
  <c r="H132" i="1"/>
  <c r="G132" i="1"/>
  <c r="I132" i="1" s="1"/>
  <c r="F132" i="1"/>
  <c r="E132" i="1"/>
  <c r="C132" i="1"/>
  <c r="B132" i="1"/>
  <c r="K131" i="1"/>
  <c r="L131" i="1" s="1"/>
  <c r="J131" i="1"/>
  <c r="H131" i="1"/>
  <c r="I131" i="1" s="1"/>
  <c r="G131" i="1"/>
  <c r="F131" i="1"/>
  <c r="E131" i="1"/>
  <c r="C131" i="1"/>
  <c r="B131" i="1"/>
  <c r="K130" i="1"/>
  <c r="J130" i="1"/>
  <c r="L130" i="1" s="1"/>
  <c r="I130" i="1"/>
  <c r="H130" i="1"/>
  <c r="G130" i="1"/>
  <c r="E130" i="1"/>
  <c r="F130" i="1" s="1"/>
  <c r="C130" i="1"/>
  <c r="B130" i="1"/>
  <c r="L129" i="1"/>
  <c r="K129" i="1"/>
  <c r="J129" i="1"/>
  <c r="H129" i="1"/>
  <c r="G129" i="1"/>
  <c r="I129" i="1" s="1"/>
  <c r="E129" i="1"/>
  <c r="F129" i="1" s="1"/>
  <c r="C129" i="1"/>
  <c r="B129" i="1"/>
  <c r="K128" i="1"/>
  <c r="J128" i="1"/>
  <c r="L128" i="1" s="1"/>
  <c r="H128" i="1"/>
  <c r="G128" i="1"/>
  <c r="I128" i="1" s="1"/>
  <c r="F128" i="1"/>
  <c r="E128" i="1"/>
  <c r="C128" i="1"/>
  <c r="B128" i="1"/>
  <c r="L127" i="1"/>
  <c r="K127" i="1"/>
  <c r="J127" i="1"/>
  <c r="H127" i="1"/>
  <c r="I127" i="1" s="1"/>
  <c r="G127" i="1"/>
  <c r="E127" i="1"/>
  <c r="F127" i="1" s="1"/>
  <c r="C127" i="1"/>
  <c r="B127" i="1"/>
  <c r="K126" i="1"/>
  <c r="J126" i="1"/>
  <c r="L126" i="1" s="1"/>
  <c r="H126" i="1"/>
  <c r="G126" i="1"/>
  <c r="I126" i="1" s="1"/>
  <c r="F126" i="1"/>
  <c r="E126" i="1"/>
  <c r="C126" i="1"/>
  <c r="B126" i="1"/>
  <c r="L125" i="1"/>
  <c r="K125" i="1"/>
  <c r="J125" i="1"/>
  <c r="H125" i="1"/>
  <c r="G125" i="1"/>
  <c r="I125" i="1" s="1"/>
  <c r="E125" i="1"/>
  <c r="F125" i="1" s="1"/>
  <c r="C125" i="1"/>
  <c r="B125" i="1"/>
  <c r="K124" i="1"/>
  <c r="J124" i="1"/>
  <c r="L124" i="1" s="1"/>
  <c r="H124" i="1"/>
  <c r="G124" i="1"/>
  <c r="I124" i="1" s="1"/>
  <c r="F124" i="1"/>
  <c r="E124" i="1"/>
  <c r="C124" i="1"/>
  <c r="B124" i="1"/>
  <c r="L123" i="1"/>
  <c r="K123" i="1"/>
  <c r="J123" i="1"/>
  <c r="H123" i="1"/>
  <c r="I123" i="1" s="1"/>
  <c r="G123" i="1"/>
  <c r="E123" i="1"/>
  <c r="F123" i="1" s="1"/>
  <c r="C123" i="1"/>
  <c r="B123" i="1"/>
  <c r="K122" i="1"/>
  <c r="J122" i="1"/>
  <c r="L122" i="1" s="1"/>
  <c r="H122" i="1"/>
  <c r="G122" i="1"/>
  <c r="I122" i="1" s="1"/>
  <c r="F122" i="1"/>
  <c r="E122" i="1"/>
  <c r="C122" i="1"/>
  <c r="B122" i="1"/>
  <c r="L121" i="1"/>
  <c r="K121" i="1"/>
  <c r="J121" i="1"/>
  <c r="I121" i="1"/>
  <c r="H121" i="1"/>
  <c r="G121" i="1"/>
  <c r="E121" i="1"/>
  <c r="F121" i="1" s="1"/>
  <c r="C121" i="1"/>
  <c r="B121" i="1"/>
  <c r="K120" i="1"/>
  <c r="J120" i="1"/>
  <c r="L120" i="1" s="1"/>
  <c r="H120" i="1"/>
  <c r="G120" i="1"/>
  <c r="I120" i="1" s="1"/>
  <c r="F120" i="1"/>
  <c r="E120" i="1"/>
  <c r="C120" i="1"/>
  <c r="B120" i="1"/>
  <c r="L119" i="1"/>
  <c r="K119" i="1"/>
  <c r="J119" i="1"/>
  <c r="H119" i="1"/>
  <c r="I119" i="1" s="1"/>
  <c r="G119" i="1"/>
  <c r="E119" i="1"/>
  <c r="F119" i="1" s="1"/>
  <c r="C119" i="1"/>
  <c r="B119" i="1"/>
  <c r="K118" i="1"/>
  <c r="J118" i="1"/>
  <c r="L118" i="1" s="1"/>
  <c r="H118" i="1"/>
  <c r="G118" i="1"/>
  <c r="I118" i="1" s="1"/>
  <c r="F118" i="1"/>
  <c r="E118" i="1"/>
  <c r="C118" i="1"/>
  <c r="B118" i="1"/>
  <c r="L117" i="1"/>
  <c r="K117" i="1"/>
  <c r="J117" i="1"/>
  <c r="I117" i="1"/>
  <c r="H117" i="1"/>
  <c r="G117" i="1"/>
  <c r="E117" i="1"/>
  <c r="F117" i="1" s="1"/>
  <c r="C117" i="1"/>
  <c r="B117" i="1"/>
  <c r="K116" i="1"/>
  <c r="J116" i="1"/>
  <c r="L116" i="1" s="1"/>
  <c r="H116" i="1"/>
  <c r="G116" i="1"/>
  <c r="I116" i="1" s="1"/>
  <c r="F116" i="1"/>
  <c r="E116" i="1"/>
  <c r="C116" i="1"/>
  <c r="B116" i="1"/>
  <c r="L115" i="1"/>
  <c r="K115" i="1"/>
  <c r="J115" i="1"/>
  <c r="H115" i="1"/>
  <c r="I115" i="1" s="1"/>
  <c r="G115" i="1"/>
  <c r="E115" i="1"/>
  <c r="F115" i="1" s="1"/>
  <c r="C115" i="1"/>
  <c r="B115" i="1"/>
  <c r="K114" i="1"/>
  <c r="J114" i="1"/>
  <c r="L114" i="1" s="1"/>
  <c r="H114" i="1"/>
  <c r="G114" i="1"/>
  <c r="I114" i="1" s="1"/>
  <c r="F114" i="1"/>
  <c r="E114" i="1"/>
  <c r="C114" i="1"/>
  <c r="B114" i="1"/>
  <c r="L113" i="1"/>
  <c r="K113" i="1"/>
  <c r="J113" i="1"/>
  <c r="H113" i="1"/>
  <c r="G113" i="1"/>
  <c r="I113" i="1" s="1"/>
  <c r="E113" i="1"/>
  <c r="F113" i="1" s="1"/>
  <c r="C113" i="1"/>
  <c r="B113" i="1"/>
  <c r="K112" i="1"/>
  <c r="J112" i="1"/>
  <c r="L112" i="1" s="1"/>
  <c r="H112" i="1"/>
  <c r="G112" i="1"/>
  <c r="I112" i="1" s="1"/>
  <c r="F112" i="1"/>
  <c r="E112" i="1"/>
  <c r="C112" i="1"/>
  <c r="B112" i="1"/>
  <c r="K111" i="1"/>
  <c r="L111" i="1" s="1"/>
  <c r="J111" i="1"/>
  <c r="H111" i="1"/>
  <c r="I111" i="1" s="1"/>
  <c r="G111" i="1"/>
  <c r="E111" i="1"/>
  <c r="F111" i="1" s="1"/>
  <c r="C111" i="1"/>
  <c r="B111" i="1"/>
  <c r="K110" i="1"/>
  <c r="J110" i="1"/>
  <c r="L110" i="1" s="1"/>
  <c r="H110" i="1"/>
  <c r="G110" i="1"/>
  <c r="I110" i="1" s="1"/>
  <c r="E110" i="1"/>
  <c r="F110" i="1" s="1"/>
  <c r="C110" i="1"/>
  <c r="B110" i="1"/>
  <c r="L109" i="1"/>
  <c r="K109" i="1"/>
  <c r="J109" i="1"/>
  <c r="H109" i="1"/>
  <c r="G109" i="1"/>
  <c r="I109" i="1" s="1"/>
  <c r="E109" i="1"/>
  <c r="F109" i="1" s="1"/>
  <c r="C109" i="1"/>
  <c r="B109" i="1"/>
  <c r="K108" i="1"/>
  <c r="J108" i="1"/>
  <c r="L108" i="1" s="1"/>
  <c r="H108" i="1"/>
  <c r="G108" i="1"/>
  <c r="I108" i="1" s="1"/>
  <c r="F108" i="1"/>
  <c r="E108" i="1"/>
  <c r="C108" i="1"/>
  <c r="B108" i="1"/>
  <c r="L107" i="1"/>
  <c r="K107" i="1"/>
  <c r="J107" i="1"/>
  <c r="H107" i="1"/>
  <c r="I107" i="1" s="1"/>
  <c r="G107" i="1"/>
  <c r="E107" i="1"/>
  <c r="F107" i="1" s="1"/>
  <c r="C107" i="1"/>
  <c r="B107" i="1"/>
  <c r="K106" i="1"/>
  <c r="J106" i="1"/>
  <c r="L106" i="1" s="1"/>
  <c r="H106" i="1"/>
  <c r="G106" i="1"/>
  <c r="I106" i="1" s="1"/>
  <c r="F106" i="1"/>
  <c r="E106" i="1"/>
  <c r="C106" i="1"/>
  <c r="B106" i="1"/>
  <c r="L105" i="1"/>
  <c r="K105" i="1"/>
  <c r="J105" i="1"/>
  <c r="I105" i="1"/>
  <c r="H105" i="1"/>
  <c r="G105" i="1"/>
  <c r="E105" i="1"/>
  <c r="F105" i="1" s="1"/>
  <c r="C105" i="1"/>
  <c r="B105" i="1"/>
  <c r="K104" i="1"/>
  <c r="J104" i="1"/>
  <c r="L104" i="1" s="1"/>
  <c r="H104" i="1"/>
  <c r="G104" i="1"/>
  <c r="I104" i="1" s="1"/>
  <c r="F104" i="1"/>
  <c r="E104" i="1"/>
  <c r="C104" i="1"/>
  <c r="B104" i="1"/>
  <c r="L103" i="1"/>
  <c r="K103" i="1"/>
  <c r="J103" i="1"/>
  <c r="H103" i="1"/>
  <c r="I103" i="1" s="1"/>
  <c r="G103" i="1"/>
  <c r="E103" i="1"/>
  <c r="F103" i="1" s="1"/>
  <c r="C103" i="1"/>
  <c r="B103" i="1"/>
  <c r="K102" i="1"/>
  <c r="J102" i="1"/>
  <c r="L102" i="1" s="1"/>
  <c r="H102" i="1"/>
  <c r="G102" i="1"/>
  <c r="I102" i="1" s="1"/>
  <c r="F102" i="1"/>
  <c r="E102" i="1"/>
  <c r="C102" i="1"/>
  <c r="B102" i="1"/>
  <c r="L101" i="1"/>
  <c r="K101" i="1"/>
  <c r="J101" i="1"/>
  <c r="I101" i="1"/>
  <c r="H101" i="1"/>
  <c r="G101" i="1"/>
  <c r="E101" i="1"/>
  <c r="F101" i="1" s="1"/>
  <c r="C101" i="1"/>
  <c r="B101" i="1"/>
  <c r="K100" i="1"/>
  <c r="J100" i="1"/>
  <c r="L100" i="1" s="1"/>
  <c r="H100" i="1"/>
  <c r="G100" i="1"/>
  <c r="I100" i="1" s="1"/>
  <c r="F100" i="1"/>
  <c r="E100" i="1"/>
  <c r="C100" i="1"/>
  <c r="B100" i="1"/>
  <c r="L99" i="1"/>
  <c r="K99" i="1"/>
  <c r="J99" i="1"/>
  <c r="H99" i="1"/>
  <c r="I99" i="1" s="1"/>
  <c r="G99" i="1"/>
  <c r="E99" i="1"/>
  <c r="F99" i="1" s="1"/>
  <c r="C99" i="1"/>
  <c r="B99" i="1"/>
  <c r="K98" i="1"/>
  <c r="J98" i="1"/>
  <c r="L98" i="1" s="1"/>
  <c r="H98" i="1"/>
  <c r="G98" i="1"/>
  <c r="I98" i="1" s="1"/>
  <c r="F98" i="1"/>
  <c r="E98" i="1"/>
  <c r="C98" i="1"/>
  <c r="B98" i="1"/>
  <c r="L97" i="1"/>
  <c r="K97" i="1"/>
  <c r="J97" i="1"/>
  <c r="I97" i="1"/>
  <c r="H97" i="1"/>
  <c r="G97" i="1"/>
  <c r="E97" i="1"/>
  <c r="F97" i="1" s="1"/>
  <c r="C97" i="1"/>
  <c r="B97" i="1"/>
  <c r="K96" i="1"/>
  <c r="J96" i="1"/>
  <c r="L96" i="1" s="1"/>
  <c r="H96" i="1"/>
  <c r="G96" i="1"/>
  <c r="I96" i="1" s="1"/>
  <c r="F96" i="1"/>
  <c r="E96" i="1"/>
  <c r="C96" i="1"/>
  <c r="B96" i="1"/>
  <c r="L95" i="1"/>
  <c r="K95" i="1"/>
  <c r="J95" i="1"/>
  <c r="H95" i="1"/>
  <c r="I95" i="1" s="1"/>
  <c r="G95" i="1"/>
  <c r="E95" i="1"/>
  <c r="F95" i="1" s="1"/>
  <c r="C95" i="1"/>
  <c r="B95" i="1"/>
  <c r="K94" i="1"/>
  <c r="J94" i="1"/>
  <c r="L94" i="1" s="1"/>
  <c r="H94" i="1"/>
  <c r="G94" i="1"/>
  <c r="I94" i="1" s="1"/>
  <c r="F94" i="1"/>
  <c r="E94" i="1"/>
  <c r="C94" i="1"/>
  <c r="B94" i="1"/>
  <c r="L93" i="1"/>
  <c r="K93" i="1"/>
  <c r="J93" i="1"/>
  <c r="I93" i="1"/>
  <c r="H93" i="1"/>
  <c r="G93" i="1"/>
  <c r="E93" i="1"/>
  <c r="F93" i="1" s="1"/>
  <c r="C93" i="1"/>
  <c r="B93" i="1"/>
  <c r="K92" i="1"/>
  <c r="J92" i="1"/>
  <c r="L92" i="1" s="1"/>
  <c r="H92" i="1"/>
  <c r="G92" i="1"/>
  <c r="I92" i="1" s="1"/>
  <c r="F92" i="1"/>
  <c r="E92" i="1"/>
  <c r="C92" i="1"/>
  <c r="B92" i="1"/>
  <c r="L91" i="1"/>
  <c r="K91" i="1"/>
  <c r="J91" i="1"/>
  <c r="H91" i="1"/>
  <c r="I91" i="1" s="1"/>
  <c r="G91" i="1"/>
  <c r="E91" i="1"/>
  <c r="F91" i="1" s="1"/>
  <c r="C91" i="1"/>
  <c r="B91" i="1"/>
  <c r="K90" i="1"/>
  <c r="J90" i="1"/>
  <c r="L90" i="1" s="1"/>
  <c r="H90" i="1"/>
  <c r="G90" i="1"/>
  <c r="I90" i="1" s="1"/>
  <c r="F90" i="1"/>
  <c r="E90" i="1"/>
  <c r="C90" i="1"/>
  <c r="B90" i="1"/>
  <c r="L89" i="1"/>
  <c r="K89" i="1"/>
  <c r="J89" i="1"/>
  <c r="I89" i="1"/>
  <c r="H89" i="1"/>
  <c r="G89" i="1"/>
  <c r="E89" i="1"/>
  <c r="F89" i="1" s="1"/>
  <c r="C89" i="1"/>
  <c r="B89" i="1"/>
  <c r="K88" i="1"/>
  <c r="J88" i="1"/>
  <c r="L88" i="1" s="1"/>
  <c r="H88" i="1"/>
  <c r="G88" i="1"/>
  <c r="I88" i="1" s="1"/>
  <c r="F88" i="1"/>
  <c r="E88" i="1"/>
  <c r="C88" i="1"/>
  <c r="B88" i="1"/>
  <c r="L87" i="1"/>
  <c r="K87" i="1"/>
  <c r="J87" i="1"/>
  <c r="H87" i="1"/>
  <c r="I87" i="1" s="1"/>
  <c r="G87" i="1"/>
  <c r="E87" i="1"/>
  <c r="F87" i="1" s="1"/>
  <c r="C87" i="1"/>
  <c r="B87" i="1"/>
  <c r="K86" i="1"/>
  <c r="J86" i="1"/>
  <c r="L86" i="1" s="1"/>
  <c r="H86" i="1"/>
  <c r="G86" i="1"/>
  <c r="I86" i="1" s="1"/>
  <c r="F86" i="1"/>
  <c r="E86" i="1"/>
  <c r="C86" i="1"/>
  <c r="B86" i="1"/>
  <c r="L85" i="1"/>
  <c r="K85" i="1"/>
  <c r="J85" i="1"/>
  <c r="I85" i="1"/>
  <c r="H85" i="1"/>
  <c r="G85" i="1"/>
  <c r="E85" i="1"/>
  <c r="F85" i="1" s="1"/>
  <c r="C85" i="1"/>
  <c r="B85" i="1"/>
  <c r="K84" i="1"/>
  <c r="J84" i="1"/>
  <c r="L84" i="1" s="1"/>
  <c r="H84" i="1"/>
  <c r="G84" i="1"/>
  <c r="I84" i="1" s="1"/>
  <c r="F84" i="1"/>
  <c r="E84" i="1"/>
  <c r="C84" i="1"/>
  <c r="B84" i="1"/>
  <c r="L83" i="1"/>
  <c r="K83" i="1"/>
  <c r="J83" i="1"/>
  <c r="H83" i="1"/>
  <c r="I83" i="1" s="1"/>
  <c r="G83" i="1"/>
  <c r="E83" i="1"/>
  <c r="F83" i="1" s="1"/>
  <c r="C83" i="1"/>
  <c r="B83" i="1"/>
  <c r="K82" i="1"/>
  <c r="J82" i="1"/>
  <c r="L82" i="1" s="1"/>
  <c r="H82" i="1"/>
  <c r="G82" i="1"/>
  <c r="I82" i="1" s="1"/>
  <c r="F82" i="1"/>
  <c r="E82" i="1"/>
  <c r="C82" i="1"/>
  <c r="B82" i="1"/>
  <c r="L81" i="1"/>
  <c r="K81" i="1"/>
  <c r="J81" i="1"/>
  <c r="I81" i="1"/>
  <c r="H81" i="1"/>
  <c r="G81" i="1"/>
  <c r="E81" i="1"/>
  <c r="F81" i="1" s="1"/>
  <c r="C81" i="1"/>
  <c r="B81" i="1"/>
  <c r="K80" i="1"/>
  <c r="J80" i="1"/>
  <c r="L80" i="1" s="1"/>
  <c r="H80" i="1"/>
  <c r="G80" i="1"/>
  <c r="I80" i="1" s="1"/>
  <c r="F80" i="1"/>
  <c r="E80" i="1"/>
  <c r="C80" i="1"/>
  <c r="B80" i="1"/>
  <c r="L79" i="1"/>
  <c r="K79" i="1"/>
  <c r="J79" i="1"/>
  <c r="H79" i="1"/>
  <c r="I79" i="1" s="1"/>
  <c r="G79" i="1"/>
  <c r="E79" i="1"/>
  <c r="F79" i="1" s="1"/>
  <c r="C79" i="1"/>
  <c r="B79" i="1"/>
  <c r="K78" i="1"/>
  <c r="J78" i="1"/>
  <c r="L78" i="1" s="1"/>
  <c r="H78" i="1"/>
  <c r="G78" i="1"/>
  <c r="I78" i="1" s="1"/>
  <c r="F78" i="1"/>
  <c r="E78" i="1"/>
  <c r="C78" i="1"/>
  <c r="B78" i="1"/>
  <c r="L77" i="1"/>
  <c r="K77" i="1"/>
  <c r="J77" i="1"/>
  <c r="I77" i="1"/>
  <c r="H77" i="1"/>
  <c r="G77" i="1"/>
  <c r="E77" i="1"/>
  <c r="F77" i="1" s="1"/>
  <c r="C77" i="1"/>
  <c r="B77" i="1"/>
  <c r="K76" i="1"/>
  <c r="J76" i="1"/>
  <c r="L76" i="1" s="1"/>
  <c r="H76" i="1"/>
  <c r="G76" i="1"/>
  <c r="I76" i="1" s="1"/>
  <c r="F76" i="1"/>
  <c r="E76" i="1"/>
  <c r="C76" i="1"/>
  <c r="B76" i="1"/>
  <c r="L75" i="1"/>
  <c r="K75" i="1"/>
  <c r="J75" i="1"/>
  <c r="H75" i="1"/>
  <c r="I75" i="1" s="1"/>
  <c r="G75" i="1"/>
  <c r="E75" i="1"/>
  <c r="F75" i="1" s="1"/>
  <c r="C75" i="1"/>
  <c r="B75" i="1"/>
  <c r="K74" i="1"/>
  <c r="J74" i="1"/>
  <c r="L74" i="1" s="1"/>
  <c r="H74" i="1"/>
  <c r="G74" i="1"/>
  <c r="I74" i="1" s="1"/>
  <c r="F74" i="1"/>
  <c r="E74" i="1"/>
  <c r="C74" i="1"/>
  <c r="B74" i="1"/>
  <c r="L73" i="1"/>
  <c r="K73" i="1"/>
  <c r="J73" i="1"/>
  <c r="I73" i="1"/>
  <c r="H73" i="1"/>
  <c r="G73" i="1"/>
  <c r="E73" i="1"/>
  <c r="F73" i="1" s="1"/>
  <c r="C73" i="1"/>
  <c r="B73" i="1"/>
  <c r="K72" i="1"/>
  <c r="J72" i="1"/>
  <c r="L72" i="1" s="1"/>
  <c r="H72" i="1"/>
  <c r="G72" i="1"/>
  <c r="I72" i="1" s="1"/>
  <c r="F72" i="1"/>
  <c r="E72" i="1"/>
  <c r="C72" i="1"/>
  <c r="B72" i="1"/>
  <c r="L71" i="1"/>
  <c r="K71" i="1"/>
  <c r="J71" i="1"/>
  <c r="H71" i="1"/>
  <c r="I71" i="1" s="1"/>
  <c r="G71" i="1"/>
  <c r="E71" i="1"/>
  <c r="F71" i="1" s="1"/>
  <c r="C71" i="1"/>
  <c r="B71" i="1"/>
  <c r="K70" i="1"/>
  <c r="J70" i="1"/>
  <c r="L70" i="1" s="1"/>
  <c r="H70" i="1"/>
  <c r="G70" i="1"/>
  <c r="I70" i="1" s="1"/>
  <c r="F70" i="1"/>
  <c r="E70" i="1"/>
  <c r="C70" i="1"/>
  <c r="B70" i="1"/>
  <c r="L69" i="1"/>
  <c r="K69" i="1"/>
  <c r="J69" i="1"/>
  <c r="I69" i="1"/>
  <c r="H69" i="1"/>
  <c r="G69" i="1"/>
  <c r="E69" i="1"/>
  <c r="F69" i="1" s="1"/>
  <c r="C69" i="1"/>
  <c r="B69" i="1"/>
  <c r="K68" i="1"/>
  <c r="J68" i="1"/>
  <c r="L68" i="1" s="1"/>
  <c r="H68" i="1"/>
  <c r="G68" i="1"/>
  <c r="I68" i="1" s="1"/>
  <c r="F68" i="1"/>
  <c r="E68" i="1"/>
  <c r="C68" i="1"/>
  <c r="B68" i="1"/>
  <c r="L67" i="1"/>
  <c r="K67" i="1"/>
  <c r="J67" i="1"/>
  <c r="H67" i="1"/>
  <c r="I67" i="1" s="1"/>
  <c r="G67" i="1"/>
  <c r="E67" i="1"/>
  <c r="F67" i="1" s="1"/>
  <c r="C67" i="1"/>
  <c r="B67" i="1"/>
  <c r="K66" i="1"/>
  <c r="J66" i="1"/>
  <c r="L66" i="1" s="1"/>
  <c r="H66" i="1"/>
  <c r="G66" i="1"/>
  <c r="I66" i="1" s="1"/>
  <c r="F66" i="1"/>
  <c r="E66" i="1"/>
  <c r="C66" i="1"/>
  <c r="B66" i="1"/>
  <c r="L65" i="1"/>
  <c r="K65" i="1"/>
  <c r="J65" i="1"/>
  <c r="I65" i="1"/>
  <c r="H65" i="1"/>
  <c r="G65" i="1"/>
  <c r="E65" i="1"/>
  <c r="F65" i="1" s="1"/>
  <c r="C65" i="1"/>
  <c r="B65" i="1"/>
  <c r="K64" i="1"/>
  <c r="J64" i="1"/>
  <c r="L64" i="1" s="1"/>
  <c r="H64" i="1"/>
  <c r="G64" i="1"/>
  <c r="I64" i="1" s="1"/>
  <c r="F64" i="1"/>
  <c r="E64" i="1"/>
  <c r="C64" i="1"/>
  <c r="B64" i="1"/>
  <c r="L63" i="1"/>
  <c r="K63" i="1"/>
  <c r="J63" i="1"/>
  <c r="H63" i="1"/>
  <c r="I63" i="1" s="1"/>
  <c r="G63" i="1"/>
  <c r="E63" i="1"/>
  <c r="F63" i="1" s="1"/>
  <c r="C63" i="1"/>
  <c r="B63" i="1"/>
  <c r="K62" i="1"/>
  <c r="J62" i="1"/>
  <c r="L62" i="1" s="1"/>
  <c r="H62" i="1"/>
  <c r="G62" i="1"/>
  <c r="I62" i="1" s="1"/>
  <c r="F62" i="1"/>
  <c r="E62" i="1"/>
  <c r="C62" i="1"/>
  <c r="B62" i="1"/>
  <c r="L61" i="1"/>
  <c r="K61" i="1"/>
  <c r="J61" i="1"/>
  <c r="I61" i="1"/>
  <c r="H61" i="1"/>
  <c r="G61" i="1"/>
  <c r="E61" i="1"/>
  <c r="F61" i="1" s="1"/>
  <c r="C61" i="1"/>
  <c r="B61" i="1"/>
  <c r="K60" i="1"/>
  <c r="J60" i="1"/>
  <c r="L60" i="1" s="1"/>
  <c r="H60" i="1"/>
  <c r="G60" i="1"/>
  <c r="I60" i="1" s="1"/>
  <c r="F60" i="1"/>
  <c r="E60" i="1"/>
  <c r="C60" i="1"/>
  <c r="B60" i="1"/>
  <c r="L59" i="1"/>
  <c r="K59" i="1"/>
  <c r="J59" i="1"/>
  <c r="H59" i="1"/>
  <c r="I59" i="1" s="1"/>
  <c r="G59" i="1"/>
  <c r="E59" i="1"/>
  <c r="F59" i="1" s="1"/>
  <c r="C59" i="1"/>
  <c r="B59" i="1"/>
  <c r="K58" i="1"/>
  <c r="J58" i="1"/>
  <c r="L58" i="1" s="1"/>
  <c r="H58" i="1"/>
  <c r="G58" i="1"/>
  <c r="I58" i="1" s="1"/>
  <c r="F58" i="1"/>
  <c r="E58" i="1"/>
  <c r="C58" i="1"/>
  <c r="B58" i="1"/>
  <c r="L57" i="1"/>
  <c r="K57" i="1"/>
  <c r="J57" i="1"/>
  <c r="I57" i="1"/>
  <c r="H57" i="1"/>
  <c r="G57" i="1"/>
  <c r="E57" i="1"/>
  <c r="F57" i="1" s="1"/>
  <c r="C57" i="1"/>
  <c r="B57" i="1"/>
  <c r="K56" i="1"/>
  <c r="J56" i="1"/>
  <c r="L56" i="1" s="1"/>
  <c r="H56" i="1"/>
  <c r="G56" i="1"/>
  <c r="I56" i="1" s="1"/>
  <c r="F56" i="1"/>
  <c r="E56" i="1"/>
  <c r="C56" i="1"/>
  <c r="B56" i="1"/>
  <c r="L55" i="1"/>
  <c r="K55" i="1"/>
  <c r="J55" i="1"/>
  <c r="H55" i="1"/>
  <c r="I55" i="1" s="1"/>
  <c r="G55" i="1"/>
  <c r="E55" i="1"/>
  <c r="F55" i="1" s="1"/>
  <c r="C55" i="1"/>
  <c r="B55" i="1"/>
  <c r="K54" i="1"/>
  <c r="J54" i="1"/>
  <c r="L54" i="1" s="1"/>
  <c r="H54" i="1"/>
  <c r="G54" i="1"/>
  <c r="I54" i="1" s="1"/>
  <c r="F54" i="1"/>
  <c r="E54" i="1"/>
  <c r="C54" i="1"/>
  <c r="B54" i="1"/>
  <c r="L53" i="1"/>
  <c r="K53" i="1"/>
  <c r="J53" i="1"/>
  <c r="I53" i="1"/>
  <c r="H53" i="1"/>
  <c r="G53" i="1"/>
  <c r="E53" i="1"/>
  <c r="F53" i="1" s="1"/>
  <c r="C53" i="1"/>
  <c r="B53" i="1"/>
  <c r="K52" i="1"/>
  <c r="J52" i="1"/>
  <c r="L52" i="1" s="1"/>
  <c r="H52" i="1"/>
  <c r="G52" i="1"/>
  <c r="I52" i="1" s="1"/>
  <c r="F52" i="1"/>
  <c r="E52" i="1"/>
  <c r="C52" i="1"/>
  <c r="B52" i="1"/>
  <c r="L51" i="1"/>
  <c r="K51" i="1"/>
  <c r="J51" i="1"/>
  <c r="H51" i="1"/>
  <c r="I51" i="1" s="1"/>
  <c r="G51" i="1"/>
  <c r="E51" i="1"/>
  <c r="F51" i="1" s="1"/>
  <c r="C51" i="1"/>
  <c r="B51" i="1"/>
  <c r="K50" i="1"/>
  <c r="J50" i="1"/>
  <c r="L50" i="1" s="1"/>
  <c r="H50" i="1"/>
  <c r="G50" i="1"/>
  <c r="I50" i="1" s="1"/>
  <c r="F50" i="1"/>
  <c r="E50" i="1"/>
  <c r="C50" i="1"/>
  <c r="B50" i="1"/>
  <c r="L49" i="1"/>
  <c r="K49" i="1"/>
  <c r="J49" i="1"/>
  <c r="I49" i="1"/>
  <c r="H49" i="1"/>
  <c r="G49" i="1"/>
  <c r="E49" i="1"/>
  <c r="F49" i="1" s="1"/>
  <c r="C49" i="1"/>
  <c r="B49" i="1"/>
  <c r="K48" i="1"/>
  <c r="J48" i="1"/>
  <c r="L48" i="1" s="1"/>
  <c r="H48" i="1"/>
  <c r="G48" i="1"/>
  <c r="I48" i="1" s="1"/>
  <c r="F48" i="1"/>
  <c r="E48" i="1"/>
  <c r="C48" i="1"/>
  <c r="B48" i="1"/>
  <c r="L47" i="1"/>
  <c r="K47" i="1"/>
  <c r="J47" i="1"/>
  <c r="H47" i="1"/>
  <c r="I47" i="1" s="1"/>
  <c r="G47" i="1"/>
  <c r="E47" i="1"/>
  <c r="F47" i="1" s="1"/>
  <c r="C47" i="1"/>
  <c r="B47" i="1"/>
  <c r="K46" i="1"/>
  <c r="J46" i="1"/>
  <c r="L46" i="1" s="1"/>
  <c r="H46" i="1"/>
  <c r="G46" i="1"/>
  <c r="I46" i="1" s="1"/>
  <c r="F46" i="1"/>
  <c r="E46" i="1"/>
  <c r="C46" i="1"/>
  <c r="B46" i="1"/>
  <c r="L45" i="1"/>
  <c r="K45" i="1"/>
  <c r="J45" i="1"/>
  <c r="I45" i="1"/>
  <c r="H45" i="1"/>
  <c r="G45" i="1"/>
  <c r="E45" i="1"/>
  <c r="F45" i="1" s="1"/>
  <c r="C45" i="1"/>
  <c r="B45" i="1"/>
  <c r="K44" i="1"/>
  <c r="J44" i="1"/>
  <c r="L44" i="1" s="1"/>
  <c r="H44" i="1"/>
  <c r="G44" i="1"/>
  <c r="I44" i="1" s="1"/>
  <c r="F44" i="1"/>
  <c r="E44" i="1"/>
  <c r="C44" i="1"/>
  <c r="B44" i="1"/>
  <c r="L43" i="1"/>
  <c r="K43" i="1"/>
  <c r="J43" i="1"/>
  <c r="H43" i="1"/>
  <c r="I43" i="1" s="1"/>
  <c r="G43" i="1"/>
  <c r="E43" i="1"/>
  <c r="F43" i="1" s="1"/>
  <c r="C43" i="1"/>
  <c r="B43" i="1"/>
  <c r="K42" i="1"/>
  <c r="J42" i="1"/>
  <c r="L42" i="1" s="1"/>
  <c r="H42" i="1"/>
  <c r="G42" i="1"/>
  <c r="I42" i="1" s="1"/>
  <c r="F42" i="1"/>
  <c r="E42" i="1"/>
  <c r="C42" i="1"/>
  <c r="B42" i="1"/>
  <c r="L41" i="1"/>
  <c r="K41" i="1"/>
  <c r="J41" i="1"/>
  <c r="I41" i="1"/>
  <c r="H41" i="1"/>
  <c r="G41" i="1"/>
  <c r="E41" i="1"/>
  <c r="F41" i="1" s="1"/>
  <c r="C41" i="1"/>
  <c r="B41" i="1"/>
  <c r="K40" i="1"/>
  <c r="J40" i="1"/>
  <c r="L40" i="1" s="1"/>
  <c r="H40" i="1"/>
  <c r="G40" i="1"/>
  <c r="I40" i="1" s="1"/>
  <c r="F40" i="1"/>
  <c r="E40" i="1"/>
  <c r="C40" i="1"/>
  <c r="B40" i="1"/>
  <c r="L39" i="1"/>
  <c r="K39" i="1"/>
  <c r="J39" i="1"/>
  <c r="I39" i="1"/>
  <c r="H39" i="1"/>
  <c r="G39" i="1"/>
  <c r="E39" i="1"/>
  <c r="F39" i="1" s="1"/>
  <c r="C39" i="1"/>
  <c r="B39" i="1"/>
  <c r="K38" i="1"/>
  <c r="J38" i="1"/>
  <c r="L38" i="1" s="1"/>
  <c r="H38" i="1"/>
  <c r="G38" i="1"/>
  <c r="I38" i="1" s="1"/>
  <c r="F38" i="1"/>
  <c r="E38" i="1"/>
  <c r="C38" i="1"/>
  <c r="B38" i="1"/>
  <c r="L37" i="1"/>
  <c r="K37" i="1"/>
  <c r="J37" i="1"/>
  <c r="I37" i="1"/>
  <c r="H37" i="1"/>
  <c r="G37" i="1"/>
  <c r="E37" i="1"/>
  <c r="F37" i="1" s="1"/>
  <c r="C37" i="1"/>
  <c r="B37" i="1"/>
  <c r="K36" i="1"/>
  <c r="J36" i="1"/>
  <c r="L36" i="1" s="1"/>
  <c r="H36" i="1"/>
  <c r="G36" i="1"/>
  <c r="I36" i="1" s="1"/>
  <c r="F36" i="1"/>
  <c r="E36" i="1"/>
  <c r="C36" i="1"/>
  <c r="B36" i="1"/>
  <c r="L35" i="1"/>
  <c r="K35" i="1"/>
  <c r="J35" i="1"/>
  <c r="I35" i="1"/>
  <c r="H35" i="1"/>
  <c r="G35" i="1"/>
  <c r="E35" i="1"/>
  <c r="F35" i="1" s="1"/>
  <c r="C35" i="1"/>
  <c r="B35" i="1"/>
  <c r="K34" i="1"/>
  <c r="J34" i="1"/>
  <c r="H34" i="1"/>
  <c r="G34" i="1"/>
  <c r="I34" i="1" s="1"/>
  <c r="F34" i="1"/>
  <c r="E34" i="1"/>
  <c r="C34" i="1"/>
  <c r="B34" i="1"/>
  <c r="L33" i="1"/>
  <c r="K33" i="1"/>
  <c r="J33" i="1"/>
  <c r="I33" i="1"/>
  <c r="H33" i="1"/>
  <c r="G33" i="1"/>
  <c r="E33" i="1"/>
  <c r="F33" i="1" s="1"/>
  <c r="C33" i="1"/>
  <c r="B33" i="1"/>
  <c r="K32" i="1"/>
  <c r="J32" i="1"/>
  <c r="H32" i="1"/>
  <c r="G32" i="1"/>
  <c r="I32" i="1" s="1"/>
  <c r="F32" i="1"/>
  <c r="E32" i="1"/>
  <c r="C32" i="1"/>
  <c r="B32" i="1"/>
  <c r="L31" i="1"/>
  <c r="K31" i="1"/>
  <c r="J31" i="1"/>
  <c r="I31" i="1"/>
  <c r="H31" i="1"/>
  <c r="G31" i="1"/>
  <c r="E31" i="1"/>
  <c r="F31" i="1" s="1"/>
  <c r="C31" i="1"/>
  <c r="B31" i="1"/>
  <c r="K30" i="1"/>
  <c r="J30" i="1"/>
  <c r="L30" i="1" s="1"/>
  <c r="H30" i="1"/>
  <c r="G30" i="1"/>
  <c r="I30" i="1" s="1"/>
  <c r="F30" i="1"/>
  <c r="E30" i="1"/>
  <c r="C30" i="1"/>
  <c r="B30" i="1"/>
  <c r="L29" i="1"/>
  <c r="K29" i="1"/>
  <c r="J29" i="1"/>
  <c r="I29" i="1"/>
  <c r="H29" i="1"/>
  <c r="G29" i="1"/>
  <c r="E29" i="1"/>
  <c r="F29" i="1" s="1"/>
  <c r="C29" i="1"/>
  <c r="B29" i="1"/>
  <c r="K28" i="1"/>
  <c r="J28" i="1"/>
  <c r="L28" i="1" s="1"/>
  <c r="H28" i="1"/>
  <c r="G28" i="1"/>
  <c r="I28" i="1" s="1"/>
  <c r="F28" i="1"/>
  <c r="E28" i="1"/>
  <c r="C28" i="1"/>
  <c r="B28" i="1"/>
  <c r="L27" i="1"/>
  <c r="K27" i="1"/>
  <c r="J27" i="1"/>
  <c r="H27" i="1"/>
  <c r="I27" i="1" s="1"/>
  <c r="G27" i="1"/>
  <c r="E27" i="1"/>
  <c r="F27" i="1" s="1"/>
  <c r="C27" i="1"/>
  <c r="B27" i="1"/>
  <c r="K26" i="1"/>
  <c r="J26" i="1"/>
  <c r="L26" i="1" s="1"/>
  <c r="H26" i="1"/>
  <c r="G26" i="1"/>
  <c r="I26" i="1" s="1"/>
  <c r="F26" i="1"/>
  <c r="E26" i="1"/>
  <c r="C26" i="1"/>
  <c r="B26" i="1"/>
  <c r="L25" i="1"/>
  <c r="K25" i="1"/>
  <c r="J25" i="1"/>
  <c r="I25" i="1"/>
  <c r="H25" i="1"/>
  <c r="G25" i="1"/>
  <c r="E25" i="1"/>
  <c r="F25" i="1" s="1"/>
  <c r="C25" i="1"/>
  <c r="B25" i="1"/>
  <c r="K24" i="1"/>
  <c r="J24" i="1"/>
  <c r="H24" i="1"/>
  <c r="G24" i="1"/>
  <c r="I24" i="1" s="1"/>
  <c r="F24" i="1"/>
  <c r="E24" i="1"/>
  <c r="C24" i="1"/>
  <c r="B24" i="1"/>
  <c r="L23" i="1"/>
  <c r="K23" i="1"/>
  <c r="J23" i="1"/>
  <c r="I23" i="1"/>
  <c r="H23" i="1"/>
  <c r="G23" i="1"/>
  <c r="E23" i="1"/>
  <c r="F23" i="1" s="1"/>
  <c r="C23" i="1"/>
  <c r="B23" i="1"/>
  <c r="K22" i="1"/>
  <c r="J22" i="1"/>
  <c r="L22" i="1" s="1"/>
  <c r="H22" i="1"/>
  <c r="G22" i="1"/>
  <c r="I22" i="1" s="1"/>
  <c r="F22" i="1"/>
  <c r="E22" i="1"/>
  <c r="C22" i="1"/>
  <c r="B22" i="1"/>
  <c r="L21" i="1"/>
  <c r="K21" i="1"/>
  <c r="J21" i="1"/>
  <c r="I21" i="1"/>
  <c r="H21" i="1"/>
  <c r="G21" i="1"/>
  <c r="E21" i="1"/>
  <c r="F21" i="1" s="1"/>
  <c r="C21" i="1"/>
  <c r="B21" i="1"/>
  <c r="K20" i="1"/>
  <c r="J20" i="1"/>
  <c r="H20" i="1"/>
  <c r="G20" i="1"/>
  <c r="I20" i="1" s="1"/>
  <c r="F20" i="1"/>
  <c r="E20" i="1"/>
  <c r="C20" i="1"/>
  <c r="B20" i="1"/>
  <c r="L19" i="1"/>
  <c r="K19" i="1"/>
  <c r="J19" i="1"/>
  <c r="H19" i="1"/>
  <c r="I19" i="1" s="1"/>
  <c r="G19" i="1"/>
  <c r="E19" i="1"/>
  <c r="F19" i="1" s="1"/>
  <c r="C19" i="1"/>
  <c r="B19" i="1"/>
  <c r="K18" i="1"/>
  <c r="J18" i="1"/>
  <c r="H18" i="1"/>
  <c r="G18" i="1"/>
  <c r="I18" i="1" s="1"/>
  <c r="F18" i="1"/>
  <c r="E18" i="1"/>
  <c r="C18" i="1"/>
  <c r="B18" i="1"/>
  <c r="L17" i="1"/>
  <c r="K17" i="1"/>
  <c r="J17" i="1"/>
  <c r="I17" i="1"/>
  <c r="H17" i="1"/>
  <c r="G17" i="1"/>
  <c r="E17" i="1"/>
  <c r="F17" i="1" s="1"/>
  <c r="C17" i="1"/>
  <c r="B17" i="1"/>
  <c r="K16" i="1"/>
  <c r="J16" i="1"/>
  <c r="L16" i="1" s="1"/>
  <c r="H16" i="1"/>
  <c r="G16" i="1"/>
  <c r="I16" i="1" s="1"/>
  <c r="F16" i="1"/>
  <c r="E16" i="1"/>
  <c r="C16" i="1"/>
  <c r="B16" i="1"/>
  <c r="K15" i="1"/>
  <c r="J15" i="1"/>
  <c r="L15" i="1" s="1"/>
  <c r="I15" i="1"/>
  <c r="H15" i="1"/>
  <c r="G15" i="1"/>
  <c r="E15" i="1"/>
  <c r="F15" i="1" s="1"/>
  <c r="C15" i="1"/>
  <c r="B15" i="1"/>
  <c r="K14" i="1"/>
  <c r="J14" i="1"/>
  <c r="L14" i="1" s="1"/>
  <c r="H14" i="1"/>
  <c r="G14" i="1"/>
  <c r="I14" i="1" s="1"/>
  <c r="E14" i="1"/>
  <c r="F14" i="1" s="1"/>
  <c r="C14" i="1"/>
  <c r="B14" i="1"/>
  <c r="L13" i="1"/>
  <c r="K13" i="1"/>
  <c r="J13" i="1"/>
  <c r="I13" i="1"/>
  <c r="H13" i="1"/>
  <c r="G13" i="1"/>
  <c r="E13" i="1"/>
  <c r="F13" i="1" s="1"/>
  <c r="C13" i="1"/>
  <c r="B13" i="1"/>
  <c r="K12" i="1"/>
  <c r="J12" i="1"/>
  <c r="L12" i="1" s="1"/>
  <c r="H12" i="1"/>
  <c r="I12" i="1" s="1"/>
  <c r="G12" i="1"/>
  <c r="F12" i="1"/>
  <c r="E12" i="1"/>
  <c r="C12" i="1"/>
  <c r="B12" i="1"/>
  <c r="L11" i="1"/>
  <c r="K11" i="1"/>
  <c r="J11" i="1"/>
  <c r="H11" i="1"/>
  <c r="I11" i="1" s="1"/>
  <c r="G11" i="1"/>
  <c r="E11" i="1"/>
  <c r="F11" i="1" s="1"/>
  <c r="C11" i="1"/>
  <c r="B11" i="1"/>
  <c r="K10" i="1"/>
  <c r="L10" i="1" s="1"/>
  <c r="J10" i="1"/>
  <c r="H10" i="1"/>
  <c r="G10" i="1"/>
  <c r="I10" i="1" s="1"/>
  <c r="F10" i="1"/>
  <c r="E10" i="1"/>
  <c r="C10" i="1"/>
  <c r="B10" i="1"/>
  <c r="L9" i="1"/>
  <c r="K9" i="1"/>
  <c r="J9" i="1"/>
  <c r="I9" i="1"/>
  <c r="H9" i="1"/>
  <c r="G9" i="1"/>
  <c r="F9" i="1"/>
  <c r="E9" i="1"/>
  <c r="C9" i="1"/>
  <c r="B9" i="1"/>
  <c r="K8" i="1"/>
  <c r="J8" i="1"/>
  <c r="L8" i="1" s="1"/>
  <c r="H8" i="1"/>
  <c r="G8" i="1"/>
  <c r="I8" i="1" s="1"/>
  <c r="F8" i="1"/>
  <c r="E8" i="1"/>
  <c r="C8" i="1"/>
  <c r="B8" i="1"/>
  <c r="K7" i="1"/>
  <c r="J7" i="1"/>
  <c r="L7" i="1" s="1"/>
  <c r="H7" i="1"/>
  <c r="I7" i="1" s="1"/>
  <c r="G7" i="1"/>
  <c r="E7" i="1"/>
  <c r="F7" i="1" s="1"/>
  <c r="C7" i="1"/>
  <c r="B7" i="1"/>
  <c r="L6" i="1"/>
  <c r="K6" i="1"/>
  <c r="J6" i="1"/>
  <c r="H6" i="1"/>
  <c r="G6" i="1"/>
  <c r="I6" i="1" s="1"/>
  <c r="F6" i="1"/>
  <c r="E6" i="1"/>
  <c r="C6" i="1"/>
  <c r="B6" i="1"/>
  <c r="L5" i="1"/>
  <c r="K5" i="1"/>
  <c r="J5" i="1"/>
  <c r="I5" i="1"/>
  <c r="H5" i="1"/>
  <c r="G5" i="1"/>
  <c r="F5" i="1"/>
  <c r="E5" i="1"/>
  <c r="C5" i="1"/>
  <c r="B5" i="1"/>
  <c r="K4" i="1"/>
  <c r="J4" i="1"/>
  <c r="L4" i="1" s="1"/>
  <c r="H4" i="1"/>
  <c r="G4" i="1"/>
  <c r="I4" i="1" s="1"/>
  <c r="F4" i="1"/>
  <c r="E4" i="1"/>
  <c r="C4" i="1"/>
  <c r="B4" i="1"/>
  <c r="K3" i="1"/>
  <c r="J3" i="1"/>
  <c r="L3" i="1" s="1"/>
  <c r="H3" i="1"/>
  <c r="I3" i="1" s="1"/>
  <c r="G3" i="1"/>
  <c r="E3" i="1"/>
  <c r="F3" i="1" s="1"/>
  <c r="C3" i="1"/>
  <c r="B3" i="1"/>
  <c r="K2" i="1"/>
  <c r="J2" i="1"/>
  <c r="L2" i="1" s="1"/>
  <c r="H2" i="1"/>
  <c r="G2" i="1"/>
  <c r="I2" i="1" s="1"/>
  <c r="F2" i="1"/>
  <c r="E2" i="1"/>
  <c r="C2" i="1"/>
  <c r="B2" i="1"/>
  <c r="L1" i="1"/>
  <c r="K1" i="1"/>
  <c r="J1" i="1"/>
  <c r="H1" i="1"/>
  <c r="I1" i="1" s="1"/>
  <c r="G1" i="1"/>
  <c r="F1" i="1"/>
  <c r="E1" i="1"/>
  <c r="C1" i="1"/>
  <c r="B1" i="1"/>
  <c r="L24" i="1" l="1"/>
  <c r="L32" i="1"/>
  <c r="L18" i="1"/>
  <c r="L34" i="1"/>
  <c r="L20" i="1"/>
  <c r="L192" i="1"/>
  <c r="L196" i="1"/>
  <c r="L200" i="1"/>
  <c r="I433" i="1"/>
  <c r="I449" i="1"/>
  <c r="I401" i="1"/>
  <c r="I411" i="1"/>
  <c r="I421" i="1"/>
  <c r="I437" i="1"/>
  <c r="L635" i="1"/>
  <c r="L670" i="1"/>
  <c r="I674" i="1"/>
  <c r="I698" i="1"/>
  <c r="I702" i="1"/>
  <c r="I706" i="1"/>
  <c r="I710" i="1"/>
  <c r="I714" i="1"/>
  <c r="I718" i="1"/>
  <c r="I722" i="1"/>
  <c r="I726" i="1"/>
  <c r="I730" i="1"/>
  <c r="I734" i="1"/>
  <c r="I738" i="1"/>
  <c r="I742" i="1"/>
  <c r="I746" i="1"/>
  <c r="I766" i="1"/>
  <c r="I798" i="1"/>
  <c r="L631" i="1"/>
  <c r="L647" i="1"/>
  <c r="L658" i="1"/>
  <c r="I662" i="1"/>
  <c r="L674" i="1"/>
  <c r="I678" i="1"/>
  <c r="I822" i="1"/>
  <c r="L627" i="1"/>
  <c r="L643" i="1"/>
  <c r="L662" i="1"/>
  <c r="I666" i="1"/>
  <c r="L678" i="1"/>
  <c r="I682" i="1"/>
  <c r="L639" i="1"/>
  <c r="L655" i="1"/>
  <c r="L666" i="1"/>
  <c r="I670" i="1"/>
  <c r="I690" i="1"/>
  <c r="I794" i="1"/>
  <c r="L837" i="1"/>
  <c r="L853" i="1"/>
  <c r="L869" i="1"/>
  <c r="L901" i="1"/>
  <c r="L917" i="1"/>
  <c r="L933" i="1"/>
  <c r="L949" i="1"/>
  <c r="L841" i="1"/>
  <c r="L857" i="1"/>
  <c r="L873" i="1"/>
  <c r="L889" i="1"/>
  <c r="L905" i="1"/>
  <c r="L921" i="1"/>
  <c r="L937" i="1"/>
  <c r="L953" i="1"/>
  <c r="L861" i="1"/>
  <c r="L986" i="1"/>
  <c r="L831" i="1"/>
  <c r="L847" i="1"/>
  <c r="L961" i="1"/>
  <c r="L833" i="1"/>
  <c r="L849" i="1"/>
  <c r="L865" i="1"/>
  <c r="L881" i="1"/>
  <c r="L897" i="1"/>
  <c r="L913" i="1"/>
  <c r="L929" i="1"/>
  <c r="L945" i="1"/>
  <c r="L965" i="1"/>
  <c r="I991" i="1"/>
  <c r="L999" i="1"/>
  <c r="I995" i="1"/>
  <c r="L1003" i="1"/>
  <c r="L1007" i="1"/>
  <c r="L995" i="1"/>
</calcChain>
</file>

<file path=xl/sharedStrings.xml><?xml version="1.0" encoding="utf-8"?>
<sst xmlns="http://schemas.openxmlformats.org/spreadsheetml/2006/main" count="1151" uniqueCount="1151">
  <si>
    <t>1503-12048-2</t>
  </si>
  <si>
    <t>1503-12053</t>
  </si>
  <si>
    <t>1503-12056-2</t>
  </si>
  <si>
    <t>1503-12056-3</t>
  </si>
  <si>
    <t>1503-12056-4</t>
  </si>
  <si>
    <t>1503-12061</t>
  </si>
  <si>
    <t>1503-12062</t>
  </si>
  <si>
    <t>1503-12063</t>
  </si>
  <si>
    <t>1503-12069-2</t>
  </si>
  <si>
    <t>1503-12069-3</t>
  </si>
  <si>
    <t>1503-12086</t>
  </si>
  <si>
    <t>1503-12086-2</t>
  </si>
  <si>
    <t>1503-12088</t>
  </si>
  <si>
    <t>1503-12089</t>
  </si>
  <si>
    <t>1503-12090</t>
  </si>
  <si>
    <t>1503-8001-1</t>
  </si>
  <si>
    <t>1504-1001-10-11</t>
  </si>
  <si>
    <t>1504-1001-1-Ш</t>
  </si>
  <si>
    <t>1504-1001-3-Щ</t>
  </si>
  <si>
    <t>1504-1001-4-Э</t>
  </si>
  <si>
    <t>1504-1001-6-Ю</t>
  </si>
  <si>
    <t>1504-1001-7-Я</t>
  </si>
  <si>
    <t>1504-1001-9-10</t>
  </si>
  <si>
    <t>1504-1002-5-1</t>
  </si>
  <si>
    <t>1504-1009-3</t>
  </si>
  <si>
    <t>1504-1060</t>
  </si>
  <si>
    <t>1504-12001-4</t>
  </si>
  <si>
    <t>1504-12087-1</t>
  </si>
  <si>
    <t>1504-15316-1</t>
  </si>
  <si>
    <t>1504-17151</t>
  </si>
  <si>
    <t>1504-17152</t>
  </si>
  <si>
    <t>1504-18001-1</t>
  </si>
  <si>
    <t>1504-18001-2</t>
  </si>
  <si>
    <t>1504-18119</t>
  </si>
  <si>
    <t>1504-19165-Н1</t>
  </si>
  <si>
    <t>1504-4009-1</t>
  </si>
  <si>
    <t>1504-5001-2</t>
  </si>
  <si>
    <t>1504-5001-3</t>
  </si>
  <si>
    <t>1504-5001-5</t>
  </si>
  <si>
    <t>1504-6157</t>
  </si>
  <si>
    <t>1504-6200-1</t>
  </si>
  <si>
    <t>1504-6200-2</t>
  </si>
  <si>
    <t>1504-7016-Н</t>
  </si>
  <si>
    <t>1507-3001-1-Э</t>
  </si>
  <si>
    <t>1507-3002-1</t>
  </si>
  <si>
    <t>1507-3008-1</t>
  </si>
  <si>
    <t>1507-4137-41(зворотнiматерiали)</t>
  </si>
  <si>
    <t>15091-1022-4</t>
  </si>
  <si>
    <t>15093-34013</t>
  </si>
  <si>
    <t>15093-34023</t>
  </si>
  <si>
    <t>15093-35013</t>
  </si>
  <si>
    <t>15095-46011</t>
  </si>
  <si>
    <t>15095-46021</t>
  </si>
  <si>
    <t>15095-46041</t>
  </si>
  <si>
    <t>15095-46071</t>
  </si>
  <si>
    <t>15095-46081</t>
  </si>
  <si>
    <t>15095-46091</t>
  </si>
  <si>
    <t>15095-46111</t>
  </si>
  <si>
    <t>15095-46131</t>
  </si>
  <si>
    <t>15095-46141</t>
  </si>
  <si>
    <t>15096-11111</t>
  </si>
  <si>
    <t>15096-11211</t>
  </si>
  <si>
    <t>15096-11231</t>
  </si>
  <si>
    <t>15102-8023</t>
  </si>
  <si>
    <t>1517-1100Н</t>
  </si>
  <si>
    <t>1517-1102Н</t>
  </si>
  <si>
    <t>1517-2245</t>
  </si>
  <si>
    <t>1602-50115</t>
  </si>
  <si>
    <t>1701-1043-1</t>
  </si>
  <si>
    <t>1701-1043-4</t>
  </si>
  <si>
    <t>1701-1075</t>
  </si>
  <si>
    <t>1701-5005-Н</t>
  </si>
  <si>
    <t>1701-5005-Н1</t>
  </si>
  <si>
    <t>1701-8015</t>
  </si>
  <si>
    <t>1704-10320-Н</t>
  </si>
  <si>
    <t>1704-20023</t>
  </si>
  <si>
    <t>1704-50064-1</t>
  </si>
  <si>
    <t>1704-50731-Н</t>
  </si>
  <si>
    <t>1704-50740</t>
  </si>
  <si>
    <t>2301-1196-1</t>
  </si>
  <si>
    <t>2301-1196-2</t>
  </si>
  <si>
    <t>2301-1196-3</t>
  </si>
  <si>
    <t>2308-4001-1-12</t>
  </si>
  <si>
    <t>2308-4027-2А</t>
  </si>
  <si>
    <t>2308-4028-1-Ю</t>
  </si>
  <si>
    <t>2402-3018</t>
  </si>
  <si>
    <t>2405-1010-1</t>
  </si>
  <si>
    <t>2405-1010-2</t>
  </si>
  <si>
    <t>2405-1010-5</t>
  </si>
  <si>
    <t>2405-1010-6</t>
  </si>
  <si>
    <t>2405-1010-7</t>
  </si>
  <si>
    <t>2405-1010-8</t>
  </si>
  <si>
    <t>2405-1010-9</t>
  </si>
  <si>
    <t>2405-12264-1-3Е</t>
  </si>
  <si>
    <t>2405-1356</t>
  </si>
  <si>
    <t>2405-1361</t>
  </si>
  <si>
    <t>2405-1748</t>
  </si>
  <si>
    <t>2405-3060</t>
  </si>
  <si>
    <t>290902-224</t>
  </si>
  <si>
    <t>290902-54</t>
  </si>
  <si>
    <t>290902-55</t>
  </si>
  <si>
    <t>Е1-13-4</t>
  </si>
  <si>
    <t>Е1-134-1</t>
  </si>
  <si>
    <t>Е1-13-5</t>
  </si>
  <si>
    <t>Е1-162-1_тех.ч._п.1.3.185_к=0,8</t>
  </si>
  <si>
    <t>Е1-162-7</t>
  </si>
  <si>
    <t>Е1-163-8</t>
  </si>
  <si>
    <t>Е1-164-1</t>
  </si>
  <si>
    <t>Е1-164-1_тех.ч._п.1.3.180_к=1,2</t>
  </si>
  <si>
    <t>Е1-164-2</t>
  </si>
  <si>
    <t>Е1-166-1</t>
  </si>
  <si>
    <t>Е1-171-2</t>
  </si>
  <si>
    <t>Е1-172-4</t>
  </si>
  <si>
    <t>Е1-18-1</t>
  </si>
  <si>
    <t>Е1-18-4</t>
  </si>
  <si>
    <t>Е12-15-1</t>
  </si>
  <si>
    <t>Е12-1-6</t>
  </si>
  <si>
    <t>Е12-1-7</t>
  </si>
  <si>
    <t>Е12-18-3</t>
  </si>
  <si>
    <t>Е12-18-4</t>
  </si>
  <si>
    <t>Е12-18-5</t>
  </si>
  <si>
    <t>Е12-19-2</t>
  </si>
  <si>
    <t>Е12-20-3</t>
  </si>
  <si>
    <t>Е12-21-1</t>
  </si>
  <si>
    <t>Е12-22-1</t>
  </si>
  <si>
    <t>Е12-22-5</t>
  </si>
  <si>
    <t>Е12-7-1</t>
  </si>
  <si>
    <t>Е1-27-1</t>
  </si>
  <si>
    <t>Е1-27-2</t>
  </si>
  <si>
    <t>Е12-9-1</t>
  </si>
  <si>
    <t>Е1-30-2</t>
  </si>
  <si>
    <t>Е13-16-6</t>
  </si>
  <si>
    <t>Е13-26-6к=2</t>
  </si>
  <si>
    <t>Е13-38-1</t>
  </si>
  <si>
    <t>Е13-39-4</t>
  </si>
  <si>
    <t>Е13-45-5_тех.ч._п.1.3.15_к=1,1</t>
  </si>
  <si>
    <t>Е13-57-1</t>
  </si>
  <si>
    <t>Е13-57-2</t>
  </si>
  <si>
    <t>Е13-74-7Н1=2_тех.ч._п.1.3.15_к=1,1</t>
  </si>
  <si>
    <t>Е16-10-1</t>
  </si>
  <si>
    <t>Е16-10-2</t>
  </si>
  <si>
    <t>Е16-10-2к=0,4</t>
  </si>
  <si>
    <t>Е16-10-3</t>
  </si>
  <si>
    <t>Е16-10-3к=0,4</t>
  </si>
  <si>
    <t>Е16-10-4</t>
  </si>
  <si>
    <t>Е16-10-5</t>
  </si>
  <si>
    <t>Е16-10-7</t>
  </si>
  <si>
    <t>Е16-10-8</t>
  </si>
  <si>
    <t>Е16-10-8к=0,4</t>
  </si>
  <si>
    <t>Е16-12-6</t>
  </si>
  <si>
    <t>Е16-12-7</t>
  </si>
  <si>
    <t>Е16-13-1</t>
  </si>
  <si>
    <t>Е16-13-2</t>
  </si>
  <si>
    <t>Е16-13-2к=0,4</t>
  </si>
  <si>
    <t>Е16-14-12</t>
  </si>
  <si>
    <t>Е16-14-13</t>
  </si>
  <si>
    <t>Е16-14-14</t>
  </si>
  <si>
    <t>Е16-14-15</t>
  </si>
  <si>
    <t>Е16-14-16</t>
  </si>
  <si>
    <t>Е16-14-17</t>
  </si>
  <si>
    <t>Е16-14-20</t>
  </si>
  <si>
    <t>Е16-14-22</t>
  </si>
  <si>
    <t>Е16-14-22к=0,4</t>
  </si>
  <si>
    <t>Е16-14-22прист</t>
  </si>
  <si>
    <t>Е16-14-25</t>
  </si>
  <si>
    <t>Е16-14-25к=0,4</t>
  </si>
  <si>
    <t>Е16-14-27</t>
  </si>
  <si>
    <t>Е16-14-28</t>
  </si>
  <si>
    <t>Е16-14-31</t>
  </si>
  <si>
    <t>Е16-14-9к=0,4</t>
  </si>
  <si>
    <t>Е16-15-2</t>
  </si>
  <si>
    <t>Е16-15-3</t>
  </si>
  <si>
    <t>Е16-15-3к=0,4</t>
  </si>
  <si>
    <t>Е16-15-5</t>
  </si>
  <si>
    <t>Е16-20-1</t>
  </si>
  <si>
    <t>Е16-20-2</t>
  </si>
  <si>
    <t>Е16-21-1</t>
  </si>
  <si>
    <t>Е16-27-7</t>
  </si>
  <si>
    <t>Е16-29-1</t>
  </si>
  <si>
    <t>Е16-29-2</t>
  </si>
  <si>
    <t>Е16-5-2</t>
  </si>
  <si>
    <t>Е16-5-2к=0,4</t>
  </si>
  <si>
    <t>Е16-7-2</t>
  </si>
  <si>
    <t>Е16-7-3</t>
  </si>
  <si>
    <t>Е16-7-4</t>
  </si>
  <si>
    <t>Е17-1-11</t>
  </si>
  <si>
    <t>Е17-1-12</t>
  </si>
  <si>
    <t>Е17-1-6</t>
  </si>
  <si>
    <t>Е17-3-1</t>
  </si>
  <si>
    <t>Е18-10-1</t>
  </si>
  <si>
    <t>Е18-13-1</t>
  </si>
  <si>
    <t>Е18-15-1</t>
  </si>
  <si>
    <t>Е18-17-10</t>
  </si>
  <si>
    <t>Е18-21-1</t>
  </si>
  <si>
    <t>Е18-21-2</t>
  </si>
  <si>
    <t>Е18-21-3</t>
  </si>
  <si>
    <t>Е18-21-5</t>
  </si>
  <si>
    <t>Е18-21-5к=0,4</t>
  </si>
  <si>
    <t>Е18-21-6</t>
  </si>
  <si>
    <t>Е18-22-1</t>
  </si>
  <si>
    <t>Е18-22-5</t>
  </si>
  <si>
    <t>Е18-3-2</t>
  </si>
  <si>
    <t>Е18-4-1</t>
  </si>
  <si>
    <t>Е18-6-2</t>
  </si>
  <si>
    <t>Е20-11-1</t>
  </si>
  <si>
    <t>Е20-11-2</t>
  </si>
  <si>
    <t>Е20-13-1</t>
  </si>
  <si>
    <t>Е20-18-1</t>
  </si>
  <si>
    <t>Е20-18-2</t>
  </si>
  <si>
    <t>Е20-18-8</t>
  </si>
  <si>
    <t>Е20-3-1</t>
  </si>
  <si>
    <t>Е20-3-10</t>
  </si>
  <si>
    <t>Е20-31-1</t>
  </si>
  <si>
    <t>Е20-3-11</t>
  </si>
  <si>
    <t>Е20-31-1к=0,4</t>
  </si>
  <si>
    <t>Е20-31-2</t>
  </si>
  <si>
    <t>Е20-3-12</t>
  </si>
  <si>
    <t>Е20-31-2к=0,4</t>
  </si>
  <si>
    <t>Е20-3-14</t>
  </si>
  <si>
    <t>Е20-3-15</t>
  </si>
  <si>
    <t>Е20-3-16</t>
  </si>
  <si>
    <t>Е20-32-1</t>
  </si>
  <si>
    <t>Е20-3-3</t>
  </si>
  <si>
    <t>Е20-3-4</t>
  </si>
  <si>
    <t>Е20-34-3</t>
  </si>
  <si>
    <t>Е20-3-5</t>
  </si>
  <si>
    <t>Е20-3-6</t>
  </si>
  <si>
    <t>Е20-36-1</t>
  </si>
  <si>
    <t>Е20-36-1к=0,4</t>
  </si>
  <si>
    <t>Е20-3-7</t>
  </si>
  <si>
    <t>Е20-3-8</t>
  </si>
  <si>
    <t>Е20-42-1</t>
  </si>
  <si>
    <t>Е20-42-2</t>
  </si>
  <si>
    <t>Е21-10-1</t>
  </si>
  <si>
    <t>Е21-17-12</t>
  </si>
  <si>
    <t>Е21-17-5</t>
  </si>
  <si>
    <t>Е21-18-17</t>
  </si>
  <si>
    <t>Е21-2-1</t>
  </si>
  <si>
    <t>Е21-22-1</t>
  </si>
  <si>
    <t>Е21-22-12</t>
  </si>
  <si>
    <t>Е21-22-2</t>
  </si>
  <si>
    <t>Е21-22-3</t>
  </si>
  <si>
    <t>Е21-22-7</t>
  </si>
  <si>
    <t>Е21-2-3</t>
  </si>
  <si>
    <t>Е21-2-4</t>
  </si>
  <si>
    <t>Е21-24-2</t>
  </si>
  <si>
    <t>Е21-4-2</t>
  </si>
  <si>
    <t>Е21-4-7</t>
  </si>
  <si>
    <t>Е23-13-6</t>
  </si>
  <si>
    <t>Е23-23-2</t>
  </si>
  <si>
    <t>Е23-24-1</t>
  </si>
  <si>
    <t>Е33-115-1к=0,6</t>
  </si>
  <si>
    <t>Е34-103-1</t>
  </si>
  <si>
    <t>Е34-53-1</t>
  </si>
  <si>
    <t>Е34-53-1заст.</t>
  </si>
  <si>
    <t>Е34-57-1</t>
  </si>
  <si>
    <t>Е34-57-2</t>
  </si>
  <si>
    <t>Е46-27-2</t>
  </si>
  <si>
    <t>Е46-27-3</t>
  </si>
  <si>
    <t>Е46-34-3</t>
  </si>
  <si>
    <t>Е46-34-4</t>
  </si>
  <si>
    <t>Е46-40-1</t>
  </si>
  <si>
    <t>Е46-44-3</t>
  </si>
  <si>
    <t>Е7-24-12</t>
  </si>
  <si>
    <t>Е7-24-2к=0,8</t>
  </si>
  <si>
    <t>Е7-25-8</t>
  </si>
  <si>
    <t>Е7-31-1</t>
  </si>
  <si>
    <t>Е7-31-2</t>
  </si>
  <si>
    <t>Е7-47-1</t>
  </si>
  <si>
    <t>Е7-59-1</t>
  </si>
  <si>
    <t>Е7-59-2</t>
  </si>
  <si>
    <t>Е7-60-3</t>
  </si>
  <si>
    <t>Е7-60-4</t>
  </si>
  <si>
    <t>Е7-61-1</t>
  </si>
  <si>
    <t>Е7-61-1к=0,8</t>
  </si>
  <si>
    <t>Е7-64-1</t>
  </si>
  <si>
    <t>Е7-64-2</t>
  </si>
  <si>
    <t>Е7-64-3</t>
  </si>
  <si>
    <t>Е7-64-3к=0,8</t>
  </si>
  <si>
    <t>Е9-17-1т.ч.т.5 к=1,03</t>
  </si>
  <si>
    <t>Е9-17-4тех.ч._п.1.3.2_к=1,1т.ч.т.5 к=1,03</t>
  </si>
  <si>
    <t>Е9-22-1т.ч.т.5 к=1,03</t>
  </si>
  <si>
    <t>Е9-22-4т.ч.т.5 к=1,03</t>
  </si>
  <si>
    <t>Е9-23-1т.ч.т.5 к=1,03</t>
  </si>
  <si>
    <t>Е9-24-1</t>
  </si>
  <si>
    <t>Е9-24-1т.ч.т.5 к=1,03</t>
  </si>
  <si>
    <t>Е9-25-1</t>
  </si>
  <si>
    <t>Е9-25-1т.ч.т.5 к=1,03</t>
  </si>
  <si>
    <t>Е9-25-1тех.ч._п.1.3.2_к=1,1</t>
  </si>
  <si>
    <t>Е9-29-1</t>
  </si>
  <si>
    <t>Е9-34-1</t>
  </si>
  <si>
    <t>Е9-34-4т.ч.т.5 к=1,03</t>
  </si>
  <si>
    <t>Е9-34-5</t>
  </si>
  <si>
    <t>Е9-36-1</t>
  </si>
  <si>
    <t>Е9-40-1</t>
  </si>
  <si>
    <t>Е9-42-1</t>
  </si>
  <si>
    <t>Е9-43-1т.ч.т.5 к=1,03</t>
  </si>
  <si>
    <t>Е9-43-1тех.ч._п.1.3.2_к=1,1т.ч.т.5 к=1,03</t>
  </si>
  <si>
    <t>Е9-47-1</t>
  </si>
  <si>
    <t>Е9-47-1к=0,7</t>
  </si>
  <si>
    <t>Е9-48-1</t>
  </si>
  <si>
    <t>Е9-48-2</t>
  </si>
  <si>
    <t>Е9-49-1</t>
  </si>
  <si>
    <t>Е9-52-1</t>
  </si>
  <si>
    <t>Е9-53-1</t>
  </si>
  <si>
    <t>Е9-61-5т.ч.т.5 к=1,03</t>
  </si>
  <si>
    <t>Е9-62-4</t>
  </si>
  <si>
    <t>Е9-62-4т.ч.т.5 к=1,03</t>
  </si>
  <si>
    <t>ЕН10-12-1</t>
  </si>
  <si>
    <t>ЕН10-18-1</t>
  </si>
  <si>
    <t>ЕН10-20-1</t>
  </si>
  <si>
    <t>ЕН10-20-2</t>
  </si>
  <si>
    <t>ЕН10-20-3</t>
  </si>
  <si>
    <t>ЕН10-20-4</t>
  </si>
  <si>
    <t>ЕН10-20-4К=0,8</t>
  </si>
  <si>
    <t>ЕН10-25-3</t>
  </si>
  <si>
    <t>ЕН10-26-3</t>
  </si>
  <si>
    <t>ЕН10-28-4</t>
  </si>
  <si>
    <t>ЕН10-28-5</t>
  </si>
  <si>
    <t>ЕН10-28-7</t>
  </si>
  <si>
    <t>ЕН10-39-1</t>
  </si>
  <si>
    <t>ЕН10-5-1</t>
  </si>
  <si>
    <t>ЕН10-55-1</t>
  </si>
  <si>
    <t>ЕН10-7-1</t>
  </si>
  <si>
    <t>ЕН10-7-3</t>
  </si>
  <si>
    <t>ЕН10-94-3</t>
  </si>
  <si>
    <t>ЕН10-94-4</t>
  </si>
  <si>
    <t>ЕН10-94-5</t>
  </si>
  <si>
    <t>ЕН10-95-1</t>
  </si>
  <si>
    <t>ЕН10-96-2</t>
  </si>
  <si>
    <t>ЕН11-11-1</t>
  </si>
  <si>
    <t>ЕН11-11-13</t>
  </si>
  <si>
    <t>ЕН11-11-14к=1,5</t>
  </si>
  <si>
    <t>ЕН11-11-17</t>
  </si>
  <si>
    <t>ЕН11-11-2к=2</t>
  </si>
  <si>
    <t>ЕН11-11-2к=6</t>
  </si>
  <si>
    <t>ЕН11-11-5</t>
  </si>
  <si>
    <t>ЕН11-11-6к=12</t>
  </si>
  <si>
    <t>ЕН11-11-6к=15,2</t>
  </si>
  <si>
    <t>ЕН11-11-6к=3</t>
  </si>
  <si>
    <t>ЕН11-11-6к=4</t>
  </si>
  <si>
    <t>ЕН11-11-6к=5,4</t>
  </si>
  <si>
    <t>ЕН11-11-6к=7</t>
  </si>
  <si>
    <t>ЕН11-11-6к=8</t>
  </si>
  <si>
    <t>ЕН11-11-7</t>
  </si>
  <si>
    <t>ЕН11-11-8к=6</t>
  </si>
  <si>
    <t>ЕН11-15-1</t>
  </si>
  <si>
    <t>ЕН11-15-2к=2</t>
  </si>
  <si>
    <t>ЕН11-17-3</t>
  </si>
  <si>
    <t>ЕН11-20-3</t>
  </si>
  <si>
    <t>ЕН11-20-4к=5</t>
  </si>
  <si>
    <t>ЕН11-20-4к=7</t>
  </si>
  <si>
    <t>ЕН11-29-2</t>
  </si>
  <si>
    <t>ЕН11-35-2</t>
  </si>
  <si>
    <t>ЕН11-37-3</t>
  </si>
  <si>
    <t>ЕН11-39-3</t>
  </si>
  <si>
    <t>ЕН11-39-5</t>
  </si>
  <si>
    <t>ЕН11-4-1</t>
  </si>
  <si>
    <t>ЕН11-4-2</t>
  </si>
  <si>
    <t>ЕН11-42-2</t>
  </si>
  <si>
    <t>ЕН11-42-3</t>
  </si>
  <si>
    <t>ЕН11-4-5</t>
  </si>
  <si>
    <t>ЕН11-4-6</t>
  </si>
  <si>
    <t>ЕН11-9-1</t>
  </si>
  <si>
    <t>ЕН11-9-2</t>
  </si>
  <si>
    <t>ЕН15-158-3</t>
  </si>
  <si>
    <t>ЕН15-165-3</t>
  </si>
  <si>
    <t>ЕН15-170-2</t>
  </si>
  <si>
    <t>ЕН15-171-3</t>
  </si>
  <si>
    <t>ЕН15-171-4</t>
  </si>
  <si>
    <t>ЕН15-172-4</t>
  </si>
  <si>
    <t>ЕН15-179-3</t>
  </si>
  <si>
    <t>ЕН15-179-5</t>
  </si>
  <si>
    <t>ЕН15-179-6</t>
  </si>
  <si>
    <t>ЕН15-182-4</t>
  </si>
  <si>
    <t>ЕН15-182-5</t>
  </si>
  <si>
    <t>ЕН15-25-3</t>
  </si>
  <si>
    <t>ЕН15-253-1</t>
  </si>
  <si>
    <t>ЕН15-26-1</t>
  </si>
  <si>
    <t>ЕН15-46-2</t>
  </si>
  <si>
    <t>ЕН15-46-6</t>
  </si>
  <si>
    <t>ЕН15-46-6_тех.ч._п.3.3.10_к=0,9</t>
  </si>
  <si>
    <t>ЕН15-51-1</t>
  </si>
  <si>
    <t>ЕН15-53-1</t>
  </si>
  <si>
    <t>ЕН15-57-1</t>
  </si>
  <si>
    <t>ЕН15-63-1</t>
  </si>
  <si>
    <t>ЕН15-63-2</t>
  </si>
  <si>
    <t>ЕН15-63-3</t>
  </si>
  <si>
    <t>ЕН15-63-5</t>
  </si>
  <si>
    <t>ЕН15-63-5застосовно</t>
  </si>
  <si>
    <t>ЕН15-76-1</t>
  </si>
  <si>
    <t>ЕН15-76-2</t>
  </si>
  <si>
    <t>ЕН15-78-1</t>
  </si>
  <si>
    <t>ЕН15-80-2</t>
  </si>
  <si>
    <t>ЕН15-80-4</t>
  </si>
  <si>
    <t>ЕН15-80-6</t>
  </si>
  <si>
    <t>ЕН22-11-3</t>
  </si>
  <si>
    <t>ЕН22-11-7</t>
  </si>
  <si>
    <t>ЕН22-15-8</t>
  </si>
  <si>
    <t>ЕН22-47-1</t>
  </si>
  <si>
    <t>ЕН22-48-1к=0,4</t>
  </si>
  <si>
    <t>ЕН22-8-5к=0,6</t>
  </si>
  <si>
    <t>ЕН22-8-8к=0,9</t>
  </si>
  <si>
    <t>ЕН26-11-1</t>
  </si>
  <si>
    <t>ЕН26-2-1</t>
  </si>
  <si>
    <t>ЕН26-2-11</t>
  </si>
  <si>
    <t>ЕН26-2-13</t>
  </si>
  <si>
    <t>ЕН26-2-15</t>
  </si>
  <si>
    <t>ЕН26-2-3</t>
  </si>
  <si>
    <t>ЕН26-24-2</t>
  </si>
  <si>
    <t>ЕН26-24-4</t>
  </si>
  <si>
    <t>ЕН26-2-5</t>
  </si>
  <si>
    <t>ЕН26-26-2</t>
  </si>
  <si>
    <t>ЕН26-2-7</t>
  </si>
  <si>
    <t>ЕН26-29-1</t>
  </si>
  <si>
    <t>ЕН26-33-1</t>
  </si>
  <si>
    <t>ЕН27-13-1</t>
  </si>
  <si>
    <t>ЕН27-17-3</t>
  </si>
  <si>
    <t>ЕН27-17-4к=3</t>
  </si>
  <si>
    <t>ЕН27-22-3</t>
  </si>
  <si>
    <t>ЕН27-22-4</t>
  </si>
  <si>
    <t>ЕН27-22-5к=2</t>
  </si>
  <si>
    <t>ЕН27-22-5к=7</t>
  </si>
  <si>
    <t>ЕН27-65-6</t>
  </si>
  <si>
    <t>ЕН27-65-6к=0,8</t>
  </si>
  <si>
    <t>ЕН27-66-4</t>
  </si>
  <si>
    <t>ЕН27-66-5</t>
  </si>
  <si>
    <t>ЕН27-67-2</t>
  </si>
  <si>
    <t>ЕН6-1-1</t>
  </si>
  <si>
    <t>ЕН6-11-10</t>
  </si>
  <si>
    <t>ЕН6-1-13</t>
  </si>
  <si>
    <t>ЕН6-11-7</t>
  </si>
  <si>
    <t>ЕН6-11-8</t>
  </si>
  <si>
    <t>ЕН6-11-9</t>
  </si>
  <si>
    <t>ЕН6-1-1прист</t>
  </si>
  <si>
    <t>ЕН6-1-20</t>
  </si>
  <si>
    <t>ЕН6-13-3</t>
  </si>
  <si>
    <t>ЕН6-18-1</t>
  </si>
  <si>
    <t>ЕН6-22-13</t>
  </si>
  <si>
    <t>ЕН6-22-7</t>
  </si>
  <si>
    <t>ЕН6-33-1</t>
  </si>
  <si>
    <t>ЕН6-33-3</t>
  </si>
  <si>
    <t>ЕН6-33-4</t>
  </si>
  <si>
    <t>ЕН6-9-1</t>
  </si>
  <si>
    <t>ЕН6-9-2к=3</t>
  </si>
  <si>
    <t>ЕН8-11-1</t>
  </si>
  <si>
    <t>ЕН8-20-1</t>
  </si>
  <si>
    <t>ЕН8-2-1</t>
  </si>
  <si>
    <t>ЕН8-2-2</t>
  </si>
  <si>
    <t>ЕН8-27-2</t>
  </si>
  <si>
    <t>ЕН8-3-1</t>
  </si>
  <si>
    <t>ЕН8-3-3</t>
  </si>
  <si>
    <t>ЕН8-3-5</t>
  </si>
  <si>
    <t>ЕН8-36-1</t>
  </si>
  <si>
    <t>ЕН8-3-7</t>
  </si>
  <si>
    <t>ЕН8-4-1</t>
  </si>
  <si>
    <t>ЕН8-5-1</t>
  </si>
  <si>
    <t>ЕН8-5-8</t>
  </si>
  <si>
    <t>ЕН8-5-9</t>
  </si>
  <si>
    <t>ЖР4-131-1</t>
  </si>
  <si>
    <t>К585521-Л001</t>
  </si>
  <si>
    <t>К585521-Л007</t>
  </si>
  <si>
    <t>К585521-Л008</t>
  </si>
  <si>
    <t>К585521-Л032</t>
  </si>
  <si>
    <t>К585521-Л036</t>
  </si>
  <si>
    <t>К585521-Л049</t>
  </si>
  <si>
    <t>К585521-Л052</t>
  </si>
  <si>
    <t>К585521-П003</t>
  </si>
  <si>
    <t>К585521-П009</t>
  </si>
  <si>
    <t>К585521-П014</t>
  </si>
  <si>
    <t>К585521-П019</t>
  </si>
  <si>
    <t>К585521-П022</t>
  </si>
  <si>
    <t>К585521-П034</t>
  </si>
  <si>
    <t>К585521-П042</t>
  </si>
  <si>
    <t>К585521-П106_С1415-8215</t>
  </si>
  <si>
    <t>К585521-П111</t>
  </si>
  <si>
    <t>К585521-П119</t>
  </si>
  <si>
    <t>К585521-П131</t>
  </si>
  <si>
    <t>К585821-Г151_С1415-8298</t>
  </si>
  <si>
    <t>К589111-17</t>
  </si>
  <si>
    <t>К589111-35</t>
  </si>
  <si>
    <t>К589111-44</t>
  </si>
  <si>
    <t>К589111-53</t>
  </si>
  <si>
    <t>К589121-К423</t>
  </si>
  <si>
    <t>К589921-А001</t>
  </si>
  <si>
    <t>К589921-А001(зворотнiматерiали)</t>
  </si>
  <si>
    <t>К589921-А003</t>
  </si>
  <si>
    <t>К589921-А003_С1426-11709</t>
  </si>
  <si>
    <t>М10-668-3</t>
  </si>
  <si>
    <t>М10-898-12пристос.</t>
  </si>
  <si>
    <t>М10-901-8пристос.</t>
  </si>
  <si>
    <t>М10-99-6</t>
  </si>
  <si>
    <t>М11-1-1</t>
  </si>
  <si>
    <t>М11-169-1</t>
  </si>
  <si>
    <t>М11-30-1</t>
  </si>
  <si>
    <t>М11-31-1</t>
  </si>
  <si>
    <t>М11-350-1</t>
  </si>
  <si>
    <t>М11-350-3</t>
  </si>
  <si>
    <t>М12-698-1</t>
  </si>
  <si>
    <t>М12-699-1</t>
  </si>
  <si>
    <t>М12-70-1</t>
  </si>
  <si>
    <t>М12-70-2</t>
  </si>
  <si>
    <t>М12-70-4</t>
  </si>
  <si>
    <t>М12-790-1_в.в._п.13.1.2_к=1,25</t>
  </si>
  <si>
    <t>М8-102-1</t>
  </si>
  <si>
    <t>М8-141-2</t>
  </si>
  <si>
    <t>М8-142-1</t>
  </si>
  <si>
    <t>М8-143-5</t>
  </si>
  <si>
    <t>М8-146-1</t>
  </si>
  <si>
    <t>М8-148-1</t>
  </si>
  <si>
    <t>М8-148-2</t>
  </si>
  <si>
    <t>М8-158-5</t>
  </si>
  <si>
    <t>М8-161-2</t>
  </si>
  <si>
    <t>М8-395-1</t>
  </si>
  <si>
    <t>М8-398-1</t>
  </si>
  <si>
    <t>М8-401-1</t>
  </si>
  <si>
    <t>М8-405-1</t>
  </si>
  <si>
    <t>М8-407-1</t>
  </si>
  <si>
    <t>М8-409-1</t>
  </si>
  <si>
    <t>М8-409-2</t>
  </si>
  <si>
    <t>М8-409-3</t>
  </si>
  <si>
    <t>М8-409-4</t>
  </si>
  <si>
    <t>М8-409-6</t>
  </si>
  <si>
    <t>М8-409-7</t>
  </si>
  <si>
    <t>М8-409-8</t>
  </si>
  <si>
    <t>М8-412-1</t>
  </si>
  <si>
    <t>М8-412-10</t>
  </si>
  <si>
    <t>М8-412-2</t>
  </si>
  <si>
    <t>М8-412-3</t>
  </si>
  <si>
    <t>М8-412-4</t>
  </si>
  <si>
    <t>М8-412-5</t>
  </si>
  <si>
    <t>М8-412-9</t>
  </si>
  <si>
    <t>М8-471-4</t>
  </si>
  <si>
    <t>М8-472-2</t>
  </si>
  <si>
    <t>М8-472-3</t>
  </si>
  <si>
    <t>М8-472-5</t>
  </si>
  <si>
    <t>М8-532-4</t>
  </si>
  <si>
    <t>М8-545-1</t>
  </si>
  <si>
    <t>М8-545-2</t>
  </si>
  <si>
    <t>М8-575-1</t>
  </si>
  <si>
    <t>М8-591-2</t>
  </si>
  <si>
    <t>М8-591-5</t>
  </si>
  <si>
    <t>М8-591-9</t>
  </si>
  <si>
    <t>М8-599-9</t>
  </si>
  <si>
    <t>М8-600-2</t>
  </si>
  <si>
    <t>М8-80-1</t>
  </si>
  <si>
    <t>М8-81-1</t>
  </si>
  <si>
    <t>МС1-1-1к=0,6</t>
  </si>
  <si>
    <t>П1-61-3</t>
  </si>
  <si>
    <t>П1-61-6</t>
  </si>
  <si>
    <t>П1-61-7</t>
  </si>
  <si>
    <t>ПР15-4056</t>
  </si>
  <si>
    <t>ПР15-4064</t>
  </si>
  <si>
    <t>РН12-46-4</t>
  </si>
  <si>
    <t>РН15-16-10</t>
  </si>
  <si>
    <t>РН15-16-11</t>
  </si>
  <si>
    <t>РН15-16-4</t>
  </si>
  <si>
    <t>РН15-16-8</t>
  </si>
  <si>
    <t>РН15-2-4</t>
  </si>
  <si>
    <t>РН15-56-3</t>
  </si>
  <si>
    <t>РН15-58-1</t>
  </si>
  <si>
    <t>РН15-64-1</t>
  </si>
  <si>
    <t>РН16-79-1</t>
  </si>
  <si>
    <t>РН18-2-1</t>
  </si>
  <si>
    <t>РН19-1-2</t>
  </si>
  <si>
    <t>РН20-12-1</t>
  </si>
  <si>
    <t>РН20-12-1к=0,7</t>
  </si>
  <si>
    <t>РН20-12-2</t>
  </si>
  <si>
    <t>РН20-12-2к=0,7</t>
  </si>
  <si>
    <t>РН20-27-1</t>
  </si>
  <si>
    <t>РН20-41-1</t>
  </si>
  <si>
    <t>РН2-13-1</t>
  </si>
  <si>
    <t>РН4-18-1</t>
  </si>
  <si>
    <t>РН6-27-4</t>
  </si>
  <si>
    <t>РН7-2-5</t>
  </si>
  <si>
    <t>РН7-2-8</t>
  </si>
  <si>
    <t>РН8-18-3к=1,5</t>
  </si>
  <si>
    <t>РН8-41-2</t>
  </si>
  <si>
    <t>РН8-44-1</t>
  </si>
  <si>
    <t>РН8-45-1</t>
  </si>
  <si>
    <t>РН8-45-3</t>
  </si>
  <si>
    <t>РН8-45-5к=1,5</t>
  </si>
  <si>
    <t>РН8-45-5к=2</t>
  </si>
  <si>
    <t>С1110-173</t>
  </si>
  <si>
    <t>С1110-175</t>
  </si>
  <si>
    <t>С1110-88</t>
  </si>
  <si>
    <t>С111-1109</t>
  </si>
  <si>
    <t>С111-1-1-2Ю</t>
  </si>
  <si>
    <t>С111-1172</t>
  </si>
  <si>
    <t>С111-1-2-1Н</t>
  </si>
  <si>
    <t>С111-124-2</t>
  </si>
  <si>
    <t>С111-1-3</t>
  </si>
  <si>
    <t>С111-136-3-5Ц</t>
  </si>
  <si>
    <t>С111-136-3Н</t>
  </si>
  <si>
    <t>С111-1399-2</t>
  </si>
  <si>
    <t>С111-1-4</t>
  </si>
  <si>
    <t>С111-1430-1</t>
  </si>
  <si>
    <t>С111-1477-1Н</t>
  </si>
  <si>
    <t>С111-1479-1-24</t>
  </si>
  <si>
    <t>С111-1480-1</t>
  </si>
  <si>
    <t>С111-1480-2</t>
  </si>
  <si>
    <t>С111-150-1</t>
  </si>
  <si>
    <t>С111-1564</t>
  </si>
  <si>
    <t>С111-1-6</t>
  </si>
  <si>
    <t>С111-1624</t>
  </si>
  <si>
    <t>С111-1624-2</t>
  </si>
  <si>
    <t>С111-1626-1</t>
  </si>
  <si>
    <t>С111-1641-1-Э</t>
  </si>
  <si>
    <t>С111-1650-К</t>
  </si>
  <si>
    <t>С1111-65-1-2У</t>
  </si>
  <si>
    <t>С1111-65-Н</t>
  </si>
  <si>
    <t>С111-1673-1</t>
  </si>
  <si>
    <t>С111-1678-1-Я</t>
  </si>
  <si>
    <t>С111-1678-2-Х</t>
  </si>
  <si>
    <t>С111-1683-2-Н</t>
  </si>
  <si>
    <t>С111-1-7</t>
  </si>
  <si>
    <t>С111-1717-1</t>
  </si>
  <si>
    <t>С111-1720</t>
  </si>
  <si>
    <t>С111-1721-11В</t>
  </si>
  <si>
    <t>С111-1721-1Н</t>
  </si>
  <si>
    <t>С111-1747-1</t>
  </si>
  <si>
    <t>С111-1747-2Н</t>
  </si>
  <si>
    <t>С111-1747-3</t>
  </si>
  <si>
    <t>С111-1776-П1</t>
  </si>
  <si>
    <t>С111-1780</t>
  </si>
  <si>
    <t>С111-1784-1Н</t>
  </si>
  <si>
    <t>С111-1789</t>
  </si>
  <si>
    <t>С111-1797</t>
  </si>
  <si>
    <t>С111-1797-10Н</t>
  </si>
  <si>
    <t>С111-1797-12Н</t>
  </si>
  <si>
    <t>С111-1797-13Н</t>
  </si>
  <si>
    <t>С111-1797-14Н</t>
  </si>
  <si>
    <t>С111-1797-15Н</t>
  </si>
  <si>
    <t>С111-1797-19Н</t>
  </si>
  <si>
    <t>С111-1797-1Н</t>
  </si>
  <si>
    <t>С111-1801-1</t>
  </si>
  <si>
    <t>С111-1801-1Н</t>
  </si>
  <si>
    <t>С111-1801-2</t>
  </si>
  <si>
    <t>С111-1801-3</t>
  </si>
  <si>
    <t>С111-1801-4</t>
  </si>
  <si>
    <t>С111-1801-Н</t>
  </si>
  <si>
    <t>С111-1802-1</t>
  </si>
  <si>
    <t>С111-1802-12Н</t>
  </si>
  <si>
    <t>С111-1802-3Н</t>
  </si>
  <si>
    <t>С111-1802-4Н</t>
  </si>
  <si>
    <t>С111-1803-1</t>
  </si>
  <si>
    <t>С111-1803-1Н</t>
  </si>
  <si>
    <t>С111-1804</t>
  </si>
  <si>
    <t>С111-1807-10-Р</t>
  </si>
  <si>
    <t>С111-1807-11-С</t>
  </si>
  <si>
    <t>С111-1807-1-5Ю</t>
  </si>
  <si>
    <t>С111-1807-1Н</t>
  </si>
  <si>
    <t>С111-1807-2Н</t>
  </si>
  <si>
    <t>С111-1807-2-Н</t>
  </si>
  <si>
    <t>С111-1807-3-Ф</t>
  </si>
  <si>
    <t>С111-1807-4-2В</t>
  </si>
  <si>
    <t>С111-1807-5-2Д</t>
  </si>
  <si>
    <t>С111-1807-6-О</t>
  </si>
  <si>
    <t>С111-1807-7</t>
  </si>
  <si>
    <t>С111-1807-9-П</t>
  </si>
  <si>
    <t>С111-1809-1-2И</t>
  </si>
  <si>
    <t>С111-1810</t>
  </si>
  <si>
    <t>С111-1812-1</t>
  </si>
  <si>
    <t>С111-1814</t>
  </si>
  <si>
    <t>С111-1816</t>
  </si>
  <si>
    <t>С111-1816-2</t>
  </si>
  <si>
    <t>С111-1831-1-2К</t>
  </si>
  <si>
    <t>С111-1835</t>
  </si>
  <si>
    <t>С111-1837</t>
  </si>
  <si>
    <t>С111-1838</t>
  </si>
  <si>
    <t>С111-1846-8Н</t>
  </si>
  <si>
    <t>С111-1846-9Н</t>
  </si>
  <si>
    <t>С111-1848</t>
  </si>
  <si>
    <t>С111-1849-1-Н1</t>
  </si>
  <si>
    <t>С111-1849-1-О</t>
  </si>
  <si>
    <t>С111-1849-2</t>
  </si>
  <si>
    <t>С111-1850-1</t>
  </si>
  <si>
    <t>С111-1850-1-Н</t>
  </si>
  <si>
    <t>С111-1850-2</t>
  </si>
  <si>
    <t>С111-1853-6</t>
  </si>
  <si>
    <t>С111-1861-1</t>
  </si>
  <si>
    <t>С111-1861-2</t>
  </si>
  <si>
    <t>С111-1896-1</t>
  </si>
  <si>
    <t>С111-1896-11</t>
  </si>
  <si>
    <t>С111-1904-10Н</t>
  </si>
  <si>
    <t>С111-1904-11</t>
  </si>
  <si>
    <t>С111-1904-17Н</t>
  </si>
  <si>
    <t>С111-1904-18</t>
  </si>
  <si>
    <t>С111-1904-1Н</t>
  </si>
  <si>
    <t>С111-1904-1-Т</t>
  </si>
  <si>
    <t>С111-1904-9Н</t>
  </si>
  <si>
    <t>С111-2000-1</t>
  </si>
  <si>
    <t>С111-2000-5К</t>
  </si>
  <si>
    <t>С111-2000-7</t>
  </si>
  <si>
    <t>С111-2000-9</t>
  </si>
  <si>
    <t>С111-2001-1</t>
  </si>
  <si>
    <t>С111-2001-2</t>
  </si>
  <si>
    <t>С111-2001-7Н</t>
  </si>
  <si>
    <t>С111-2002-1</t>
  </si>
  <si>
    <t>С111-2005-2</t>
  </si>
  <si>
    <t>С111-2007-2</t>
  </si>
  <si>
    <t>С111-2008-1</t>
  </si>
  <si>
    <t>С111-2011-7Н</t>
  </si>
  <si>
    <t>С111-2012-2Н</t>
  </si>
  <si>
    <t>С111-2012-3Н</t>
  </si>
  <si>
    <t>С111-2014-6</t>
  </si>
  <si>
    <t>С111-2015-Н</t>
  </si>
  <si>
    <t>С111-2017-5</t>
  </si>
  <si>
    <t>С111-203-2-Ц</t>
  </si>
  <si>
    <t>С111-213-2</t>
  </si>
  <si>
    <t>С111-215</t>
  </si>
  <si>
    <t>С111-215-1-К</t>
  </si>
  <si>
    <t>С111-233-3</t>
  </si>
  <si>
    <t>С111-233-4</t>
  </si>
  <si>
    <t>С111-233-5</t>
  </si>
  <si>
    <t>С111-258</t>
  </si>
  <si>
    <t>С111-284</t>
  </si>
  <si>
    <t>С111-287</t>
  </si>
  <si>
    <t>С1113-246</t>
  </si>
  <si>
    <t>С111-327-Н</t>
  </si>
  <si>
    <t>С1113-287-4</t>
  </si>
  <si>
    <t>С111-329-12</t>
  </si>
  <si>
    <t>С1113-299</t>
  </si>
  <si>
    <t>С111-334</t>
  </si>
  <si>
    <t>С111-39</t>
  </si>
  <si>
    <t>С111-540-1</t>
  </si>
  <si>
    <t>С111-548-Н</t>
  </si>
  <si>
    <t>С111-562</t>
  </si>
  <si>
    <t>С111-563</t>
  </si>
  <si>
    <t>С111-594</t>
  </si>
  <si>
    <t>С111-649</t>
  </si>
  <si>
    <t>С111-696-1-2Б</t>
  </si>
  <si>
    <t>С111-701-2</t>
  </si>
  <si>
    <t>С111-701-3</t>
  </si>
  <si>
    <t>С111-72-2</t>
  </si>
  <si>
    <t>С111-741</t>
  </si>
  <si>
    <t>С111-825</t>
  </si>
  <si>
    <t>С111-826</t>
  </si>
  <si>
    <t>С111-838-1-Ю</t>
  </si>
  <si>
    <t>С111-857</t>
  </si>
  <si>
    <t>С111-857-1</t>
  </si>
  <si>
    <t>С111-858</t>
  </si>
  <si>
    <t>С111-859</t>
  </si>
  <si>
    <t>С111-861-1-15</t>
  </si>
  <si>
    <t>С111-887</t>
  </si>
  <si>
    <t>С111-89-1</t>
  </si>
  <si>
    <t>С111-92-1</t>
  </si>
  <si>
    <t>С111-956</t>
  </si>
  <si>
    <t>С111-960</t>
  </si>
  <si>
    <t>С112-24</t>
  </si>
  <si>
    <t>С112-285</t>
  </si>
  <si>
    <t>С112-52</t>
  </si>
  <si>
    <t>С113-101-1</t>
  </si>
  <si>
    <t>С113-108</t>
  </si>
  <si>
    <t>С113-1088-11В</t>
  </si>
  <si>
    <t>С113-1103-11Д</t>
  </si>
  <si>
    <t>С113-1280</t>
  </si>
  <si>
    <t>С113-1282</t>
  </si>
  <si>
    <t>С113-1283</t>
  </si>
  <si>
    <t>С113-129</t>
  </si>
  <si>
    <t>С113-1293</t>
  </si>
  <si>
    <t>С113-130</t>
  </si>
  <si>
    <t>С113-1307</t>
  </si>
  <si>
    <t>С113-131</t>
  </si>
  <si>
    <t>С113-1313</t>
  </si>
  <si>
    <t>С113-1320</t>
  </si>
  <si>
    <t>С113-132-1</t>
  </si>
  <si>
    <t>С113-134</t>
  </si>
  <si>
    <t>С113-1345</t>
  </si>
  <si>
    <t>С113-1354</t>
  </si>
  <si>
    <t>С113-1356</t>
  </si>
  <si>
    <t>С113-1360</t>
  </si>
  <si>
    <t>С113-1373</t>
  </si>
  <si>
    <t>С113-138</t>
  </si>
  <si>
    <t>С113-1380</t>
  </si>
  <si>
    <t>С113-1386</t>
  </si>
  <si>
    <t>С113-14</t>
  </si>
  <si>
    <t>С113-144</t>
  </si>
  <si>
    <t>С113-1451</t>
  </si>
  <si>
    <t>С113-1453-2</t>
  </si>
  <si>
    <t>С113-1455</t>
  </si>
  <si>
    <t>С113-1457</t>
  </si>
  <si>
    <t>С113-1460-1</t>
  </si>
  <si>
    <t>С113-1462</t>
  </si>
  <si>
    <t>С113-1462-1</t>
  </si>
  <si>
    <t>С113-1463</t>
  </si>
  <si>
    <t>С113-1464</t>
  </si>
  <si>
    <t>С113-1464-1</t>
  </si>
  <si>
    <t>С113-1466</t>
  </si>
  <si>
    <t>С113-1466-1</t>
  </si>
  <si>
    <t>С113-1468</t>
  </si>
  <si>
    <t>С113-1468-1</t>
  </si>
  <si>
    <t>С113-1470</t>
  </si>
  <si>
    <t>С113-1474</t>
  </si>
  <si>
    <t>С113-1489</t>
  </si>
  <si>
    <t>С113-1491</t>
  </si>
  <si>
    <t>С113-1493</t>
  </si>
  <si>
    <t>С113-154</t>
  </si>
  <si>
    <t>С113-155</t>
  </si>
  <si>
    <t>С113-1559</t>
  </si>
  <si>
    <t>С113-160</t>
  </si>
  <si>
    <t>С113-167</t>
  </si>
  <si>
    <t>С113-1680</t>
  </si>
  <si>
    <t>С113-1681</t>
  </si>
  <si>
    <t>С113-1683</t>
  </si>
  <si>
    <t>С113-1684</t>
  </si>
  <si>
    <t>С113-1697</t>
  </si>
  <si>
    <t>С113-1699</t>
  </si>
  <si>
    <t>С113-170</t>
  </si>
  <si>
    <t>С113-1700</t>
  </si>
  <si>
    <t>С113-1702</t>
  </si>
  <si>
    <t>С113-1794</t>
  </si>
  <si>
    <t>С113-187</t>
  </si>
  <si>
    <t>С113-1878</t>
  </si>
  <si>
    <t>С113-1879</t>
  </si>
  <si>
    <t>С113-1881</t>
  </si>
  <si>
    <t>С113-1882</t>
  </si>
  <si>
    <t>С113-1885</t>
  </si>
  <si>
    <t>С113-1897</t>
  </si>
  <si>
    <t>С113-1898</t>
  </si>
  <si>
    <t>С113-1899</t>
  </si>
  <si>
    <t>С113-1900</t>
  </si>
  <si>
    <t>С113-1901</t>
  </si>
  <si>
    <t>С113-196</t>
  </si>
  <si>
    <t>С113-201</t>
  </si>
  <si>
    <t>С113-203</t>
  </si>
  <si>
    <t>С113-2088-1-2М</t>
  </si>
  <si>
    <t>С113-209</t>
  </si>
  <si>
    <t>С113-2096</t>
  </si>
  <si>
    <t>С113-2122</t>
  </si>
  <si>
    <t>С113-2122-1Н</t>
  </si>
  <si>
    <t>С113-2122-2Н</t>
  </si>
  <si>
    <t>С113-2122-Н</t>
  </si>
  <si>
    <t>С113-2126-1Н</t>
  </si>
  <si>
    <t>С113-2127-1Н</t>
  </si>
  <si>
    <t>С113-2128-1Н</t>
  </si>
  <si>
    <t>С113-2128-2Н</t>
  </si>
  <si>
    <t>С113-2128-3Н</t>
  </si>
  <si>
    <t>С113-2159</t>
  </si>
  <si>
    <t>С113-2202</t>
  </si>
  <si>
    <t>С113-2226</t>
  </si>
  <si>
    <t>С113-2227</t>
  </si>
  <si>
    <t>С113-2235</t>
  </si>
  <si>
    <t>С113-2236</t>
  </si>
  <si>
    <t>С113-2243</t>
  </si>
  <si>
    <t>С113-2244</t>
  </si>
  <si>
    <t>С113-2256</t>
  </si>
  <si>
    <t>С113-2257</t>
  </si>
  <si>
    <t>С113-2263</t>
  </si>
  <si>
    <t>С113-2266</t>
  </si>
  <si>
    <t>С113-2268</t>
  </si>
  <si>
    <t>С113-2280</t>
  </si>
  <si>
    <t>С113-2291</t>
  </si>
  <si>
    <t>С113-2293</t>
  </si>
  <si>
    <t>С113-2294</t>
  </si>
  <si>
    <t>С113-2295</t>
  </si>
  <si>
    <t>С113-2301</t>
  </si>
  <si>
    <t>С113-2302</t>
  </si>
  <si>
    <t>С113-2302-1</t>
  </si>
  <si>
    <t>С113-469</t>
  </si>
  <si>
    <t>С113-634</t>
  </si>
  <si>
    <t>С113-753</t>
  </si>
  <si>
    <t>С113-754</t>
  </si>
  <si>
    <t>С113-948-2</t>
  </si>
  <si>
    <t>С113-993-11Д</t>
  </si>
  <si>
    <t>С113-996</t>
  </si>
  <si>
    <t>С113-997</t>
  </si>
  <si>
    <t>С113-999-11В</t>
  </si>
  <si>
    <t>С113-999-11Г</t>
  </si>
  <si>
    <t>С114-21-У-1</t>
  </si>
  <si>
    <t>С114-269-1</t>
  </si>
  <si>
    <t>С114-35-13</t>
  </si>
  <si>
    <t>С114-35-14</t>
  </si>
  <si>
    <t>С114-35-1-О</t>
  </si>
  <si>
    <t>С114-35-9</t>
  </si>
  <si>
    <t>С114-48-1</t>
  </si>
  <si>
    <t>С114-48-2</t>
  </si>
  <si>
    <t>С114-49-У</t>
  </si>
  <si>
    <t>С114-4-У</t>
  </si>
  <si>
    <t>С114-4-У-1</t>
  </si>
  <si>
    <t>С114-4-У-2</t>
  </si>
  <si>
    <t>С114-4-У-3</t>
  </si>
  <si>
    <t>С114-4-У-4</t>
  </si>
  <si>
    <t>С114-4-У-5</t>
  </si>
  <si>
    <t>С114-4-У-6</t>
  </si>
  <si>
    <t>С114-97-Н</t>
  </si>
  <si>
    <t>С114-98-Л</t>
  </si>
  <si>
    <t>С115-129</t>
  </si>
  <si>
    <t>С121-158-1</t>
  </si>
  <si>
    <t>С121-158-2</t>
  </si>
  <si>
    <t>С121-158-3</t>
  </si>
  <si>
    <t>С121-158-4</t>
  </si>
  <si>
    <t>С121-158-5</t>
  </si>
  <si>
    <t>С121-160-16Н</t>
  </si>
  <si>
    <t>С121-241</t>
  </si>
  <si>
    <t>С121-266-29-5</t>
  </si>
  <si>
    <t>С121-545</t>
  </si>
  <si>
    <t>С121-589</t>
  </si>
  <si>
    <t>С121-647</t>
  </si>
  <si>
    <t>С121-649</t>
  </si>
  <si>
    <t>С121-650</t>
  </si>
  <si>
    <t>С121-755-3</t>
  </si>
  <si>
    <t>С121-760</t>
  </si>
  <si>
    <t>С121-761</t>
  </si>
  <si>
    <t>С121-762</t>
  </si>
  <si>
    <t>С121-781-1</t>
  </si>
  <si>
    <t>С121-782</t>
  </si>
  <si>
    <t>С121-783-10Н</t>
  </si>
  <si>
    <t>С121-783-11Н</t>
  </si>
  <si>
    <t>С121-783-12Н</t>
  </si>
  <si>
    <t>С121-783-2Н1</t>
  </si>
  <si>
    <t>С121-783-7Н</t>
  </si>
  <si>
    <t>С121-783-8Н</t>
  </si>
  <si>
    <t>С121-783-9Н</t>
  </si>
  <si>
    <t>С121-784</t>
  </si>
  <si>
    <t>С121-784-1-Ц</t>
  </si>
  <si>
    <t>С121-784-2Н</t>
  </si>
  <si>
    <t>С121-784-2-У</t>
  </si>
  <si>
    <t>С121-784-6</t>
  </si>
  <si>
    <t>С121-784-Н1</t>
  </si>
  <si>
    <t>С121-784-Н2</t>
  </si>
  <si>
    <t>С121-792-1</t>
  </si>
  <si>
    <t>С123-198-Н1</t>
  </si>
  <si>
    <t>С123-198-Н2</t>
  </si>
  <si>
    <t>С123-198-Н3</t>
  </si>
  <si>
    <t>С123-198-Н4</t>
  </si>
  <si>
    <t>С123-198-Н5</t>
  </si>
  <si>
    <t>С123-199-1Н</t>
  </si>
  <si>
    <t>С123-199-1Н1</t>
  </si>
  <si>
    <t>С123-199-Н</t>
  </si>
  <si>
    <t>С123-199-Н1</t>
  </si>
  <si>
    <t>С123-199-Н2</t>
  </si>
  <si>
    <t>С123-199-Н3</t>
  </si>
  <si>
    <t>С123-200-Н</t>
  </si>
  <si>
    <t>С123-205-Н</t>
  </si>
  <si>
    <t>С123-208-2Н</t>
  </si>
  <si>
    <t>С123-222-1Н</t>
  </si>
  <si>
    <t>С123-237-1</t>
  </si>
  <si>
    <t>С123-346</t>
  </si>
  <si>
    <t>С123-346-1</t>
  </si>
  <si>
    <t>С123-360</t>
  </si>
  <si>
    <t>С123-393-1</t>
  </si>
  <si>
    <t>С123-467</t>
  </si>
  <si>
    <t>С123-9-1</t>
  </si>
  <si>
    <t>С123-9-2</t>
  </si>
  <si>
    <t>С123-9-3</t>
  </si>
  <si>
    <t>С123-9-4</t>
  </si>
  <si>
    <t>С123-9-5</t>
  </si>
  <si>
    <t>С123-9-6</t>
  </si>
  <si>
    <t>С124-1</t>
  </si>
  <si>
    <t>С124-19</t>
  </si>
  <si>
    <t>С124-2</t>
  </si>
  <si>
    <t>С124-20</t>
  </si>
  <si>
    <t>С124-21</t>
  </si>
  <si>
    <t>С124-22</t>
  </si>
  <si>
    <t>С124-23</t>
  </si>
  <si>
    <t>С124-38</t>
  </si>
  <si>
    <t>С124-64</t>
  </si>
  <si>
    <t>С126-1144-1Н</t>
  </si>
  <si>
    <t>С126-1207-2</t>
  </si>
  <si>
    <t>С126-1211-2-Т</t>
  </si>
  <si>
    <t>С126-1294-1</t>
  </si>
  <si>
    <t>С126-1300-1</t>
  </si>
  <si>
    <t>С126-1300-1-В2</t>
  </si>
  <si>
    <t>С126-1300-2</t>
  </si>
  <si>
    <t>С126-1300-7-2О</t>
  </si>
  <si>
    <t>С126-1300-8</t>
  </si>
  <si>
    <t>С126-907-1Н</t>
  </si>
  <si>
    <t>С126-917-1</t>
  </si>
  <si>
    <t>С126-944-1</t>
  </si>
  <si>
    <t>С130-10</t>
  </si>
  <si>
    <t>С130-1097-2</t>
  </si>
  <si>
    <t>С130-1098-1-2П</t>
  </si>
  <si>
    <t>С130-1124</t>
  </si>
  <si>
    <t>С130-1125</t>
  </si>
  <si>
    <t>С130-1126</t>
  </si>
  <si>
    <t>С130-1127</t>
  </si>
  <si>
    <t>С130-1128</t>
  </si>
  <si>
    <t>С130-1129</t>
  </si>
  <si>
    <t>С130-1156</t>
  </si>
  <si>
    <t>С130-1156-10Н</t>
  </si>
  <si>
    <t>С130-1156-1-2Р</t>
  </si>
  <si>
    <t>С130-1156-1Н</t>
  </si>
  <si>
    <t>С130-1156-2Н</t>
  </si>
  <si>
    <t>С130-1156-3Н</t>
  </si>
  <si>
    <t>С130-1156-4Н</t>
  </si>
  <si>
    <t>С130-1156-5Н</t>
  </si>
  <si>
    <t>С130-1156-6Н</t>
  </si>
  <si>
    <t>С130-1156-7Н</t>
  </si>
  <si>
    <t>С130-1156-8Н</t>
  </si>
  <si>
    <t>С130-1156-9Н</t>
  </si>
  <si>
    <t>С130-1190-2</t>
  </si>
  <si>
    <t>С130-1200-11</t>
  </si>
  <si>
    <t>С130-296</t>
  </si>
  <si>
    <t>С130-297</t>
  </si>
  <si>
    <t>С130-303</t>
  </si>
  <si>
    <t>С130-38</t>
  </si>
  <si>
    <t>С130-465</t>
  </si>
  <si>
    <t>С130-558-3-У</t>
  </si>
  <si>
    <t>С130-559-1-Х</t>
  </si>
  <si>
    <t>С130-598-Н35</t>
  </si>
  <si>
    <t>С130-598-Н36</t>
  </si>
  <si>
    <t>С130-608</t>
  </si>
  <si>
    <t>С130-62-2</t>
  </si>
  <si>
    <t>С130-624</t>
  </si>
  <si>
    <t>С130-627</t>
  </si>
  <si>
    <t>С130-648</t>
  </si>
  <si>
    <t>С130-908</t>
  </si>
  <si>
    <t>С130-929-1</t>
  </si>
  <si>
    <t>С130-929-2</t>
  </si>
  <si>
    <t>С130-966</t>
  </si>
  <si>
    <t>С130-969</t>
  </si>
  <si>
    <t>С130-971</t>
  </si>
  <si>
    <t>С1415-8208-1</t>
  </si>
  <si>
    <t>С1415-8208-2</t>
  </si>
  <si>
    <t>С1416-8525(зворотнiматерiали)</t>
  </si>
  <si>
    <t>С1418-8851-1</t>
  </si>
  <si>
    <t>С1421-10634</t>
  </si>
  <si>
    <t>С1421-9656-4</t>
  </si>
  <si>
    <t>С1421-9699-2Н</t>
  </si>
  <si>
    <t>С1421-9837</t>
  </si>
  <si>
    <t>С1421-9848</t>
  </si>
  <si>
    <t>С1422-10936</t>
  </si>
  <si>
    <t>С1422-11094</t>
  </si>
  <si>
    <t>С1424-11598</t>
  </si>
  <si>
    <t>С1424-11600</t>
  </si>
  <si>
    <t>С1424-11619</t>
  </si>
  <si>
    <t>С1424-11620</t>
  </si>
  <si>
    <t>С1424-11634</t>
  </si>
  <si>
    <t>С1425-11682</t>
  </si>
  <si>
    <t>С1425-11685</t>
  </si>
  <si>
    <t>С1425-11685-3</t>
  </si>
  <si>
    <t>С1426-11789</t>
  </si>
  <si>
    <t>С1427-11804</t>
  </si>
  <si>
    <t>С1428-11867</t>
  </si>
  <si>
    <t>С1512-1</t>
  </si>
  <si>
    <t>С152-150-1</t>
  </si>
  <si>
    <t>С1523-2-Н</t>
  </si>
  <si>
    <t>С1530-1-2</t>
  </si>
  <si>
    <t>С1530-1-3</t>
  </si>
  <si>
    <t>С1530-1-5</t>
  </si>
  <si>
    <t>С1530-150</t>
  </si>
  <si>
    <t>С1530-151</t>
  </si>
  <si>
    <t>С1530-152</t>
  </si>
  <si>
    <t>С1530-154</t>
  </si>
  <si>
    <t>С1530-157</t>
  </si>
  <si>
    <t>С1530-158</t>
  </si>
  <si>
    <t>С1530-175</t>
  </si>
  <si>
    <t>С1530-41</t>
  </si>
  <si>
    <t>С1530-43</t>
  </si>
  <si>
    <t>С1530-45</t>
  </si>
  <si>
    <t>С1530-69</t>
  </si>
  <si>
    <t>С1532-31</t>
  </si>
  <si>
    <t>С1533-12</t>
  </si>
  <si>
    <t>С1534-12</t>
  </si>
  <si>
    <t>С1534-15</t>
  </si>
  <si>
    <t>С1534-154</t>
  </si>
  <si>
    <t>С1534-241</t>
  </si>
  <si>
    <t>С1534-243</t>
  </si>
  <si>
    <t>С1534-256</t>
  </si>
  <si>
    <t>С1534-260</t>
  </si>
  <si>
    <t>С1534-264</t>
  </si>
  <si>
    <t>С1534-267</t>
  </si>
  <si>
    <t>С1534-367</t>
  </si>
  <si>
    <t>С1534-373</t>
  </si>
  <si>
    <t>С1536-28</t>
  </si>
  <si>
    <t>С1541-63-2</t>
  </si>
  <si>
    <t>С1545-104(зворотнiматерiали)</t>
  </si>
  <si>
    <t>С1545-135</t>
  </si>
  <si>
    <t>С1545-13-7-1Ж</t>
  </si>
  <si>
    <t>С1545-249</t>
  </si>
  <si>
    <t>С1545-260-11</t>
  </si>
  <si>
    <t>С1545-265-1-2Ф</t>
  </si>
  <si>
    <t>С1545-265-2</t>
  </si>
  <si>
    <t>С1545-265-3</t>
  </si>
  <si>
    <t>С1545-265-4</t>
  </si>
  <si>
    <t>С1545-295-2</t>
  </si>
  <si>
    <t>С1545-32-1-Ш</t>
  </si>
  <si>
    <t>С1545-42-1-И</t>
  </si>
  <si>
    <t>С1545-42-1-М</t>
  </si>
  <si>
    <t>С1545-42-1Н</t>
  </si>
  <si>
    <t>С1545-42-2Н</t>
  </si>
  <si>
    <t>С1545-42-3Н</t>
  </si>
  <si>
    <t>С1545-42-4Н</t>
  </si>
  <si>
    <t>С1545-42-5Н</t>
  </si>
  <si>
    <t>С1545-44</t>
  </si>
  <si>
    <t>С1545-47</t>
  </si>
  <si>
    <t>С1545-48</t>
  </si>
  <si>
    <t>С1545-50</t>
  </si>
  <si>
    <t>С1545-8</t>
  </si>
  <si>
    <t>С1545-89-1Н</t>
  </si>
  <si>
    <t>С1545-89-26</t>
  </si>
  <si>
    <t>С1545-89-27</t>
  </si>
  <si>
    <t>С1545-89-28</t>
  </si>
  <si>
    <t>С1545-89-29</t>
  </si>
  <si>
    <t>С1545-89-2-Щ</t>
  </si>
  <si>
    <t>С1545-90</t>
  </si>
  <si>
    <t>С1545-96-1</t>
  </si>
  <si>
    <t>С1546-56</t>
  </si>
  <si>
    <t>С1547-1-1</t>
  </si>
  <si>
    <t>С1547-31</t>
  </si>
  <si>
    <t>С1547-4</t>
  </si>
  <si>
    <t>С1555-106</t>
  </si>
  <si>
    <t>С157-262</t>
  </si>
  <si>
    <t>С157-406(зворотнiматерiали)</t>
  </si>
  <si>
    <t>С1630-107-1</t>
  </si>
  <si>
    <t>С1630-114</t>
  </si>
  <si>
    <t>С1630-122</t>
  </si>
  <si>
    <t>С1630-1256-1</t>
  </si>
  <si>
    <t>С1630-130</t>
  </si>
  <si>
    <t>С1630-1404</t>
  </si>
  <si>
    <t>С1630-1412</t>
  </si>
  <si>
    <t>С1630-1413</t>
  </si>
  <si>
    <t>С1630-1432</t>
  </si>
  <si>
    <t>С1630-1433</t>
  </si>
  <si>
    <t>С1630-1531</t>
  </si>
  <si>
    <t>С1630-1614</t>
  </si>
  <si>
    <t>С1630-163</t>
  </si>
  <si>
    <t>С1630-1776</t>
  </si>
  <si>
    <t>С1630-2009</t>
  </si>
  <si>
    <t>С1630-2019</t>
  </si>
  <si>
    <t>С1630-218</t>
  </si>
  <si>
    <t>С1630-451</t>
  </si>
  <si>
    <t>С1630-452</t>
  </si>
  <si>
    <t>С1630-453</t>
  </si>
  <si>
    <t>С1630-454</t>
  </si>
  <si>
    <t>С1630-456</t>
  </si>
  <si>
    <t>С1630-461</t>
  </si>
  <si>
    <t>С1630-465</t>
  </si>
  <si>
    <t>С1630-522</t>
  </si>
  <si>
    <t>С1630-536</t>
  </si>
  <si>
    <t>С1630-538</t>
  </si>
  <si>
    <t>С1630-539</t>
  </si>
  <si>
    <t>С1630-541</t>
  </si>
  <si>
    <t>С1630-543</t>
  </si>
  <si>
    <t>С1630-633</t>
  </si>
  <si>
    <t>С1630-644</t>
  </si>
  <si>
    <t>С1630-65</t>
  </si>
  <si>
    <t>С1630-669</t>
  </si>
  <si>
    <t>С1630-670</t>
  </si>
  <si>
    <t>С1630-671</t>
  </si>
  <si>
    <t>С1630-673</t>
  </si>
  <si>
    <t>С1630-69</t>
  </si>
  <si>
    <t>С1630-725-1</t>
  </si>
  <si>
    <t>С1630-85-У</t>
  </si>
  <si>
    <t>С1630-973</t>
  </si>
  <si>
    <t>С1632-80-Н</t>
  </si>
  <si>
    <t>С1633-61-Н</t>
  </si>
  <si>
    <t>С311-30</t>
  </si>
  <si>
    <t>С311-30-М</t>
  </si>
  <si>
    <t>ХБ2-1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</si>
</sst>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 ;[Red]\-#,##0.00\ 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1" xfId="0" applyFont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164" fontId="0" fillId="4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</cellXfs>
  <cellStyles count="1">
    <cellStyle name="Обычный" xfId="0" builtinId="0"/>
  </cellStyles>
  <dxfs count="2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ythonProject1\stroyinvest_parsing\Zap_bas\Smeta\result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"/>
      <sheetName val="Лист2"/>
    </sheetNames>
    <sheetDataSet>
      <sheetData sheetId="0"/>
      <sheetData sheetId="1">
        <row r="3">
          <cell r="B3" t="str">
            <v>Е1-13-5</v>
          </cell>
          <cell r="C3" t="str">
            <v>Розроблення ґрунту у вiдвал екскаваторами
"драглайн" або "зворотна лопата" з ковшом
мiсткiстю 0,25 м3, група ґрунтiв 2</v>
          </cell>
          <cell r="D3" t="str">
            <v>1000м3</v>
          </cell>
          <cell r="E3">
            <v>1.84E-2</v>
          </cell>
          <cell r="F3">
            <v>89242.51</v>
          </cell>
          <cell r="G3">
            <v>1642.06</v>
          </cell>
        </row>
        <row r="4">
          <cell r="B4" t="str">
            <v>Е1-164-2</v>
          </cell>
          <cell r="C4" t="str">
            <v>Розробка ґрунту вручну в траншеях
глибиною до 2 м без крiплень з укосами,
група ґрунтiв 2</v>
          </cell>
          <cell r="D4" t="str">
            <v>100м3</v>
          </cell>
          <cell r="E4">
            <v>3.6000000000000004E-2</v>
          </cell>
          <cell r="F4">
            <v>14569.17</v>
          </cell>
          <cell r="G4">
            <v>524.49</v>
          </cell>
        </row>
        <row r="5">
          <cell r="B5" t="str">
            <v>Е1-27-2</v>
          </cell>
          <cell r="C5" t="str">
            <v>Засипка траншей i котлованiв
бульдозерами потужнiстю 59 кВт [80 к.с.]
з перемiщенням ґрунту до 5 м, група
ґрунтiв 2</v>
          </cell>
          <cell r="D5" t="str">
            <v>1000м3</v>
          </cell>
          <cell r="E5">
            <v>2.7E-2</v>
          </cell>
          <cell r="F5">
            <v>4779.38</v>
          </cell>
          <cell r="G5">
            <v>129.04</v>
          </cell>
        </row>
        <row r="6">
          <cell r="B6" t="str">
            <v>Е1-134-1</v>
          </cell>
          <cell r="C6" t="str">
            <v>Ущiльнення ґрунту пневматичними
трамбiвками, група ґрунтiв 1, 2</v>
          </cell>
          <cell r="D6" t="str">
            <v>100м3</v>
          </cell>
          <cell r="E6">
            <v>0.27</v>
          </cell>
          <cell r="F6">
            <v>2440.91</v>
          </cell>
          <cell r="G6">
            <v>659.05</v>
          </cell>
        </row>
        <row r="7">
          <cell r="B7" t="str">
            <v>ЕН22-8-5к=0,6</v>
          </cell>
          <cell r="C7" t="str">
            <v>Демонтаж сталевих водопровiдних труб,
дiаметр труб 150 мм</v>
          </cell>
          <cell r="D7" t="str">
            <v>1000м</v>
          </cell>
          <cell r="E7">
            <v>3.6000000000000004E-2</v>
          </cell>
          <cell r="F7">
            <v>21589.5</v>
          </cell>
          <cell r="G7">
            <v>777.22</v>
          </cell>
        </row>
        <row r="8">
          <cell r="B8" t="str">
            <v>С1545-104(зворотнiматерiали)</v>
          </cell>
          <cell r="C8" t="str">
            <v>Брухт металевий
(зворотнi матерiали)</v>
          </cell>
          <cell r="D8" t="str">
            <v>т</v>
          </cell>
          <cell r="E8">
            <v>0.82</v>
          </cell>
          <cell r="F8" t="str">
            <v xml:space="preserve">   -   </v>
          </cell>
          <cell r="G8" t="str">
            <v xml:space="preserve">   -   </v>
          </cell>
        </row>
        <row r="9">
          <cell r="B9" t="str">
            <v>РН20-12-1</v>
          </cell>
          <cell r="C9" t="str">
            <v>Монтаж дрiбних металоконструкцiй вагою
до 0,1 т (заглушки зі сталевого листа
6х200х200 2шт)</v>
          </cell>
          <cell r="D9" t="str">
            <v>1т</v>
          </cell>
          <cell r="E9">
            <v>4.0000000000000001E-3</v>
          </cell>
          <cell r="F9">
            <v>7845.06</v>
          </cell>
          <cell r="G9">
            <v>31.38</v>
          </cell>
        </row>
        <row r="10">
          <cell r="B10" t="str">
            <v>С111-1804</v>
          </cell>
          <cell r="C10" t="str">
            <v>Сталь листова</v>
          </cell>
          <cell r="D10" t="str">
            <v>т</v>
          </cell>
          <cell r="E10">
            <v>4.0000000000000001E-3</v>
          </cell>
          <cell r="F10">
            <v>26536.13</v>
          </cell>
          <cell r="G10">
            <v>106.14</v>
          </cell>
        </row>
        <row r="11">
          <cell r="B11" t="str">
            <v>РН20-41-1</v>
          </cell>
          <cell r="C11" t="str">
            <v>Навантаження сміття екскаваторами на
автомобілі-самоскиди, місткість ковша
екскаватора 0,25 м3.</v>
          </cell>
          <cell r="D11" t="str">
            <v>100 т</v>
          </cell>
          <cell r="E11">
            <v>9.9000000000000008E-3</v>
          </cell>
          <cell r="F11">
            <v>7042.6</v>
          </cell>
          <cell r="G11">
            <v>69.72</v>
          </cell>
        </row>
        <row r="12">
          <cell r="B12" t="str">
            <v>С311-30-М</v>
          </cell>
          <cell r="C12" t="str">
            <v>Перевезення сміття до 30 км</v>
          </cell>
          <cell r="D12" t="str">
            <v>т</v>
          </cell>
          <cell r="E12">
            <v>0.99</v>
          </cell>
          <cell r="F12">
            <v>195</v>
          </cell>
          <cell r="G12">
            <v>193.05</v>
          </cell>
        </row>
        <row r="14">
          <cell r="B14" t="str">
            <v>С1416-8525(зворотнiматерiали)</v>
          </cell>
          <cell r="C14" t="str">
            <v>Опори освітлення
(зворотнi матерiали)</v>
          </cell>
          <cell r="D14" t="str">
            <v>шт</v>
          </cell>
          <cell r="E14">
            <v>5</v>
          </cell>
          <cell r="F14" t="str">
            <v xml:space="preserve">   -   </v>
          </cell>
          <cell r="G14" t="str">
            <v xml:space="preserve">   -   </v>
          </cell>
        </row>
        <row r="15">
          <cell r="B15" t="str">
            <v>МС1-1-1к=0,6</v>
          </cell>
          <cell r="C15" t="str">
            <v>Демонтаж самоутримних ізольованих
проводів напругою від 0,4 кВ до 1 кВ з
використанням автогідропідіймача</v>
          </cell>
          <cell r="D15" t="str">
            <v>100 м</v>
          </cell>
          <cell r="E15">
            <v>0.9</v>
          </cell>
          <cell r="F15">
            <v>2147.86</v>
          </cell>
          <cell r="G15">
            <v>1933.07</v>
          </cell>
        </row>
        <row r="16">
          <cell r="B16" t="str">
            <v>С157-406(зворотнiматерiали)</v>
          </cell>
          <cell r="C16" t="str">
            <v>Самонесучий ізольований провід
(зворотнi матерiали)</v>
          </cell>
          <cell r="D16" t="str">
            <v>1000м</v>
          </cell>
          <cell r="E16">
            <v>0.09</v>
          </cell>
          <cell r="F16" t="str">
            <v xml:space="preserve">   -   </v>
          </cell>
          <cell r="G16" t="str">
            <v xml:space="preserve">   -   </v>
          </cell>
        </row>
        <row r="17">
          <cell r="B17" t="str">
            <v>Е33-115-1к=0,6</v>
          </cell>
          <cell r="C17" t="str">
            <v>Демонтаж свiтильникiв</v>
          </cell>
          <cell r="D17" t="str">
            <v>шт</v>
          </cell>
          <cell r="E17">
            <v>1</v>
          </cell>
          <cell r="F17">
            <v>265.97000000000003</v>
          </cell>
          <cell r="G17">
            <v>265.97000000000003</v>
          </cell>
        </row>
        <row r="18">
          <cell r="B18" t="str">
            <v>1507-4137-41(зворотнiматерiали)</v>
          </cell>
          <cell r="C18" t="str">
            <v>Кронштейн зі світильником та лампою</v>
          </cell>
          <cell r="D18" t="str">
            <v>шт</v>
          </cell>
          <cell r="E18">
            <v>1</v>
          </cell>
          <cell r="F18" t="str">
            <v xml:space="preserve">   -   </v>
          </cell>
          <cell r="G18" t="str">
            <v xml:space="preserve">   -   </v>
          </cell>
        </row>
        <row r="20">
          <cell r="B20" t="str">
            <v>ЕН10-20-4К=0,8</v>
          </cell>
          <cell r="C20" t="str">
            <v>Демонтаж віконного блоку площею бiльше
3 м2 з металлопластику</v>
          </cell>
          <cell r="D20" t="str">
            <v>100м2</v>
          </cell>
          <cell r="E20">
            <v>4.5900000000000003E-2</v>
          </cell>
          <cell r="F20">
            <v>5062.49</v>
          </cell>
          <cell r="G20">
            <v>232.37</v>
          </cell>
        </row>
        <row r="21">
          <cell r="B21" t="str">
            <v>Е46-44-3</v>
          </cell>
          <cell r="C21" t="str">
            <v>Розбирання дерев'яних заповнень дверних i
воротних прорiзiв</v>
          </cell>
          <cell r="D21" t="str">
            <v>100м2</v>
          </cell>
          <cell r="E21">
            <v>2.6650000000000004E-2</v>
          </cell>
          <cell r="F21">
            <v>8893.15</v>
          </cell>
          <cell r="G21">
            <v>237</v>
          </cell>
        </row>
        <row r="22">
          <cell r="B22" t="str">
            <v>Е46-27-3</v>
          </cell>
          <cell r="C22" t="str">
            <v>Пробивання прорiзiв в конструкцiях з цегли</v>
          </cell>
          <cell r="D22" t="str">
            <v>м3</v>
          </cell>
          <cell r="E22">
            <v>0.7</v>
          </cell>
          <cell r="F22">
            <v>1493.61</v>
          </cell>
          <cell r="G22">
            <v>1045.53</v>
          </cell>
        </row>
        <row r="23">
          <cell r="B23" t="str">
            <v>Е46-34-4</v>
          </cell>
          <cell r="C23" t="str">
            <v>Розбирання цегляних стiн (перегородки)</v>
          </cell>
          <cell r="D23" t="str">
            <v>м3</v>
          </cell>
          <cell r="E23">
            <v>0.9</v>
          </cell>
          <cell r="F23">
            <v>944.42</v>
          </cell>
          <cell r="G23">
            <v>849.98</v>
          </cell>
        </row>
        <row r="24">
          <cell r="B24" t="str">
            <v>ЕН15-80-4</v>
          </cell>
          <cell r="C24" t="str">
            <v>Монтаж стінових касет без утеплення з
риштувань</v>
          </cell>
          <cell r="D24" t="str">
            <v>100 м2</v>
          </cell>
          <cell r="E24">
            <v>4.9120800000000004</v>
          </cell>
          <cell r="F24">
            <v>9594.69</v>
          </cell>
          <cell r="G24">
            <v>47129.88</v>
          </cell>
        </row>
        <row r="25">
          <cell r="B25" t="str">
            <v>ЕН15-80-2</v>
          </cell>
          <cell r="C25" t="str">
            <v>Монтаж PS- панелей з утепленням з
риштувань</v>
          </cell>
          <cell r="D25" t="str">
            <v>100 м2</v>
          </cell>
          <cell r="E25" t="str">
            <v>6,
36163275</v>
          </cell>
          <cell r="F25">
            <v>16701.88</v>
          </cell>
          <cell r="G25">
            <v>106251.23</v>
          </cell>
        </row>
        <row r="26">
          <cell r="B26" t="str">
            <v>ЕН15-80-6</v>
          </cell>
          <cell r="C26" t="str">
            <v>Обрамовування прорізів у зовнішніх стінах
оцинкованою сталлю з риштувань</v>
          </cell>
          <cell r="D26" t="str">
            <v>100 м2</v>
          </cell>
          <cell r="E26">
            <v>1.028305</v>
          </cell>
          <cell r="F26">
            <v>9423.11</v>
          </cell>
          <cell r="G26">
            <v>9689.83</v>
          </cell>
        </row>
        <row r="27">
          <cell r="B27" t="str">
            <v>С111-1807-1-5Ю</v>
          </cell>
          <cell r="C27" t="str">
            <v>Стінова касета звичайна 600х150х0,75
ф.Blachy Pruszynski</v>
          </cell>
          <cell r="D27" t="str">
            <v>м2</v>
          </cell>
          <cell r="E27">
            <v>373.63799999999998</v>
          </cell>
          <cell r="F27">
            <v>781.05</v>
          </cell>
          <cell r="G27">
            <v>291829.96000000002</v>
          </cell>
        </row>
        <row r="28">
          <cell r="B28" t="str">
            <v>С111-1807-2-Н</v>
          </cell>
          <cell r="C28" t="str">
            <v>Стінова касета звичайна 600х100х0,75
ф.Blachy Pruszynski</v>
          </cell>
          <cell r="D28" t="str">
            <v>м2</v>
          </cell>
          <cell r="E28">
            <v>6.6059999999999999</v>
          </cell>
          <cell r="F28">
            <v>668.57</v>
          </cell>
          <cell r="G28">
            <v>4416.57</v>
          </cell>
        </row>
        <row r="29">
          <cell r="B29" t="str">
            <v>С111-1807-3-Ф</v>
          </cell>
          <cell r="C29" t="str">
            <v>Стінова касета стартова 600х150х0,75
ф.Blachy Pruszynski</v>
          </cell>
          <cell r="D29" t="str">
            <v>м2</v>
          </cell>
          <cell r="E29">
            <v>93.713999999999999</v>
          </cell>
          <cell r="F29">
            <v>796.67</v>
          </cell>
          <cell r="G29">
            <v>74659.13</v>
          </cell>
        </row>
        <row r="30">
          <cell r="B30" t="str">
            <v>С111-1807-4-2В</v>
          </cell>
          <cell r="C30" t="str">
            <v>Стінова касета стартова 600х100х0,75
ф.Blachy Pruszynski</v>
          </cell>
          <cell r="D30" t="str">
            <v>м2</v>
          </cell>
          <cell r="E30">
            <v>17.25</v>
          </cell>
          <cell r="F30">
            <v>681.92</v>
          </cell>
          <cell r="G30">
            <v>11763.12</v>
          </cell>
        </row>
        <row r="31">
          <cell r="B31" t="str">
            <v>С111-1807-5-2Д</v>
          </cell>
          <cell r="C31" t="str">
            <v>PS-панелі PS-315 (V) товщ. 0,5мм РЕ 25мк
ф.Blachy Pruszynski</v>
          </cell>
          <cell r="D31" t="str">
            <v>м2</v>
          </cell>
          <cell r="E31" t="str">
            <v>628,
565175</v>
          </cell>
          <cell r="F31">
            <v>460.91</v>
          </cell>
          <cell r="G31">
            <v>289711.96999999997</v>
          </cell>
        </row>
        <row r="32">
          <cell r="B32" t="str">
            <v>С111-1807-6-О</v>
          </cell>
          <cell r="C32" t="str">
            <v>PS-панелі PS-215 (V) товщ. 0,5мм РЕ 25мк
ф.Blachy Pruszynski</v>
          </cell>
          <cell r="D32" t="str">
            <v>м2</v>
          </cell>
          <cell r="E32">
            <v>7.5981000000000005</v>
          </cell>
          <cell r="F32">
            <v>499.04</v>
          </cell>
          <cell r="G32">
            <v>3791.76</v>
          </cell>
        </row>
        <row r="33">
          <cell r="B33" t="str">
            <v>С111-1802-3Н</v>
          </cell>
          <cell r="C33" t="str">
            <v>Кутик посил. перф. (оп. столик) 100х80х1,25
ф.Blachy Pruszynski</v>
          </cell>
          <cell r="D33" t="str">
            <v>шт</v>
          </cell>
          <cell r="E33">
            <v>367</v>
          </cell>
          <cell r="F33">
            <v>10.36</v>
          </cell>
          <cell r="G33">
            <v>3802.12</v>
          </cell>
        </row>
        <row r="34">
          <cell r="B34" t="str">
            <v>С111-1801-1</v>
          </cell>
          <cell r="C34" t="str">
            <v>L-прогон 50х50х1,0</v>
          </cell>
          <cell r="D34" t="str">
            <v>м</v>
          </cell>
          <cell r="E34">
            <v>3</v>
          </cell>
          <cell r="F34">
            <v>43.97</v>
          </cell>
          <cell r="G34">
            <v>131.91</v>
          </cell>
        </row>
        <row r="35">
          <cell r="B35" t="str">
            <v>С111-1801-2</v>
          </cell>
          <cell r="C35" t="str">
            <v>L-прогон 75х50х1,0</v>
          </cell>
          <cell r="D35" t="str">
            <v>м</v>
          </cell>
          <cell r="E35">
            <v>59</v>
          </cell>
          <cell r="F35">
            <v>59.13</v>
          </cell>
          <cell r="G35">
            <v>3488.67</v>
          </cell>
        </row>
        <row r="36">
          <cell r="B36" t="str">
            <v>С111-1801-3</v>
          </cell>
          <cell r="C36" t="str">
            <v>L-прогон 100х50х1,0</v>
          </cell>
          <cell r="D36" t="str">
            <v>м</v>
          </cell>
          <cell r="E36">
            <v>15</v>
          </cell>
          <cell r="F36">
            <v>70.41</v>
          </cell>
          <cell r="G36">
            <v>1056.1500000000001</v>
          </cell>
        </row>
        <row r="37">
          <cell r="B37" t="str">
            <v>С111-1801-4</v>
          </cell>
          <cell r="C37" t="str">
            <v>L-прогон 100х50х1,25</v>
          </cell>
          <cell r="D37" t="str">
            <v>м</v>
          </cell>
          <cell r="E37">
            <v>277.89999999999998</v>
          </cell>
          <cell r="F37">
            <v>84.44</v>
          </cell>
          <cell r="G37">
            <v>23465.88</v>
          </cell>
        </row>
        <row r="38">
          <cell r="B38" t="str">
            <v>С111-1797-1Н</v>
          </cell>
          <cell r="C38" t="str">
            <v>Лист 1,0х120 ОЦ ф.Blachy Pruszynski</v>
          </cell>
          <cell r="D38" t="str">
            <v>м2</v>
          </cell>
          <cell r="E38">
            <v>3.456</v>
          </cell>
          <cell r="F38">
            <v>559.39</v>
          </cell>
          <cell r="G38">
            <v>1933.25</v>
          </cell>
        </row>
        <row r="39">
          <cell r="B39" t="str">
            <v>С111-1803-1Н</v>
          </cell>
          <cell r="C39" t="str">
            <v>Прогон Омега - 20 ф.Blachy Pruszynski</v>
          </cell>
          <cell r="D39" t="str">
            <v>м</v>
          </cell>
          <cell r="E39">
            <v>254.2</v>
          </cell>
          <cell r="F39">
            <v>56.77</v>
          </cell>
          <cell r="G39">
            <v>14430.93</v>
          </cell>
        </row>
        <row r="40">
          <cell r="B40" t="str">
            <v>С111-1802-4Н</v>
          </cell>
          <cell r="C40" t="str">
            <v>U-прогон 154х48/48х1,25 ф.Blachy Pruszynski</v>
          </cell>
          <cell r="D40" t="str">
            <v>м</v>
          </cell>
          <cell r="E40">
            <v>90.67</v>
          </cell>
          <cell r="F40">
            <v>164.63</v>
          </cell>
          <cell r="G40">
            <v>14927</v>
          </cell>
        </row>
        <row r="41">
          <cell r="B41" t="str">
            <v>С111-1802-1</v>
          </cell>
          <cell r="C41" t="str">
            <v>С-прогон 150х60х1,5 ф.Blachy Pruszynski</v>
          </cell>
          <cell r="D41" t="str">
            <v>м</v>
          </cell>
          <cell r="E41">
            <v>44.85</v>
          </cell>
          <cell r="F41">
            <v>269.49</v>
          </cell>
          <cell r="G41">
            <v>12086.63</v>
          </cell>
        </row>
        <row r="42">
          <cell r="B42" t="str">
            <v>С111-1803-1</v>
          </cell>
          <cell r="C42" t="str">
            <v>С-прогон 200х60х2 ф.Blachy Pruszynski</v>
          </cell>
          <cell r="D42" t="str">
            <v>м</v>
          </cell>
          <cell r="E42">
            <v>38.520000000000003</v>
          </cell>
          <cell r="F42">
            <v>314.91000000000003</v>
          </cell>
          <cell r="G42">
            <v>12130.33</v>
          </cell>
        </row>
        <row r="43">
          <cell r="B43" t="str">
            <v>С111-92-1</v>
          </cell>
          <cell r="C43" t="str">
            <v>Болт - комплект М16х40 ф.Blachy Pruszynski</v>
          </cell>
          <cell r="D43" t="str">
            <v>100шт</v>
          </cell>
          <cell r="E43">
            <v>0.68</v>
          </cell>
          <cell r="F43">
            <v>1958.98</v>
          </cell>
          <cell r="G43">
            <v>1332.11</v>
          </cell>
        </row>
        <row r="44">
          <cell r="B44" t="str">
            <v>С1545-42-1Н</v>
          </cell>
          <cell r="C44" t="str">
            <v>Саморіз по металу 5,5х32мм</v>
          </cell>
          <cell r="D44" t="str">
            <v>100шт</v>
          </cell>
          <cell r="E44">
            <v>14.76</v>
          </cell>
          <cell r="F44">
            <v>155.41</v>
          </cell>
          <cell r="G44">
            <v>2293.85</v>
          </cell>
        </row>
        <row r="45">
          <cell r="B45" t="str">
            <v>С1545-42-4Н</v>
          </cell>
          <cell r="C45" t="str">
            <v>Саморіз по металу 5,5х25мм</v>
          </cell>
          <cell r="D45" t="str">
            <v>100шт</v>
          </cell>
          <cell r="E45">
            <v>11.4</v>
          </cell>
          <cell r="F45">
            <v>123.75</v>
          </cell>
          <cell r="G45">
            <v>1410.75</v>
          </cell>
        </row>
        <row r="46">
          <cell r="B46" t="str">
            <v>С111-1747-1</v>
          </cell>
          <cell r="C46" t="str">
            <v>Ущiльнювач до касет 20х5 мм ф.Blachy
Pruszynski</v>
          </cell>
          <cell r="D46" t="str">
            <v>100м</v>
          </cell>
          <cell r="E46">
            <v>6.4420000000000002</v>
          </cell>
          <cell r="F46">
            <v>611.1</v>
          </cell>
          <cell r="G46">
            <v>3936.71</v>
          </cell>
        </row>
        <row r="47">
          <cell r="B47" t="str">
            <v>С111-1747-2Н</v>
          </cell>
          <cell r="C47" t="str">
            <v>Термопрокладка 5х50 мм ф.Blachy
Pruszynski</v>
          </cell>
          <cell r="D47" t="str">
            <v>м2</v>
          </cell>
          <cell r="E47">
            <v>49.44</v>
          </cell>
          <cell r="F47">
            <v>222.04</v>
          </cell>
          <cell r="G47">
            <v>10977.66</v>
          </cell>
        </row>
        <row r="48">
          <cell r="B48" t="str">
            <v>С1545-42-4Н</v>
          </cell>
          <cell r="C48" t="str">
            <v>Саморіз по металу 5,5х25мм</v>
          </cell>
          <cell r="D48" t="str">
            <v>100шт</v>
          </cell>
          <cell r="E48">
            <v>14.46</v>
          </cell>
          <cell r="F48">
            <v>123.75</v>
          </cell>
          <cell r="G48">
            <v>1789.43</v>
          </cell>
        </row>
        <row r="49">
          <cell r="B49" t="str">
            <v>ЕН15-53-1</v>
          </cell>
          <cell r="C49" t="str">
            <v>Оббивання поверхонь стін iзоляцiйним
матерiалом</v>
          </cell>
          <cell r="D49" t="str">
            <v>100м2</v>
          </cell>
          <cell r="E49">
            <v>7.0442</v>
          </cell>
          <cell r="F49">
            <v>295.98</v>
          </cell>
          <cell r="G49">
            <v>2084.94</v>
          </cell>
        </row>
        <row r="50">
          <cell r="B50" t="str">
            <v>С111-1721-1Н</v>
          </cell>
          <cell r="C50" t="str">
            <v>Повітробор'єрна плівка</v>
          </cell>
          <cell r="D50" t="str">
            <v>м2</v>
          </cell>
          <cell r="E50">
            <v>732.7</v>
          </cell>
          <cell r="F50">
            <v>22.21</v>
          </cell>
          <cell r="G50">
            <v>16273.27</v>
          </cell>
        </row>
        <row r="51">
          <cell r="B51" t="str">
            <v>С111-150-1</v>
          </cell>
          <cell r="C51" t="str">
            <v>Дюбель 8х100 мм</v>
          </cell>
          <cell r="D51" t="str">
            <v>100шт</v>
          </cell>
          <cell r="E51">
            <v>7.34</v>
          </cell>
          <cell r="F51">
            <v>202.71</v>
          </cell>
          <cell r="G51">
            <v>1487.89</v>
          </cell>
        </row>
        <row r="52">
          <cell r="B52" t="str">
            <v>С114-4-У-4</v>
          </cell>
          <cell r="C52" t="str">
            <v>Утеплювач "ТЛ ВЕНТ Фасад" товщ. 100мм
"TERMOLIFE"</v>
          </cell>
          <cell r="D52" t="str">
            <v>м2</v>
          </cell>
          <cell r="E52">
            <v>17.3</v>
          </cell>
          <cell r="F52">
            <v>190.49</v>
          </cell>
          <cell r="G52">
            <v>3295.48</v>
          </cell>
        </row>
        <row r="53">
          <cell r="B53" t="str">
            <v>С114-4-У-5</v>
          </cell>
          <cell r="C53" t="str">
            <v>Утеплювач "ТЛ ВЕНТ Фасад" товщ. 120мм
"TERMOLIFE"</v>
          </cell>
          <cell r="D53" t="str">
            <v>м2</v>
          </cell>
          <cell r="E53">
            <v>252.8</v>
          </cell>
          <cell r="F53">
            <v>228.57</v>
          </cell>
          <cell r="G53">
            <v>57782.5</v>
          </cell>
        </row>
        <row r="54">
          <cell r="B54" t="str">
            <v>С114-4-У-6</v>
          </cell>
          <cell r="C54" t="str">
            <v>Утеплювач "ТЛ ВЕНТ Фасад" товщ. 150мм
"TERMOLIFE"</v>
          </cell>
          <cell r="D54" t="str">
            <v>м2</v>
          </cell>
          <cell r="E54">
            <v>462.9</v>
          </cell>
          <cell r="F54">
            <v>285.72000000000003</v>
          </cell>
          <cell r="G54">
            <v>132259.79</v>
          </cell>
        </row>
        <row r="55">
          <cell r="B55" t="str">
            <v>С111-1797-1Н</v>
          </cell>
          <cell r="C55" t="str">
            <v>Лист ОЦ РЕ 25мк, товщ.0,5мм ф.Blachy
Pruszynski</v>
          </cell>
          <cell r="D55" t="str">
            <v>м2</v>
          </cell>
          <cell r="E55">
            <v>102.8305</v>
          </cell>
          <cell r="F55">
            <v>292.70999999999998</v>
          </cell>
          <cell r="G55">
            <v>30099.52</v>
          </cell>
        </row>
        <row r="56">
          <cell r="B56" t="str">
            <v>С111-1797-12Н</v>
          </cell>
          <cell r="C56" t="str">
            <v>Планка стартова (стандартні обробки ) ф.
Blachy Pruszynski</v>
          </cell>
          <cell r="D56" t="str">
            <v>м</v>
          </cell>
          <cell r="E56">
            <v>88.4</v>
          </cell>
          <cell r="F56">
            <v>29.67</v>
          </cell>
          <cell r="G56">
            <v>2622.83</v>
          </cell>
        </row>
        <row r="57">
          <cell r="B57" t="str">
            <v>С111-1797-13Н</v>
          </cell>
          <cell r="C57" t="str">
            <v>Планка звісу (стандартні обробки ) ф.
Blachy Pruszynski</v>
          </cell>
          <cell r="D57" t="str">
            <v>м</v>
          </cell>
          <cell r="E57">
            <v>14.8</v>
          </cell>
          <cell r="F57">
            <v>32.06</v>
          </cell>
          <cell r="G57">
            <v>474.49</v>
          </cell>
        </row>
        <row r="58">
          <cell r="B58" t="str">
            <v>С111-1797-14Н</v>
          </cell>
          <cell r="C58" t="str">
            <v>Кутик зовнішній (прості обробки ) ф. Blachy
Pruszynski</v>
          </cell>
          <cell r="D58" t="str">
            <v>м</v>
          </cell>
          <cell r="E58">
            <v>69.900000000000006</v>
          </cell>
          <cell r="F58">
            <v>78.98</v>
          </cell>
          <cell r="G58">
            <v>5520.7</v>
          </cell>
        </row>
        <row r="59">
          <cell r="B59" t="str">
            <v>С111-1797-15Н</v>
          </cell>
          <cell r="C59" t="str">
            <v>Кутик внутрішній (прості обробки ) ф. Blachy
Pruszynski</v>
          </cell>
          <cell r="D59" t="str">
            <v>м</v>
          </cell>
          <cell r="E59">
            <v>22.6</v>
          </cell>
          <cell r="F59">
            <v>78.98</v>
          </cell>
          <cell r="G59">
            <v>1784.95</v>
          </cell>
        </row>
        <row r="60">
          <cell r="B60" t="str">
            <v>С111-1797-19Н</v>
          </cell>
          <cell r="C60" t="str">
            <v>Роздівювальна планка (прості обробки ) ф.
Blachy Pruszynski</v>
          </cell>
          <cell r="D60" t="str">
            <v>м</v>
          </cell>
          <cell r="E60">
            <v>17</v>
          </cell>
          <cell r="F60">
            <v>33.229999999999997</v>
          </cell>
          <cell r="G60">
            <v>564.91</v>
          </cell>
        </row>
        <row r="61">
          <cell r="B61" t="str">
            <v>С1545-42-3Н</v>
          </cell>
          <cell r="C61" t="str">
            <v>Саморіз по металу 4,8х25мм</v>
          </cell>
          <cell r="D61" t="str">
            <v>100шт</v>
          </cell>
          <cell r="E61">
            <v>38.4</v>
          </cell>
          <cell r="F61">
            <v>147.34</v>
          </cell>
          <cell r="G61">
            <v>5657.86</v>
          </cell>
        </row>
        <row r="62">
          <cell r="B62" t="str">
            <v>С1545-42-2Н</v>
          </cell>
          <cell r="C62" t="str">
            <v>Саморіз 4,8х19</v>
          </cell>
          <cell r="D62" t="str">
            <v>100шт</v>
          </cell>
          <cell r="E62">
            <v>25.9</v>
          </cell>
          <cell r="F62">
            <v>99.88</v>
          </cell>
          <cell r="G62">
            <v>2586.89</v>
          </cell>
        </row>
        <row r="63">
          <cell r="B63" t="str">
            <v>С111-136-3Н</v>
          </cell>
          <cell r="C63" t="str">
            <v>Дюбелі фасадні LMX-10180 ф.Baumit</v>
          </cell>
          <cell r="D63" t="str">
            <v>шт</v>
          </cell>
          <cell r="E63">
            <v>1518</v>
          </cell>
          <cell r="F63">
            <v>5.87</v>
          </cell>
          <cell r="G63">
            <v>8910.66</v>
          </cell>
        </row>
        <row r="64">
          <cell r="B64" t="str">
            <v>С111-1797-1Н</v>
          </cell>
          <cell r="C64" t="str">
            <v>Лист ОЦ РЕ 25мк, товщ.0,5мм ф.Blachy
Pruszynski</v>
          </cell>
          <cell r="D64" t="str">
            <v>м2</v>
          </cell>
          <cell r="E64">
            <v>16.515000000000001</v>
          </cell>
          <cell r="F64">
            <v>292.70999999999998</v>
          </cell>
          <cell r="G64">
            <v>4834.1099999999997</v>
          </cell>
        </row>
        <row r="65">
          <cell r="B65" t="str">
            <v>С1545-42-2Н</v>
          </cell>
          <cell r="C65" t="str">
            <v>Саморіз 4,8х19</v>
          </cell>
          <cell r="D65" t="str">
            <v>100шт</v>
          </cell>
          <cell r="E65">
            <v>3.15</v>
          </cell>
          <cell r="F65">
            <v>99.88</v>
          </cell>
          <cell r="G65">
            <v>314.62</v>
          </cell>
        </row>
        <row r="66">
          <cell r="B66" t="str">
            <v>Е9-52-1</v>
          </cell>
          <cell r="C66" t="str">
            <v>Рiзання стального профiльованого
настилу</v>
          </cell>
          <cell r="D66" t="str">
            <v>1м рiза</v>
          </cell>
          <cell r="E66">
            <v>1.3</v>
          </cell>
          <cell r="F66">
            <v>49.23</v>
          </cell>
          <cell r="G66">
            <v>64</v>
          </cell>
        </row>
        <row r="67">
          <cell r="B67" t="str">
            <v>ЕН8-11-1</v>
          </cell>
          <cell r="C67" t="str">
            <v>Армування мурування стiн та iнших
конструкцiй</v>
          </cell>
          <cell r="D67" t="str">
            <v>1 т</v>
          </cell>
          <cell r="E67">
            <v>1.1860000000000001E-2</v>
          </cell>
          <cell r="F67">
            <v>4241.87</v>
          </cell>
          <cell r="G67">
            <v>50.31</v>
          </cell>
        </row>
        <row r="68">
          <cell r="B68" t="str">
            <v>С1110-175</v>
          </cell>
          <cell r="C68" t="str">
            <v>Сталь кутова 75х75 мм</v>
          </cell>
          <cell r="D68" t="str">
            <v>т</v>
          </cell>
          <cell r="E68">
            <v>1.0999999999999999E-2</v>
          </cell>
          <cell r="F68">
            <v>21736</v>
          </cell>
          <cell r="G68">
            <v>239.1</v>
          </cell>
        </row>
        <row r="69">
          <cell r="B69" t="str">
            <v>С113-134</v>
          </cell>
          <cell r="C69" t="str">
            <v>Труби сталевi електрозварнi дiаметр 42х3</v>
          </cell>
          <cell r="D69" t="str">
            <v>м</v>
          </cell>
          <cell r="E69">
            <v>0.4</v>
          </cell>
          <cell r="F69">
            <v>122.5</v>
          </cell>
          <cell r="G69">
            <v>49</v>
          </cell>
        </row>
        <row r="70">
          <cell r="B70" t="str">
            <v>Е20-11-1</v>
          </cell>
          <cell r="C70" t="str">
            <v>Установлення грат жалюзiйних площею у
просвiтi до 0,25 м2</v>
          </cell>
          <cell r="D70" t="str">
            <v>грати</v>
          </cell>
          <cell r="E70">
            <v>12</v>
          </cell>
          <cell r="F70">
            <v>145.96</v>
          </cell>
          <cell r="G70">
            <v>1751.52</v>
          </cell>
        </row>
        <row r="71">
          <cell r="B71" t="str">
            <v>С130-598-Н35</v>
          </cell>
          <cell r="C71" t="str">
            <v>Решітка ОРГ 400х350h, ф."ВЕНТС"</v>
          </cell>
          <cell r="D71" t="str">
            <v>шт</v>
          </cell>
          <cell r="E71">
            <v>4</v>
          </cell>
          <cell r="F71">
            <v>547.69000000000005</v>
          </cell>
          <cell r="G71">
            <v>2190.7600000000002</v>
          </cell>
        </row>
        <row r="72">
          <cell r="B72" t="str">
            <v>С130-598-Н36</v>
          </cell>
          <cell r="C72" t="str">
            <v>Решітка ОРГ 350х350h, ф."ВЕНТС"</v>
          </cell>
          <cell r="D72" t="str">
            <v>шт</v>
          </cell>
          <cell r="E72">
            <v>8</v>
          </cell>
          <cell r="F72">
            <v>457.49</v>
          </cell>
          <cell r="G72">
            <v>3659.92</v>
          </cell>
        </row>
        <row r="73">
          <cell r="B73" t="str">
            <v>ЕН8-36-1</v>
          </cell>
          <cell r="C73" t="str">
            <v>Установлення i розбирання зовнiшнiх
iнвентарних риштувань трубчастих висотою
до 16 м для мурування облицювання</v>
          </cell>
          <cell r="D73" t="str">
            <v>100м2 вп</v>
          </cell>
          <cell r="E73">
            <v>9.2119759999999999</v>
          </cell>
          <cell r="F73">
            <v>7985.86</v>
          </cell>
          <cell r="G73">
            <v>73565.55</v>
          </cell>
        </row>
        <row r="74">
          <cell r="B74" t="str">
            <v>Е12-20-3</v>
          </cell>
          <cell r="C74" t="str">
            <v>Улаштування пароiзоляцiї прокладної в
один шар</v>
          </cell>
          <cell r="D74" t="str">
            <v>100м2</v>
          </cell>
          <cell r="E74">
            <v>14.1755</v>
          </cell>
          <cell r="F74">
            <v>2868.25</v>
          </cell>
          <cell r="G74">
            <v>40658.879999999997</v>
          </cell>
        </row>
        <row r="75">
          <cell r="B75" t="str">
            <v>С111-857</v>
          </cell>
          <cell r="C75" t="str">
            <v>Руберойд пiдкладний Біполь ЕПП 3,0</v>
          </cell>
          <cell r="D75" t="str">
            <v>м2</v>
          </cell>
          <cell r="E75">
            <v>1559.3050000000001</v>
          </cell>
          <cell r="F75">
            <v>91.93</v>
          </cell>
          <cell r="G75">
            <v>143346.91</v>
          </cell>
        </row>
        <row r="76">
          <cell r="B76" t="str">
            <v>Е12-18-5</v>
          </cell>
          <cell r="C76" t="str">
            <v>Утеплення покриттiв плитами з легких
[нiздрюватих] бетонiв або фiбролiту
насухо</v>
          </cell>
          <cell r="D76" t="str">
            <v>100м2</v>
          </cell>
          <cell r="E76">
            <v>14.1755</v>
          </cell>
          <cell r="F76">
            <v>3677.92</v>
          </cell>
          <cell r="G76">
            <v>52136.35</v>
          </cell>
        </row>
        <row r="77">
          <cell r="B77" t="str">
            <v>С114-4-У-1</v>
          </cell>
          <cell r="C77" t="str">
            <v>Плити "TERMOLIFE" тип "ТЛ КРОВЛЯ Н"
товщ. 100мм</v>
          </cell>
          <cell r="D77" t="str">
            <v>м3</v>
          </cell>
          <cell r="E77" t="str">
            <v>146,
00765</v>
          </cell>
          <cell r="F77">
            <v>2216.4299999999998</v>
          </cell>
          <cell r="G77">
            <v>323615.74</v>
          </cell>
        </row>
        <row r="78">
          <cell r="B78" t="str">
            <v>Е12-18-3</v>
          </cell>
          <cell r="C78" t="str">
            <v>Утеплення покриттiв плитами з
мiнеральної вати або перлiту на бiтумнiй
мастицi в один шар</v>
          </cell>
          <cell r="D78" t="str">
            <v>100м2</v>
          </cell>
          <cell r="E78">
            <v>14.1755</v>
          </cell>
          <cell r="F78">
            <v>5872.58</v>
          </cell>
          <cell r="G78">
            <v>83246.759999999995</v>
          </cell>
        </row>
        <row r="79">
          <cell r="B79" t="str">
            <v>С111-594</v>
          </cell>
          <cell r="C79" t="str">
            <v>Мастика покрiвельна гаряча ТехноНИКОЛЬ
№41</v>
          </cell>
          <cell r="D79" t="str">
            <v>т</v>
          </cell>
          <cell r="E79" t="str">
            <v>2,
8492755</v>
          </cell>
          <cell r="F79">
            <v>41790.57</v>
          </cell>
          <cell r="G79">
            <v>119072.85</v>
          </cell>
        </row>
        <row r="80">
          <cell r="B80" t="str">
            <v>С114-4-У-1</v>
          </cell>
          <cell r="C80" t="str">
            <v>Плити "TERMOLIFE" тип "ТЛ КРОВЛЯ Н"
товщ. 100мм</v>
          </cell>
          <cell r="D80" t="str">
            <v>м3</v>
          </cell>
          <cell r="E80" t="str">
            <v>146,
00765</v>
          </cell>
          <cell r="F80">
            <v>2216.4299999999998</v>
          </cell>
          <cell r="G80">
            <v>323615.74</v>
          </cell>
        </row>
        <row r="81">
          <cell r="B81" t="str">
            <v>Е12-18-4</v>
          </cell>
          <cell r="C81" t="str">
            <v>Утеплення покриттiв плитами з
мiнеральної вати або перлiту на бiтумнiй
мастицi на кожний наступний шар</v>
          </cell>
          <cell r="D81" t="str">
            <v>100м2</v>
          </cell>
          <cell r="E81">
            <v>14.1755</v>
          </cell>
          <cell r="F81">
            <v>12115.83</v>
          </cell>
          <cell r="G81">
            <v>171747.95</v>
          </cell>
        </row>
        <row r="82">
          <cell r="B82" t="str">
            <v>С114-4-У-2</v>
          </cell>
          <cell r="C82" t="str">
            <v>Плити "TERMOLIFE" тип "ТЛ КРОВЛЯ В"
товщ. 50мм</v>
          </cell>
          <cell r="D82" t="str">
            <v>м3</v>
          </cell>
          <cell r="E82" t="str">
            <v>73,
003825</v>
          </cell>
          <cell r="F82">
            <v>1770.54</v>
          </cell>
          <cell r="G82">
            <v>129256.19</v>
          </cell>
        </row>
        <row r="83">
          <cell r="B83" t="str">
            <v>Е12-20-3</v>
          </cell>
          <cell r="C83" t="str">
            <v>Улаштування пароiзоляцiї прокладної в
один шар</v>
          </cell>
          <cell r="D83" t="str">
            <v>100м2</v>
          </cell>
          <cell r="E83">
            <v>0.252</v>
          </cell>
          <cell r="F83">
            <v>2819.69</v>
          </cell>
          <cell r="G83">
            <v>710.56</v>
          </cell>
        </row>
        <row r="84">
          <cell r="B84" t="str">
            <v>С111-857</v>
          </cell>
          <cell r="C84" t="str">
            <v>Руберойд пiдкладний Біполь ЕПП 3,0</v>
          </cell>
          <cell r="D84" t="str">
            <v>м2</v>
          </cell>
          <cell r="E84">
            <v>27.72</v>
          </cell>
          <cell r="F84">
            <v>91.93</v>
          </cell>
          <cell r="G84">
            <v>2548.3000000000002</v>
          </cell>
        </row>
        <row r="85">
          <cell r="B85" t="str">
            <v>Е12-18-5</v>
          </cell>
          <cell r="C85" t="str">
            <v>Утеплення покриттiв плитами з легких
[нiздрюватих] бетонiв або фiбролiту
насухо</v>
          </cell>
          <cell r="D85" t="str">
            <v>100м2</v>
          </cell>
          <cell r="E85">
            <v>0.252</v>
          </cell>
          <cell r="F85">
            <v>3677.92</v>
          </cell>
          <cell r="G85">
            <v>926.84</v>
          </cell>
        </row>
        <row r="86">
          <cell r="B86" t="str">
            <v>С114-4-У-1</v>
          </cell>
          <cell r="C86" t="str">
            <v>Плити "TERMOLIFE" тип "ТЛ КРОВЛЯ Н"
товщ. 100мм</v>
          </cell>
          <cell r="D86" t="str">
            <v>м3</v>
          </cell>
          <cell r="E86">
            <v>2.5956000000000001</v>
          </cell>
          <cell r="F86">
            <v>2216.4299999999998</v>
          </cell>
          <cell r="G86">
            <v>5752.97</v>
          </cell>
        </row>
        <row r="87">
          <cell r="B87" t="str">
            <v>Е12-18-3</v>
          </cell>
          <cell r="C87" t="str">
            <v>Утеплення покриттiв плитами з
мiнеральної вати або перлiту на бiтумнiй
мастицi в один шар</v>
          </cell>
          <cell r="D87" t="str">
            <v>100м2</v>
          </cell>
          <cell r="E87">
            <v>0.252</v>
          </cell>
          <cell r="F87">
            <v>5596.62</v>
          </cell>
          <cell r="G87">
            <v>1410.35</v>
          </cell>
        </row>
        <row r="88">
          <cell r="B88" t="str">
            <v>С111-594</v>
          </cell>
          <cell r="C88" t="str">
            <v>Мастика покрiвельна гаряча ТехноНИКОЛЬ
№41</v>
          </cell>
          <cell r="D88" t="str">
            <v>т</v>
          </cell>
          <cell r="E88">
            <v>5.0651999999999996E-2</v>
          </cell>
          <cell r="F88">
            <v>41790.57</v>
          </cell>
          <cell r="G88">
            <v>2116.7800000000002</v>
          </cell>
        </row>
        <row r="89">
          <cell r="B89" t="str">
            <v>С114-4-У-1</v>
          </cell>
          <cell r="C89" t="str">
            <v>Плити "TERMOLIFE" тип "ТЛ КРОВЛЯ Н"
товщ. 100мм</v>
          </cell>
          <cell r="D89" t="str">
            <v>м3</v>
          </cell>
          <cell r="E89">
            <v>2.5956000000000001</v>
          </cell>
          <cell r="F89">
            <v>2216.4299999999998</v>
          </cell>
          <cell r="G89">
            <v>5752.97</v>
          </cell>
        </row>
        <row r="90">
          <cell r="B90" t="str">
            <v>Е12-18-4</v>
          </cell>
          <cell r="C90" t="str">
            <v>Утеплення покриттiв плитами з
мiнеральної вати або перлiту на бiтумнiй
мастицi на кожний наступний шар</v>
          </cell>
          <cell r="D90" t="str">
            <v>100м2</v>
          </cell>
          <cell r="E90">
            <v>0.252</v>
          </cell>
          <cell r="F90">
            <v>11839.56</v>
          </cell>
          <cell r="G90">
            <v>2983.57</v>
          </cell>
        </row>
        <row r="91">
          <cell r="B91" t="str">
            <v>С114-4-У-2</v>
          </cell>
          <cell r="C91" t="str">
            <v>Плити "TERMOLIFE" тип "ТЛ КРОВЛЯ В"
товщ. 50мм</v>
          </cell>
          <cell r="D91" t="str">
            <v>м3</v>
          </cell>
          <cell r="E91">
            <v>1.2978000000000001</v>
          </cell>
          <cell r="F91">
            <v>1770.54</v>
          </cell>
          <cell r="G91">
            <v>2297.81</v>
          </cell>
        </row>
        <row r="92">
          <cell r="B92" t="str">
            <v>ЕН11-11-17</v>
          </cell>
          <cell r="C92" t="str">
            <v>Улаштування стяжок з плит
деревноволокнистих</v>
          </cell>
          <cell r="D92" t="str">
            <v>100м2</v>
          </cell>
          <cell r="E92">
            <v>3.45</v>
          </cell>
          <cell r="F92">
            <v>682.28</v>
          </cell>
          <cell r="G92">
            <v>2353.87</v>
          </cell>
        </row>
        <row r="93">
          <cell r="B93" t="str">
            <v>С111-701-2</v>
          </cell>
          <cell r="C93" t="str">
            <v>Плити OSB-3 ф."КРОНО-Украина", товщина
22 мм</v>
          </cell>
          <cell r="D93" t="str">
            <v>м2</v>
          </cell>
          <cell r="E93">
            <v>351.9</v>
          </cell>
          <cell r="F93">
            <v>273.89999999999998</v>
          </cell>
          <cell r="G93">
            <v>96385.41</v>
          </cell>
        </row>
        <row r="94">
          <cell r="B94" t="str">
            <v>Е12-1-6</v>
          </cell>
          <cell r="C94" t="str">
            <v>Улаштування покрiвель скатних iз
наплавлюваних матерiалiв у два шари</v>
          </cell>
          <cell r="D94" t="str">
            <v>100м2</v>
          </cell>
          <cell r="E94">
            <v>3.45</v>
          </cell>
          <cell r="F94">
            <v>2959.76</v>
          </cell>
          <cell r="G94">
            <v>10211.17</v>
          </cell>
        </row>
        <row r="95">
          <cell r="B95" t="str">
            <v>С111-857</v>
          </cell>
          <cell r="C95" t="str">
            <v>Руберойд пiдкладний Біполь ЕПП 3,0</v>
          </cell>
          <cell r="D95" t="str">
            <v>м2</v>
          </cell>
          <cell r="E95">
            <v>396.75</v>
          </cell>
          <cell r="F95">
            <v>91.93</v>
          </cell>
          <cell r="G95">
            <v>36473.230000000003</v>
          </cell>
        </row>
        <row r="96">
          <cell r="B96" t="str">
            <v>С111-859</v>
          </cell>
          <cell r="C96" t="str">
            <v>Рубероид наплавляемый " Біполь" ЕКП 4,0</v>
          </cell>
          <cell r="D96" t="str">
            <v>м2</v>
          </cell>
          <cell r="E96">
            <v>389.85</v>
          </cell>
          <cell r="F96">
            <v>98.38</v>
          </cell>
          <cell r="G96">
            <v>38353.440000000002</v>
          </cell>
        </row>
        <row r="97">
          <cell r="B97" t="str">
            <v>С130-1156-1-2Р</v>
          </cell>
          <cell r="C97" t="str">
            <v>Флюгарка 110х600 (h)мм</v>
          </cell>
          <cell r="D97" t="str">
            <v>шт</v>
          </cell>
          <cell r="E97">
            <v>29</v>
          </cell>
          <cell r="F97">
            <v>756.08</v>
          </cell>
          <cell r="G97">
            <v>21926.32</v>
          </cell>
        </row>
        <row r="98">
          <cell r="B98" t="str">
            <v>С111-1846-8Н</v>
          </cell>
          <cell r="C98" t="str">
            <v>Анкер телескопічний L=260 мм</v>
          </cell>
          <cell r="D98" t="str">
            <v>шт</v>
          </cell>
          <cell r="E98">
            <v>229</v>
          </cell>
          <cell r="F98">
            <v>6.87</v>
          </cell>
          <cell r="G98">
            <v>1573.23</v>
          </cell>
        </row>
        <row r="99">
          <cell r="B99" t="str">
            <v>Е12-18-4</v>
          </cell>
          <cell r="C99" t="str">
            <v>Утеплення покриттiв плитами з
мiнеральної вати або перлiту на бiтумнiй
мастицi на кожний наступний шар</v>
          </cell>
          <cell r="D99" t="str">
            <v>100м2</v>
          </cell>
          <cell r="E99">
            <v>0.623</v>
          </cell>
          <cell r="F99">
            <v>12115.52</v>
          </cell>
          <cell r="G99">
            <v>7547.97</v>
          </cell>
        </row>
        <row r="100">
          <cell r="B100" t="str">
            <v>С114-4-У-2</v>
          </cell>
          <cell r="C100" t="str">
            <v>Плити "TERMOLIFE" тип "ТЛ КРОВЛЯ В"
товщ. 50мм</v>
          </cell>
          <cell r="D100" t="str">
            <v>м3</v>
          </cell>
          <cell r="E100">
            <v>3.20845</v>
          </cell>
          <cell r="F100">
            <v>1770.54</v>
          </cell>
          <cell r="G100">
            <v>5680.69</v>
          </cell>
        </row>
        <row r="101">
          <cell r="B101" t="str">
            <v>ЕН15-78-1</v>
          </cell>
          <cell r="C101" t="str">
            <v>Утеплення фасадів мінеральними
плитами товщиною 100 мм з
опорядженням декоротивним розчином за
технологією "CEREZIT". Стіни гладкі</v>
          </cell>
          <cell r="D101" t="str">
            <v>100 м2</v>
          </cell>
          <cell r="E101">
            <v>0.223</v>
          </cell>
          <cell r="F101">
            <v>39030.9</v>
          </cell>
          <cell r="G101">
            <v>8703.89</v>
          </cell>
        </row>
        <row r="102">
          <cell r="B102" t="str">
            <v>С111-72-2</v>
          </cell>
          <cell r="C102" t="str">
            <v>Праймер бітумний готовий до застосування
"Технониколь-1"</v>
          </cell>
          <cell r="D102" t="str">
            <v>т</v>
          </cell>
          <cell r="E102">
            <v>5.5750000000000001E-3</v>
          </cell>
          <cell r="F102">
            <v>78784.53</v>
          </cell>
          <cell r="G102">
            <v>439.22</v>
          </cell>
        </row>
        <row r="103">
          <cell r="B103" t="str">
            <v>С111-2011-7Н</v>
          </cell>
          <cell r="C103" t="str">
            <v>Клейова сумiш Baumit NivoFix</v>
          </cell>
          <cell r="D103" t="str">
            <v>кг</v>
          </cell>
          <cell r="E103">
            <v>89.2</v>
          </cell>
          <cell r="F103">
            <v>9.57</v>
          </cell>
          <cell r="G103">
            <v>853.64</v>
          </cell>
        </row>
        <row r="104">
          <cell r="B104" t="str">
            <v>С114-4-У-2</v>
          </cell>
          <cell r="C104" t="str">
            <v>Плити "TERMOLIFE" тип "ТЛ КРОВЛЯ В"
товщ. 50мм</v>
          </cell>
          <cell r="D104" t="str">
            <v>м3</v>
          </cell>
          <cell r="E104">
            <v>1.1930499999999999</v>
          </cell>
          <cell r="F104">
            <v>1770.54</v>
          </cell>
          <cell r="G104">
            <v>2112.34</v>
          </cell>
        </row>
        <row r="105">
          <cell r="B105" t="str">
            <v>С111-2011-7Н</v>
          </cell>
          <cell r="C105" t="str">
            <v>Клейова шпаклювальна сумiш Baumit
ProContact-1-1.5мм</v>
          </cell>
          <cell r="D105" t="str">
            <v>кг</v>
          </cell>
          <cell r="E105">
            <v>28.99</v>
          </cell>
          <cell r="F105">
            <v>15.37</v>
          </cell>
          <cell r="G105">
            <v>445.58</v>
          </cell>
        </row>
        <row r="106">
          <cell r="B106" t="str">
            <v>С111-1784-1Н</v>
          </cell>
          <cell r="C106" t="str">
            <v>Склосітка Baumit StarTex</v>
          </cell>
          <cell r="D106" t="str">
            <v>м2</v>
          </cell>
          <cell r="E106">
            <v>25.645</v>
          </cell>
          <cell r="F106">
            <v>50.6</v>
          </cell>
          <cell r="G106">
            <v>1297.6400000000001</v>
          </cell>
        </row>
        <row r="107">
          <cell r="B107" t="str">
            <v>С111-2011-7Н</v>
          </cell>
          <cell r="C107" t="str">
            <v>Клейова шпаклювальна сумiш Baumit
ProContact-2.5-3мм</v>
          </cell>
          <cell r="D107" t="str">
            <v>кг</v>
          </cell>
          <cell r="E107">
            <v>60.21</v>
          </cell>
          <cell r="F107">
            <v>15.37</v>
          </cell>
          <cell r="G107">
            <v>925.43</v>
          </cell>
        </row>
        <row r="108">
          <cell r="B108" t="str">
            <v>С111-1624-2</v>
          </cell>
          <cell r="C108" t="str">
            <v>Грунтувальна суміш Baumit UniPrimer</v>
          </cell>
          <cell r="D108" t="str">
            <v>л</v>
          </cell>
          <cell r="E108">
            <v>3.7909999999999999</v>
          </cell>
          <cell r="F108">
            <v>58.93</v>
          </cell>
          <cell r="G108">
            <v>223.4</v>
          </cell>
        </row>
        <row r="109">
          <cell r="B109" t="str">
            <v>С1633-61-Н</v>
          </cell>
          <cell r="C109" t="str">
            <v>Фарба Baumit SilikonColor</v>
          </cell>
          <cell r="D109" t="str">
            <v>кг</v>
          </cell>
          <cell r="E109">
            <v>11.194599999999999</v>
          </cell>
          <cell r="F109">
            <v>135.53</v>
          </cell>
          <cell r="G109">
            <v>1517.2</v>
          </cell>
        </row>
        <row r="110">
          <cell r="B110" t="str">
            <v>ЕН26-33-1</v>
          </cell>
          <cell r="C110" t="str">
            <v>Теплоiзоляцiя покриттiв i перекриттiв
виробами з волокнистих i зернистих
матерiалiв "насухо"</v>
          </cell>
          <cell r="D110" t="str">
            <v>1 м3</v>
          </cell>
          <cell r="E110">
            <v>1.5</v>
          </cell>
          <cell r="F110">
            <v>1153.6099999999999</v>
          </cell>
          <cell r="G110">
            <v>1730.42</v>
          </cell>
        </row>
        <row r="111">
          <cell r="B111" t="str">
            <v>С114-4-У-1</v>
          </cell>
          <cell r="C111" t="str">
            <v>Плити "TERMOLIFE" тип "ТЛ КРОВЛЯ Н"
товщ. 100мм</v>
          </cell>
          <cell r="D111" t="str">
            <v>м3</v>
          </cell>
          <cell r="E111">
            <v>1.53</v>
          </cell>
          <cell r="F111">
            <v>2216.4299999999998</v>
          </cell>
          <cell r="G111">
            <v>3391.14</v>
          </cell>
        </row>
        <row r="112">
          <cell r="B112" t="str">
            <v>Е12-15-1</v>
          </cell>
          <cell r="C112" t="str">
            <v>Улаштування дрiбних покриттiв
[брандмауери, парапети, звiси i т.п.] iз
листової оцинкованої сталi</v>
          </cell>
          <cell r="D112" t="str">
            <v>100м2</v>
          </cell>
          <cell r="E112">
            <v>0.17958000000000002</v>
          </cell>
          <cell r="F112">
            <v>8300</v>
          </cell>
          <cell r="G112">
            <v>1490.51</v>
          </cell>
        </row>
        <row r="113">
          <cell r="B113" t="str">
            <v>С111-1797-1Н</v>
          </cell>
          <cell r="C113" t="str">
            <v>Лист ОЦ РЕ 25мк, 0,5х930 ф.Blachy
Pruszynski</v>
          </cell>
          <cell r="D113" t="str">
            <v>м2</v>
          </cell>
          <cell r="E113">
            <v>13.577999999999999</v>
          </cell>
          <cell r="F113">
            <v>292.70999999999998</v>
          </cell>
          <cell r="G113">
            <v>3974.42</v>
          </cell>
        </row>
        <row r="114">
          <cell r="B114" t="str">
            <v>С111-1810</v>
          </cell>
          <cell r="C114" t="str">
            <v>Сталь штабова 820х40х4</v>
          </cell>
          <cell r="D114" t="str">
            <v>т</v>
          </cell>
          <cell r="E114">
            <v>2.5750000000000002E-2</v>
          </cell>
          <cell r="F114">
            <v>27153.49</v>
          </cell>
          <cell r="G114">
            <v>699.2</v>
          </cell>
        </row>
        <row r="115">
          <cell r="B115" t="str">
            <v>С1545-42-1-М</v>
          </cell>
          <cell r="C115" t="str">
            <v>Дюбель 6х60</v>
          </cell>
          <cell r="D115" t="str">
            <v>шт</v>
          </cell>
          <cell r="E115">
            <v>75</v>
          </cell>
          <cell r="F115">
            <v>0.65</v>
          </cell>
          <cell r="G115">
            <v>48.75</v>
          </cell>
        </row>
        <row r="116">
          <cell r="B116" t="str">
            <v>С111-1797-1Н</v>
          </cell>
          <cell r="C116" t="str">
            <v>Лист ОЦ  0,5х300 ф.Blachy Pruszynski</v>
          </cell>
          <cell r="D116" t="str">
            <v>м2</v>
          </cell>
          <cell r="E116">
            <v>4.38</v>
          </cell>
          <cell r="F116">
            <v>284.27999999999997</v>
          </cell>
          <cell r="G116">
            <v>1245.1500000000001</v>
          </cell>
        </row>
        <row r="117">
          <cell r="B117" t="str">
            <v>С111-136-3-5Ц</v>
          </cell>
          <cell r="C117" t="str">
            <v>Дюбель 6х40</v>
          </cell>
          <cell r="D117" t="str">
            <v>шт</v>
          </cell>
          <cell r="E117">
            <v>25</v>
          </cell>
          <cell r="F117">
            <v>0.53</v>
          </cell>
          <cell r="G117">
            <v>13.25</v>
          </cell>
        </row>
        <row r="118">
          <cell r="B118" t="str">
            <v>С1545-42-4Н</v>
          </cell>
          <cell r="C118" t="str">
            <v>Саморіз по металу 5,5х25мм</v>
          </cell>
          <cell r="D118" t="str">
            <v>100шт</v>
          </cell>
          <cell r="E118">
            <v>0.25</v>
          </cell>
          <cell r="F118">
            <v>123.75</v>
          </cell>
          <cell r="G118">
            <v>30.94</v>
          </cell>
        </row>
        <row r="119">
          <cell r="B119" t="str">
            <v>Е12-15-1</v>
          </cell>
          <cell r="C119" t="str">
            <v>Улаштування дрiбних покриттiв
[брандмауери, парапети, звiси i т.п.] iз
листової оцинкованої сталi</v>
          </cell>
          <cell r="D119" t="str">
            <v>100м2</v>
          </cell>
          <cell r="E119">
            <v>0.56159999999999999</v>
          </cell>
          <cell r="F119">
            <v>8300</v>
          </cell>
          <cell r="G119">
            <v>4661.28</v>
          </cell>
        </row>
        <row r="120">
          <cell r="B120" t="str">
            <v>С111-1797-1Н</v>
          </cell>
          <cell r="C120" t="str">
            <v>Лист ОЦ РЕ 25мк, товщ.0,5мм ф.Blachy
Pruszynski</v>
          </cell>
          <cell r="D120" t="str">
            <v>м2</v>
          </cell>
          <cell r="E120">
            <v>34.56</v>
          </cell>
          <cell r="F120">
            <v>292.70999999999998</v>
          </cell>
          <cell r="G120">
            <v>10116.06</v>
          </cell>
        </row>
        <row r="121">
          <cell r="B121" t="str">
            <v>С111-1797-1Н</v>
          </cell>
          <cell r="C121" t="str">
            <v>Лист ОЦ  0,5х300 ф.Blachy Pruszynski</v>
          </cell>
          <cell r="D121" t="str">
            <v>м2</v>
          </cell>
          <cell r="E121">
            <v>21.6</v>
          </cell>
          <cell r="F121">
            <v>284.27999999999997</v>
          </cell>
          <cell r="G121">
            <v>6140.45</v>
          </cell>
        </row>
        <row r="122">
          <cell r="B122" t="str">
            <v>С1545-42-4Н</v>
          </cell>
          <cell r="C122" t="str">
            <v>Саморіз по металу 5,5х25мм</v>
          </cell>
          <cell r="D122" t="str">
            <v>100шт</v>
          </cell>
          <cell r="E122">
            <v>4.83</v>
          </cell>
          <cell r="F122">
            <v>123.75</v>
          </cell>
          <cell r="G122">
            <v>597.71</v>
          </cell>
        </row>
        <row r="123">
          <cell r="B123" t="str">
            <v>Е12-1-7</v>
          </cell>
          <cell r="C123" t="str">
            <v>Улаштування додаткового шару
покрiвельних рулонних наплавлюваних
матерiалiв</v>
          </cell>
          <cell r="D123" t="str">
            <v>100м2</v>
          </cell>
          <cell r="E123">
            <v>4.8100000000000004E-2</v>
          </cell>
          <cell r="F123">
            <v>1271.99</v>
          </cell>
          <cell r="G123">
            <v>61.18</v>
          </cell>
        </row>
        <row r="124">
          <cell r="B124" t="str">
            <v>С111-857</v>
          </cell>
          <cell r="C124" t="str">
            <v>Руберойд пiдкладний Біполь ЕПП 3,0</v>
          </cell>
          <cell r="D124" t="str">
            <v>м2</v>
          </cell>
          <cell r="E124">
            <v>5.5315000000000003</v>
          </cell>
          <cell r="F124">
            <v>91.93</v>
          </cell>
          <cell r="G124">
            <v>508.51</v>
          </cell>
        </row>
        <row r="125">
          <cell r="B125" t="str">
            <v>Е12-15-1</v>
          </cell>
          <cell r="C125" t="str">
            <v>Улаштування дрiбних покриттiв
[брандмауери, парапети, звiси i т.п.] iз
листової оцинкованої сталi</v>
          </cell>
          <cell r="D125" t="str">
            <v>100м2</v>
          </cell>
          <cell r="E125">
            <v>7.7700000000000019E-2</v>
          </cell>
          <cell r="F125">
            <v>8300</v>
          </cell>
          <cell r="G125">
            <v>644.91</v>
          </cell>
        </row>
        <row r="126">
          <cell r="B126" t="str">
            <v>С111-1797-1Н</v>
          </cell>
          <cell r="C126" t="str">
            <v>Лист ОЦ РЕ 25мк, товщ.0,5мм ф.Blachy
Pruszynski</v>
          </cell>
          <cell r="D126" t="str">
            <v>м2</v>
          </cell>
          <cell r="E126">
            <v>5.55</v>
          </cell>
          <cell r="F126">
            <v>292.70999999999998</v>
          </cell>
          <cell r="G126">
            <v>1624.54</v>
          </cell>
        </row>
        <row r="127">
          <cell r="B127" t="str">
            <v>С111-1810</v>
          </cell>
          <cell r="C127" t="str">
            <v>Сталь штабова 720х40х4</v>
          </cell>
          <cell r="D127" t="str">
            <v>т</v>
          </cell>
          <cell r="E127" t="str">
            <v>0,
01266048</v>
          </cell>
          <cell r="F127">
            <v>27153.49</v>
          </cell>
          <cell r="G127">
            <v>343.78</v>
          </cell>
        </row>
        <row r="128">
          <cell r="B128" t="str">
            <v>С1545-42-1-М</v>
          </cell>
          <cell r="C128" t="str">
            <v>Дюбель 6х60</v>
          </cell>
          <cell r="D128" t="str">
            <v>шт</v>
          </cell>
          <cell r="E128">
            <v>42</v>
          </cell>
          <cell r="F128">
            <v>0.65</v>
          </cell>
          <cell r="G128">
            <v>27.3</v>
          </cell>
        </row>
        <row r="129">
          <cell r="B129" t="str">
            <v>С111-1797-1Н</v>
          </cell>
          <cell r="C129" t="str">
            <v>Лист ОЦ  0,5х300 ф.Blachy Pruszynski</v>
          </cell>
          <cell r="D129" t="str">
            <v>м2</v>
          </cell>
          <cell r="E129">
            <v>2.2200000000000002</v>
          </cell>
          <cell r="F129">
            <v>284.27999999999997</v>
          </cell>
          <cell r="G129">
            <v>631.1</v>
          </cell>
        </row>
        <row r="130">
          <cell r="B130" t="str">
            <v>С111-136-3-5Ц</v>
          </cell>
          <cell r="C130" t="str">
            <v>Дюбель 6х40</v>
          </cell>
          <cell r="D130" t="str">
            <v>шт</v>
          </cell>
          <cell r="E130">
            <v>14</v>
          </cell>
          <cell r="F130">
            <v>0.53</v>
          </cell>
          <cell r="G130">
            <v>7.42</v>
          </cell>
        </row>
        <row r="131">
          <cell r="B131" t="str">
            <v>С1545-42-4Н</v>
          </cell>
          <cell r="C131" t="str">
            <v>Саморіз по металу 5,5х25мм</v>
          </cell>
          <cell r="D131" t="str">
            <v>100шт</v>
          </cell>
          <cell r="E131">
            <v>0.14000000000000001</v>
          </cell>
          <cell r="F131">
            <v>123.75</v>
          </cell>
          <cell r="G131">
            <v>17.329999999999998</v>
          </cell>
        </row>
        <row r="132">
          <cell r="B132" t="str">
            <v>Е12-15-1</v>
          </cell>
          <cell r="C132" t="str">
            <v>Улаштування дрiбних покриттiв
[брандмауери, парапети, звiси i т.п.] iз
листової оцинкованої сталi</v>
          </cell>
          <cell r="D132" t="str">
            <v>100м2</v>
          </cell>
          <cell r="E132">
            <v>3.6999999999999998E-2</v>
          </cell>
          <cell r="F132">
            <v>8300</v>
          </cell>
          <cell r="G132">
            <v>307.10000000000002</v>
          </cell>
        </row>
        <row r="133">
          <cell r="B133" t="str">
            <v>С111-1797-1Н</v>
          </cell>
          <cell r="C133" t="str">
            <v>Лист ОЦ  0,5х300 ф.Blachy Pruszynski</v>
          </cell>
          <cell r="D133" t="str">
            <v>м2</v>
          </cell>
          <cell r="E133">
            <v>3.7</v>
          </cell>
          <cell r="F133">
            <v>284.27999999999997</v>
          </cell>
          <cell r="G133">
            <v>1051.8399999999999</v>
          </cell>
        </row>
        <row r="134">
          <cell r="B134" t="str">
            <v>С1545-42-4Н</v>
          </cell>
          <cell r="C134" t="str">
            <v>Саморіз по металу 5,5х25мм</v>
          </cell>
          <cell r="D134" t="str">
            <v>100шт</v>
          </cell>
          <cell r="E134">
            <v>0.93</v>
          </cell>
          <cell r="F134">
            <v>123.75</v>
          </cell>
          <cell r="G134">
            <v>115.09</v>
          </cell>
        </row>
        <row r="135">
          <cell r="B135" t="str">
            <v>С111-136-3-5Ц</v>
          </cell>
          <cell r="C135" t="str">
            <v>Дюбель 6х40</v>
          </cell>
          <cell r="D135" t="str">
            <v>шт</v>
          </cell>
          <cell r="E135">
            <v>24</v>
          </cell>
          <cell r="F135">
            <v>0.53</v>
          </cell>
          <cell r="G135">
            <v>12.72</v>
          </cell>
        </row>
        <row r="136">
          <cell r="B136" t="str">
            <v>ЕН8-27-2</v>
          </cell>
          <cell r="C136" t="str">
            <v>Укладання пiдвiконних залiзобетонних
плит гладких</v>
          </cell>
          <cell r="D136" t="str">
            <v>100м2</v>
          </cell>
          <cell r="E136">
            <v>5.0000000000000001E-3</v>
          </cell>
          <cell r="F136">
            <v>22130.95</v>
          </cell>
          <cell r="G136">
            <v>110.65</v>
          </cell>
        </row>
        <row r="137">
          <cell r="B137" t="str">
            <v>К589121-К423</v>
          </cell>
          <cell r="C137" t="str">
            <v>Плити пiдвiконнi мирки ПО10.25.45-Т серiя
1.136.1-13</v>
          </cell>
          <cell r="D137" t="str">
            <v>шт</v>
          </cell>
          <cell r="E137">
            <v>2</v>
          </cell>
          <cell r="F137">
            <v>79.819999999999993</v>
          </cell>
          <cell r="G137">
            <v>159.63999999999999</v>
          </cell>
        </row>
        <row r="138">
          <cell r="B138" t="str">
            <v>ЕН8-20-1</v>
          </cell>
          <cell r="C138" t="str">
            <v>Мурування стiн iз легкобетонних каменiв
без облицювання при висотi поверху до 4 м</v>
          </cell>
          <cell r="D138" t="str">
            <v>1 м3</v>
          </cell>
          <cell r="E138">
            <v>32.200000000000003</v>
          </cell>
          <cell r="F138">
            <v>379.13</v>
          </cell>
          <cell r="G138">
            <v>12207.99</v>
          </cell>
        </row>
        <row r="139">
          <cell r="B139" t="str">
            <v>С1427-11804</v>
          </cell>
          <cell r="C139" t="str">
            <v>Блоки газобетонні</v>
          </cell>
          <cell r="D139" t="str">
            <v>м3</v>
          </cell>
          <cell r="E139">
            <v>29.623999999999999</v>
          </cell>
          <cell r="F139">
            <v>1319.39</v>
          </cell>
          <cell r="G139">
            <v>39085.61</v>
          </cell>
        </row>
        <row r="140">
          <cell r="B140" t="str">
            <v>С111-327-Н</v>
          </cell>
          <cell r="C140" t="str">
            <v>Клейова суміш DK TBM</v>
          </cell>
          <cell r="D140" t="str">
            <v>кг</v>
          </cell>
          <cell r="E140">
            <v>644</v>
          </cell>
          <cell r="F140">
            <v>4.96</v>
          </cell>
          <cell r="G140">
            <v>3194.24</v>
          </cell>
        </row>
        <row r="141">
          <cell r="B141" t="str">
            <v>ЕН15-78-1</v>
          </cell>
          <cell r="C141" t="str">
            <v>Утеплення фасадів мінеральними
плитами товщиною 100 мм з
опорядженням декоротивним розчином за
технологією "CEREZIT". Стіни гладкі</v>
          </cell>
          <cell r="D141" t="str">
            <v>100 м2</v>
          </cell>
          <cell r="E141">
            <v>0.65800000000000003</v>
          </cell>
          <cell r="F141">
            <v>39030.9</v>
          </cell>
          <cell r="G141">
            <v>25682.33</v>
          </cell>
        </row>
        <row r="142">
          <cell r="B142" t="str">
            <v>С111-1624-2</v>
          </cell>
          <cell r="C142" t="str">
            <v>Глибокопроникна грунтувальна суміш
Baumin Grund</v>
          </cell>
          <cell r="D142" t="str">
            <v>л</v>
          </cell>
          <cell r="E142">
            <v>13.16</v>
          </cell>
          <cell r="F142">
            <v>36.049999999999997</v>
          </cell>
          <cell r="G142">
            <v>474.42</v>
          </cell>
        </row>
        <row r="143">
          <cell r="B143" t="str">
            <v>С111-2011-7Н</v>
          </cell>
          <cell r="C143" t="str">
            <v>Клейова сумiш Baumit NivoFix</v>
          </cell>
          <cell r="D143" t="str">
            <v>кг</v>
          </cell>
          <cell r="E143">
            <v>263.2</v>
          </cell>
          <cell r="F143">
            <v>9.57</v>
          </cell>
          <cell r="G143">
            <v>2518.8200000000002</v>
          </cell>
        </row>
        <row r="144">
          <cell r="B144" t="str">
            <v>С114-4-У</v>
          </cell>
          <cell r="C144" t="str">
            <v>Мiнераловатни плити TERMOLIFE TЛ ЕКО
Фасад 50мм</v>
          </cell>
          <cell r="D144" t="str">
            <v>м3</v>
          </cell>
          <cell r="E144">
            <v>3.5202999999999998</v>
          </cell>
          <cell r="F144">
            <v>2880.52</v>
          </cell>
          <cell r="G144">
            <v>10140.290000000001</v>
          </cell>
        </row>
        <row r="145">
          <cell r="B145" t="str">
            <v>С111-136-3Н</v>
          </cell>
          <cell r="C145" t="str">
            <v>Дюбелі фасадні LMX-10120 ф.Baumit</v>
          </cell>
          <cell r="D145" t="str">
            <v>шт</v>
          </cell>
          <cell r="E145">
            <v>532</v>
          </cell>
          <cell r="F145">
            <v>3.97</v>
          </cell>
          <cell r="G145">
            <v>2112.04</v>
          </cell>
        </row>
        <row r="146">
          <cell r="B146" t="str">
            <v>С111-2011-7Н</v>
          </cell>
          <cell r="C146" t="str">
            <v>Клейова шпаклювальна сумiш Baumit
ProContact-1-1.5мм</v>
          </cell>
          <cell r="D146" t="str">
            <v>кг</v>
          </cell>
          <cell r="E146">
            <v>263.2</v>
          </cell>
          <cell r="F146">
            <v>15.37</v>
          </cell>
          <cell r="G146">
            <v>4045.38</v>
          </cell>
        </row>
        <row r="147">
          <cell r="B147" t="str">
            <v>С111-1784-1Н</v>
          </cell>
          <cell r="C147" t="str">
            <v>Склосітка Baumit StarTex</v>
          </cell>
          <cell r="D147" t="str">
            <v>м2</v>
          </cell>
          <cell r="E147">
            <v>75.67</v>
          </cell>
          <cell r="F147">
            <v>50.6</v>
          </cell>
          <cell r="G147">
            <v>3828.9</v>
          </cell>
        </row>
        <row r="148">
          <cell r="B148" t="str">
            <v>С111-2011-7Н</v>
          </cell>
          <cell r="C148" t="str">
            <v>Клейова шпаклювальна сумiш Baumit
ProContact-2.5-3мм</v>
          </cell>
          <cell r="D148" t="str">
            <v>кг</v>
          </cell>
          <cell r="E148">
            <v>263.2</v>
          </cell>
          <cell r="F148">
            <v>15.37</v>
          </cell>
          <cell r="G148">
            <v>4045.38</v>
          </cell>
        </row>
        <row r="149">
          <cell r="B149" t="str">
            <v>С111-1624-2</v>
          </cell>
          <cell r="C149" t="str">
            <v>Грунтувальна суміш Baumit UniPrimer</v>
          </cell>
          <cell r="D149" t="str">
            <v>л</v>
          </cell>
          <cell r="E149">
            <v>11.186</v>
          </cell>
          <cell r="F149">
            <v>58.93</v>
          </cell>
          <cell r="G149">
            <v>659.19</v>
          </cell>
        </row>
        <row r="150">
          <cell r="B150" t="str">
            <v>С111-2012-3Н</v>
          </cell>
          <cell r="C150" t="str">
            <v>Штукатурка Baumit Nanopor Top (фактура
"баранец" 1,5мм)</v>
          </cell>
          <cell r="D150" t="str">
            <v>кг</v>
          </cell>
          <cell r="E150">
            <v>177.66</v>
          </cell>
          <cell r="F150">
            <v>207.09</v>
          </cell>
          <cell r="G150">
            <v>36791.96</v>
          </cell>
        </row>
        <row r="151">
          <cell r="B151" t="str">
            <v>ЕН15-158-3</v>
          </cell>
          <cell r="C151" t="str">
            <v>Фарбування фасадiв виключати</v>
          </cell>
          <cell r="D151" t="str">
            <v>100м2</v>
          </cell>
          <cell r="E151">
            <v>-0.65800000000000003</v>
          </cell>
          <cell r="F151">
            <v>651.36</v>
          </cell>
          <cell r="G151">
            <v>-428.59</v>
          </cell>
        </row>
        <row r="152">
          <cell r="B152" t="str">
            <v>Е9-25-1</v>
          </cell>
          <cell r="C152" t="str">
            <v>Монтаж прогонiв iз кроком ферм до 12 м
при висотi будiвлi до 25 м</v>
          </cell>
          <cell r="D152" t="str">
            <v>т</v>
          </cell>
          <cell r="E152">
            <v>0.7573200000000001</v>
          </cell>
          <cell r="F152">
            <v>4612.2700000000004</v>
          </cell>
          <cell r="G152">
            <v>3492.96</v>
          </cell>
        </row>
        <row r="153">
          <cell r="B153" t="str">
            <v>С121-782</v>
          </cell>
          <cell r="C153" t="str">
            <v>Металевi конструкцiї (швелер гнутий з
листовоі сталі товщ.4мм -3000х670х4 12шт.)</v>
          </cell>
          <cell r="D153" t="str">
            <v>т</v>
          </cell>
          <cell r="E153">
            <v>0.7573200000000001</v>
          </cell>
          <cell r="F153">
            <v>38537.33</v>
          </cell>
          <cell r="G153">
            <v>29185.09</v>
          </cell>
        </row>
        <row r="154">
          <cell r="B154" t="str">
            <v>Е34-57-1</v>
          </cell>
          <cell r="C154" t="str">
            <v>Заповнення каркасiв стiн
мiнераловатними плитами при товщинi
заповнення 50 мм</v>
          </cell>
          <cell r="D154" t="str">
            <v>100м2</v>
          </cell>
          <cell r="E154">
            <v>0.18</v>
          </cell>
          <cell r="F154">
            <v>2183.5100000000002</v>
          </cell>
          <cell r="G154">
            <v>393.03</v>
          </cell>
        </row>
        <row r="155">
          <cell r="B155" t="str">
            <v>С114-4-У-2</v>
          </cell>
          <cell r="C155" t="str">
            <v>Плити "TERMOLIFE" тип "ТЛ КРОВЛЯ В"
товщ. 50мм</v>
          </cell>
          <cell r="D155" t="str">
            <v>м3</v>
          </cell>
          <cell r="E155">
            <v>0.9</v>
          </cell>
          <cell r="F155">
            <v>1770.54</v>
          </cell>
          <cell r="G155">
            <v>1593.49</v>
          </cell>
        </row>
        <row r="156">
          <cell r="B156" t="str">
            <v>Е34-57-2</v>
          </cell>
          <cell r="C156" t="str">
            <v>Заповнення каркасiв стiн
мiнераловатними плитами при товщинi
заповнення 100 мм</v>
          </cell>
          <cell r="D156" t="str">
            <v>100м2</v>
          </cell>
          <cell r="E156">
            <v>0.21</v>
          </cell>
          <cell r="F156">
            <v>4360.68</v>
          </cell>
          <cell r="G156">
            <v>915.74</v>
          </cell>
        </row>
        <row r="157">
          <cell r="B157" t="str">
            <v>С114-4-У-1</v>
          </cell>
          <cell r="C157" t="str">
            <v>Плити "TERMOLIFE" тип "ТЛ КРОВЛЯ Н"
товщ. 100мм</v>
          </cell>
          <cell r="D157" t="str">
            <v>м3</v>
          </cell>
          <cell r="E157">
            <v>2.1</v>
          </cell>
          <cell r="F157">
            <v>2216.4299999999998</v>
          </cell>
          <cell r="G157">
            <v>4654.5</v>
          </cell>
        </row>
        <row r="158">
          <cell r="B158" t="str">
            <v>РН8-45-1</v>
          </cell>
          <cell r="C158" t="str">
            <v>Улаштування примикань висотою 400 мм
з рулонних покрiвельних матерiалiв до
цегляних стiн i парапетiв iз
застосуванням газопламеневих пальникiв,
з улаштуванням фартуха з оцинкованої
сталi</v>
          </cell>
          <cell r="D158" t="str">
            <v>100 м</v>
          </cell>
          <cell r="E158">
            <v>0.36</v>
          </cell>
          <cell r="F158">
            <v>7350</v>
          </cell>
          <cell r="G158">
            <v>2646</v>
          </cell>
        </row>
        <row r="159">
          <cell r="B159" t="str">
            <v>РН8-45-5к=1,5</v>
          </cell>
          <cell r="C159" t="str">
            <v>Додавати або виключати на кожнi 100 мм
змiни висоти примикання з рулонних
покрiвельних матерiалiв до цегляних стiн i
парапетiв [при улаштуванні примикань]
(виключати до Н=250)</v>
          </cell>
          <cell r="D159" t="str">
            <v>100 м</v>
          </cell>
          <cell r="E159">
            <v>-0.36</v>
          </cell>
          <cell r="F159">
            <v>247.21</v>
          </cell>
          <cell r="G159">
            <v>-89</v>
          </cell>
        </row>
        <row r="160">
          <cell r="B160" t="str">
            <v>С111-72-2</v>
          </cell>
          <cell r="C160" t="str">
            <v>Праймер бітумний готовий до застосування
"Технониколь-1"</v>
          </cell>
          <cell r="D160" t="str">
            <v>т</v>
          </cell>
          <cell r="E160">
            <v>1.1160000000000002E-2</v>
          </cell>
          <cell r="F160">
            <v>78784.53</v>
          </cell>
          <cell r="G160">
            <v>879.24</v>
          </cell>
        </row>
        <row r="161">
          <cell r="B161" t="str">
            <v>С111-213-2</v>
          </cell>
          <cell r="C161" t="str">
            <v>Морозостійкий герметик бітумний
покрівельний ROOF TM "DAP" (бал.300мл)</v>
          </cell>
          <cell r="D161" t="str">
            <v>шт</v>
          </cell>
          <cell r="E161">
            <v>2</v>
          </cell>
          <cell r="F161">
            <v>114.85</v>
          </cell>
          <cell r="G161">
            <v>229.7</v>
          </cell>
        </row>
        <row r="162">
          <cell r="B162" t="str">
            <v>С111-859</v>
          </cell>
          <cell r="C162" t="str">
            <v>Рубероид наплавляемый " Біполь" ЕКП 4,0</v>
          </cell>
          <cell r="D162" t="str">
            <v>м2</v>
          </cell>
          <cell r="E162">
            <v>15.3</v>
          </cell>
          <cell r="F162">
            <v>98.38</v>
          </cell>
          <cell r="G162">
            <v>1505.21</v>
          </cell>
        </row>
        <row r="163">
          <cell r="B163" t="str">
            <v>С111-857</v>
          </cell>
          <cell r="C163" t="str">
            <v>Руберойд пiдкладний Біполь ЕПП 3,0</v>
          </cell>
          <cell r="D163" t="str">
            <v>м2</v>
          </cell>
          <cell r="E163">
            <v>15.3</v>
          </cell>
          <cell r="F163">
            <v>91.93</v>
          </cell>
          <cell r="G163">
            <v>1406.53</v>
          </cell>
        </row>
        <row r="164">
          <cell r="B164" t="str">
            <v>Е12-1-7</v>
          </cell>
          <cell r="C164" t="str">
            <v>Улаштування додаткового шару
покрiвельних рулонних наплавлюваних
матерiалiв</v>
          </cell>
          <cell r="D164" t="str">
            <v>100м2</v>
          </cell>
          <cell r="E164">
            <v>0.108</v>
          </cell>
          <cell r="F164">
            <v>1271.99</v>
          </cell>
          <cell r="G164">
            <v>137.37</v>
          </cell>
        </row>
        <row r="165">
          <cell r="B165" t="str">
            <v>С111-857</v>
          </cell>
          <cell r="C165" t="str">
            <v>Руберойд пiдкладний Біполь ЕПП 3,0</v>
          </cell>
          <cell r="D165" t="str">
            <v>м2</v>
          </cell>
          <cell r="E165">
            <v>12.42</v>
          </cell>
          <cell r="F165">
            <v>91.93</v>
          </cell>
          <cell r="G165">
            <v>1141.77</v>
          </cell>
        </row>
        <row r="166">
          <cell r="B166" t="str">
            <v>С114-4-У-1</v>
          </cell>
          <cell r="C166" t="str">
            <v>Плити "TERMOLIFE" тип "ТЛ КРОВЛЯ Н"
товщ. 100мм</v>
          </cell>
          <cell r="D166" t="str">
            <v>м3</v>
          </cell>
          <cell r="E166">
            <v>0.18</v>
          </cell>
          <cell r="F166">
            <v>2216.4299999999998</v>
          </cell>
          <cell r="G166">
            <v>398.96</v>
          </cell>
        </row>
        <row r="167">
          <cell r="B167" t="str">
            <v>С111-1797-1Н</v>
          </cell>
          <cell r="C167" t="str">
            <v>Лист ОЦ РЕ 25мк, товщ.0,5мм ф.Blachy
Pruszynski</v>
          </cell>
          <cell r="D167" t="str">
            <v>м2</v>
          </cell>
          <cell r="E167">
            <v>10.8</v>
          </cell>
          <cell r="F167">
            <v>292.70999999999998</v>
          </cell>
          <cell r="G167">
            <v>3161.27</v>
          </cell>
        </row>
        <row r="168">
          <cell r="B168" t="str">
            <v>С111-150-1</v>
          </cell>
          <cell r="C168" t="str">
            <v>Дюбель 8х100 мм</v>
          </cell>
          <cell r="D168" t="str">
            <v>100шт</v>
          </cell>
          <cell r="E168">
            <v>1.8</v>
          </cell>
          <cell r="F168">
            <v>202.71</v>
          </cell>
          <cell r="G168">
            <v>364.88</v>
          </cell>
        </row>
        <row r="169">
          <cell r="B169" t="str">
            <v>Е12-15-1</v>
          </cell>
          <cell r="C169" t="str">
            <v>Улаштування дрiбних покриттiв
[брандмауери, парапети, звiси i т.п.] iз
листової оцинкованої сталi</v>
          </cell>
          <cell r="D169" t="str">
            <v>100м2</v>
          </cell>
          <cell r="E169">
            <v>0.52560000000000007</v>
          </cell>
          <cell r="F169">
            <v>8300</v>
          </cell>
          <cell r="G169">
            <v>4362.4799999999996</v>
          </cell>
        </row>
        <row r="170">
          <cell r="B170" t="str">
            <v>С111-1797-1Н</v>
          </cell>
          <cell r="C170" t="str">
            <v>Лист ОЦ РЕ 25мк, 0,5х1030 ф.Blachy
Pruszynski</v>
          </cell>
          <cell r="D170" t="str">
            <v>м2</v>
          </cell>
          <cell r="E170">
            <v>37.08</v>
          </cell>
          <cell r="F170">
            <v>292.70999999999998</v>
          </cell>
          <cell r="G170">
            <v>10853.69</v>
          </cell>
        </row>
        <row r="171">
          <cell r="B171" t="str">
            <v>С111-1810</v>
          </cell>
          <cell r="C171" t="str">
            <v>Сталь штабова 650х40х4</v>
          </cell>
          <cell r="D171" t="str">
            <v>т</v>
          </cell>
          <cell r="E171">
            <v>5.0020000000000002E-2</v>
          </cell>
          <cell r="F171">
            <v>27153.49</v>
          </cell>
          <cell r="G171">
            <v>1358.22</v>
          </cell>
        </row>
        <row r="172">
          <cell r="B172" t="str">
            <v>С111-136-3-5Ц</v>
          </cell>
          <cell r="C172" t="str">
            <v>Дюбель 6х40</v>
          </cell>
          <cell r="D172" t="str">
            <v>шт</v>
          </cell>
          <cell r="E172">
            <v>61</v>
          </cell>
          <cell r="F172">
            <v>0.53</v>
          </cell>
          <cell r="G172">
            <v>32.33</v>
          </cell>
        </row>
        <row r="173">
          <cell r="B173" t="str">
            <v>С1545-42-1-М</v>
          </cell>
          <cell r="C173" t="str">
            <v>Дюбель 6х60</v>
          </cell>
          <cell r="D173" t="str">
            <v>шт</v>
          </cell>
          <cell r="E173">
            <v>183</v>
          </cell>
          <cell r="F173">
            <v>0.65</v>
          </cell>
          <cell r="G173">
            <v>118.95</v>
          </cell>
        </row>
        <row r="174">
          <cell r="B174" t="str">
            <v>С111-1853-6</v>
          </cell>
          <cell r="C174" t="str">
            <v>Цвяхи покрівельні 3,5х40 мм</v>
          </cell>
          <cell r="D174" t="str">
            <v>т</v>
          </cell>
          <cell r="E174" t="str">
            <v>0,
0004806</v>
          </cell>
          <cell r="F174">
            <v>44492.07</v>
          </cell>
          <cell r="G174">
            <v>21.38</v>
          </cell>
        </row>
        <row r="175">
          <cell r="B175" t="str">
            <v>С111-1797-1Н</v>
          </cell>
          <cell r="C175" t="str">
            <v>Лист ОЦ  0,5х430 ф.Blachy Pruszynski</v>
          </cell>
          <cell r="D175" t="str">
            <v>м2</v>
          </cell>
          <cell r="E175">
            <v>15.48</v>
          </cell>
          <cell r="F175">
            <v>284.27999999999997</v>
          </cell>
          <cell r="G175">
            <v>4400.6499999999996</v>
          </cell>
        </row>
        <row r="176">
          <cell r="B176" t="str">
            <v>С113-2122</v>
          </cell>
          <cell r="C176" t="str">
            <v>Болт М8х75 (з гайкою і шайбою)</v>
          </cell>
          <cell r="D176" t="str">
            <v>шт</v>
          </cell>
          <cell r="E176">
            <v>61</v>
          </cell>
          <cell r="F176">
            <v>5.7</v>
          </cell>
          <cell r="G176">
            <v>347.7</v>
          </cell>
        </row>
        <row r="177">
          <cell r="B177" t="str">
            <v>С1545-42-1Н</v>
          </cell>
          <cell r="C177" t="str">
            <v>Саморіз по металу 5,5х32мм</v>
          </cell>
          <cell r="D177" t="str">
            <v>100шт</v>
          </cell>
          <cell r="E177">
            <v>1.21</v>
          </cell>
          <cell r="F177">
            <v>155.41</v>
          </cell>
          <cell r="G177">
            <v>188.05</v>
          </cell>
        </row>
        <row r="178">
          <cell r="B178" t="str">
            <v>ЕН15-171-3</v>
          </cell>
          <cell r="C178" t="str">
            <v>Олiйне фарбування бiлилами з додаванням
кольору сталевих балок, труб дiаметром
понад 50 мм тощо за два рази</v>
          </cell>
          <cell r="D178" t="str">
            <v>100м2</v>
          </cell>
          <cell r="E178">
            <v>0.51600000000000001</v>
          </cell>
          <cell r="F178">
            <v>4034.36</v>
          </cell>
          <cell r="G178">
            <v>2081.73</v>
          </cell>
        </row>
        <row r="179">
          <cell r="B179" t="str">
            <v>С111-1673-1</v>
          </cell>
          <cell r="C179" t="str">
            <v>Эмаль "ЗЕБРА" (3 в 1) антикорозійна</v>
          </cell>
          <cell r="D179" t="str">
            <v>л</v>
          </cell>
          <cell r="E179">
            <v>9.3420000000000005</v>
          </cell>
          <cell r="F179">
            <v>182.96</v>
          </cell>
          <cell r="G179">
            <v>1709.21</v>
          </cell>
        </row>
        <row r="180">
          <cell r="B180" t="str">
            <v>ЕН10-55-1</v>
          </cell>
          <cell r="C180" t="str">
            <v>Вогнезахист дерев'яних конструкцiй ферм,
арок, балок, крокв, мауерлатiв</v>
          </cell>
          <cell r="D180" t="str">
            <v>10м3</v>
          </cell>
          <cell r="E180">
            <v>1.8000000000000002E-2</v>
          </cell>
          <cell r="F180">
            <v>790.2</v>
          </cell>
          <cell r="G180">
            <v>14.22</v>
          </cell>
        </row>
        <row r="181">
          <cell r="B181" t="str">
            <v>С1113-299</v>
          </cell>
          <cell r="C181" t="str">
            <v>Порошок ДСА-1</v>
          </cell>
          <cell r="D181" t="str">
            <v>кг</v>
          </cell>
          <cell r="E181">
            <v>1.0044</v>
          </cell>
          <cell r="F181">
            <v>46.47</v>
          </cell>
          <cell r="G181">
            <v>46.67</v>
          </cell>
        </row>
        <row r="182">
          <cell r="B182" t="str">
            <v>ЕН10-7-3</v>
          </cell>
          <cell r="C182" t="str">
            <v>Обшивання каркасних стiн плитами OSB-3
товщ.12мм</v>
          </cell>
          <cell r="D182" t="str">
            <v>100м2</v>
          </cell>
          <cell r="E182">
            <v>0.22700000000000001</v>
          </cell>
          <cell r="F182">
            <v>2057.61</v>
          </cell>
          <cell r="G182">
            <v>467.08</v>
          </cell>
        </row>
        <row r="183">
          <cell r="B183" t="str">
            <v>С111-701-3</v>
          </cell>
          <cell r="C183" t="str">
            <v>Плити OSB-3 ф."КРОНО-Украина", товщина
12 мм</v>
          </cell>
          <cell r="D183" t="str">
            <v>м2</v>
          </cell>
          <cell r="E183">
            <v>23.267499999999998</v>
          </cell>
          <cell r="F183">
            <v>125.79</v>
          </cell>
          <cell r="G183">
            <v>2926.82</v>
          </cell>
        </row>
        <row r="184">
          <cell r="B184" t="str">
            <v>Е9-25-1</v>
          </cell>
          <cell r="C184" t="str">
            <v>Монтаж прогонiв iз кроком ферм до 12 м
при висотi будiвлi до 25 м</v>
          </cell>
          <cell r="D184" t="str">
            <v>т</v>
          </cell>
          <cell r="E184">
            <v>0.62121000000000004</v>
          </cell>
          <cell r="F184">
            <v>2498.64</v>
          </cell>
          <cell r="G184">
            <v>1552.18</v>
          </cell>
        </row>
        <row r="185">
          <cell r="B185" t="str">
            <v>С121-782</v>
          </cell>
          <cell r="C185" t="str">
            <v>Металевi конструкцiї (швелер гнутий з
листовоі сталі товщ.4мм -3000х545х4 12шт. -
300х545х4 1шт.)</v>
          </cell>
          <cell r="D185" t="str">
            <v>т</v>
          </cell>
          <cell r="E185">
            <v>0.62121000000000004</v>
          </cell>
          <cell r="F185">
            <v>38537.33</v>
          </cell>
          <cell r="G185">
            <v>23939.77</v>
          </cell>
        </row>
        <row r="186">
          <cell r="B186" t="str">
            <v>Е12-15-1</v>
          </cell>
          <cell r="C186" t="str">
            <v>Улаштування дрiбних покриттiв
[брандмауери, парапети, звiси i т.п.] iз
листової оцинкованої сталi</v>
          </cell>
          <cell r="D186" t="str">
            <v>100м2</v>
          </cell>
          <cell r="E186">
            <v>3.6299999999999999E-2</v>
          </cell>
          <cell r="F186">
            <v>8300</v>
          </cell>
          <cell r="G186">
            <v>301.29000000000002</v>
          </cell>
        </row>
        <row r="187">
          <cell r="B187" t="str">
            <v>С111-1801-1Н</v>
          </cell>
          <cell r="C187" t="str">
            <v>L прогон 50х50х1,25 ф. Blachy Pruszynski</v>
          </cell>
          <cell r="D187" t="str">
            <v>м</v>
          </cell>
          <cell r="E187">
            <v>36.299999999999997</v>
          </cell>
          <cell r="F187">
            <v>54.64</v>
          </cell>
          <cell r="G187">
            <v>1983.43</v>
          </cell>
        </row>
        <row r="188">
          <cell r="B188" t="str">
            <v>С1545-42-1Н</v>
          </cell>
          <cell r="C188" t="str">
            <v>Саморіз по металу 5,5х32мм</v>
          </cell>
          <cell r="D188" t="str">
            <v>100шт</v>
          </cell>
          <cell r="E188">
            <v>4.4400000000000004</v>
          </cell>
          <cell r="F188">
            <v>155.41</v>
          </cell>
          <cell r="G188">
            <v>690.02</v>
          </cell>
        </row>
        <row r="189">
          <cell r="B189" t="str">
            <v>С1545-42-4Н</v>
          </cell>
          <cell r="C189" t="str">
            <v>Саморіз по металу 5,5х25мм</v>
          </cell>
          <cell r="D189" t="str">
            <v>100шт</v>
          </cell>
          <cell r="E189">
            <v>1.24</v>
          </cell>
          <cell r="F189">
            <v>123.75</v>
          </cell>
          <cell r="G189">
            <v>153.44999999999999</v>
          </cell>
        </row>
        <row r="190">
          <cell r="B190" t="str">
            <v>С111-1853-6</v>
          </cell>
          <cell r="C190" t="str">
            <v>Цвяхи покрівельні 3,5х40 мм</v>
          </cell>
          <cell r="D190" t="str">
            <v>т</v>
          </cell>
          <cell r="E190" t="str">
            <v>0,
00097722</v>
          </cell>
          <cell r="F190">
            <v>44492.07</v>
          </cell>
          <cell r="G190">
            <v>43.48</v>
          </cell>
        </row>
        <row r="191">
          <cell r="B191" t="str">
            <v>С113-2122</v>
          </cell>
          <cell r="C191" t="str">
            <v>Болт М8х75 (з гайкою і шайбою)</v>
          </cell>
          <cell r="D191" t="str">
            <v>шт</v>
          </cell>
          <cell r="E191">
            <v>62</v>
          </cell>
          <cell r="F191">
            <v>5.7</v>
          </cell>
          <cell r="G191">
            <v>353.4</v>
          </cell>
        </row>
        <row r="192">
          <cell r="B192" t="str">
            <v>Е34-57-1</v>
          </cell>
          <cell r="C192" t="str">
            <v>Заповнення каркасiв стiн
мiнераловатними плитами при товщинi
заповнення 50 мм</v>
          </cell>
          <cell r="D192" t="str">
            <v>100м2</v>
          </cell>
          <cell r="E192">
            <v>0.14000000000000001</v>
          </cell>
          <cell r="F192">
            <v>2183.5100000000002</v>
          </cell>
          <cell r="G192">
            <v>305.69</v>
          </cell>
        </row>
        <row r="193">
          <cell r="B193" t="str">
            <v>С114-4-У-2</v>
          </cell>
          <cell r="C193" t="str">
            <v>Плити "TERMOLIFE" тип "ТЛ КРОВЛЯ В"
товщ. 50мм</v>
          </cell>
          <cell r="D193" t="str">
            <v>м3</v>
          </cell>
          <cell r="E193">
            <v>0.7</v>
          </cell>
          <cell r="F193">
            <v>1770.54</v>
          </cell>
          <cell r="G193">
            <v>1239.3800000000001</v>
          </cell>
        </row>
        <row r="194">
          <cell r="B194" t="str">
            <v>Е34-57-2</v>
          </cell>
          <cell r="C194" t="str">
            <v>Заповнення каркасiв стiн
мiнераловатними плитами при товщинi
заповнення 100 мм</v>
          </cell>
          <cell r="D194" t="str">
            <v>100м2</v>
          </cell>
          <cell r="E194">
            <v>0.11</v>
          </cell>
          <cell r="F194">
            <v>4360.68</v>
          </cell>
          <cell r="G194">
            <v>479.67</v>
          </cell>
        </row>
        <row r="195">
          <cell r="B195" t="str">
            <v>С114-4-У-1</v>
          </cell>
          <cell r="C195" t="str">
            <v>Плити "TERMOLIFE" тип "ТЛ КРОВЛЯ Н"
товщ. 100мм</v>
          </cell>
          <cell r="D195" t="str">
            <v>м3</v>
          </cell>
          <cell r="E195">
            <v>1.1000000000000001</v>
          </cell>
          <cell r="F195">
            <v>2216.4299999999998</v>
          </cell>
          <cell r="G195">
            <v>2438.0700000000002</v>
          </cell>
        </row>
        <row r="196">
          <cell r="B196" t="str">
            <v>РН8-45-1</v>
          </cell>
          <cell r="C196" t="str">
            <v>Улаштування примикань висотою 400 мм
з рулонних покрiвельних матерiалiв до
цегляних стiн i парапетiв iз
застосуванням газопламеневих пальникiв,
з улаштуванням фартуха з оцинкованої
сталi</v>
          </cell>
          <cell r="D196" t="str">
            <v>100 м</v>
          </cell>
          <cell r="E196">
            <v>0.36299999999999999</v>
          </cell>
          <cell r="F196">
            <v>7350</v>
          </cell>
          <cell r="G196">
            <v>2668.05</v>
          </cell>
        </row>
        <row r="197">
          <cell r="B197" t="str">
            <v>РН8-45-5к=1,5</v>
          </cell>
          <cell r="C197" t="str">
            <v>Додавати або виключати на кожнi 100 мм
змiни висоти примикання з рулонних
покрiвельних матерiалiв до цегляних стiн i
парапетiв [при улаштуванні примикань]
(виключати до Н=250)</v>
          </cell>
          <cell r="D197" t="str">
            <v>100 м</v>
          </cell>
          <cell r="E197">
            <v>-0.36299999999999999</v>
          </cell>
          <cell r="F197">
            <v>247.21</v>
          </cell>
          <cell r="G197">
            <v>-89.74</v>
          </cell>
        </row>
        <row r="198">
          <cell r="B198" t="str">
            <v>С111-72-2</v>
          </cell>
          <cell r="C198" t="str">
            <v>Праймер бітумний готовий до застосування
"Технониколь-1"</v>
          </cell>
          <cell r="D198" t="str">
            <v>т</v>
          </cell>
          <cell r="E198">
            <v>1.1252999999999999E-2</v>
          </cell>
          <cell r="F198">
            <v>78784.53</v>
          </cell>
          <cell r="G198">
            <v>886.56</v>
          </cell>
        </row>
        <row r="199">
          <cell r="B199" t="str">
            <v>С111-213-2</v>
          </cell>
          <cell r="C199" t="str">
            <v>Морозостійкий герметик бітумний
покрівельний ROOF TM "DAP" (бал.300мл)</v>
          </cell>
          <cell r="D199" t="str">
            <v>шт</v>
          </cell>
          <cell r="E199">
            <v>2</v>
          </cell>
          <cell r="F199">
            <v>114.85</v>
          </cell>
          <cell r="G199">
            <v>229.7</v>
          </cell>
        </row>
        <row r="200">
          <cell r="B200" t="str">
            <v>С111-859</v>
          </cell>
          <cell r="C200" t="str">
            <v>Рубероид наплавляемый " Біполь" ЕКП 4,0</v>
          </cell>
          <cell r="D200" t="str">
            <v>м2</v>
          </cell>
          <cell r="E200">
            <v>15.4275</v>
          </cell>
          <cell r="F200">
            <v>98.38</v>
          </cell>
          <cell r="G200">
            <v>1517.76</v>
          </cell>
        </row>
        <row r="201">
          <cell r="B201" t="str">
            <v>С111-857</v>
          </cell>
          <cell r="C201" t="str">
            <v>Руберойд пiдкладний Біполь ЕПП 3,0</v>
          </cell>
          <cell r="D201" t="str">
            <v>м2</v>
          </cell>
          <cell r="E201">
            <v>15.4275</v>
          </cell>
          <cell r="F201">
            <v>91.93</v>
          </cell>
          <cell r="G201">
            <v>1418.25</v>
          </cell>
        </row>
        <row r="202">
          <cell r="B202" t="str">
            <v>Е12-1-7</v>
          </cell>
          <cell r="C202" t="str">
            <v>Улаштування додаткового шару
покрiвельних рулонних наплавлюваних
матерiалiв</v>
          </cell>
          <cell r="D202" t="str">
            <v>100м2</v>
          </cell>
          <cell r="E202">
            <v>0.10890000000000001</v>
          </cell>
          <cell r="F202">
            <v>1271.99</v>
          </cell>
          <cell r="G202">
            <v>138.52000000000001</v>
          </cell>
        </row>
        <row r="203">
          <cell r="B203" t="str">
            <v>С111-857</v>
          </cell>
          <cell r="C203" t="str">
            <v>Руберойд пiдкладний Біполь ЕПП 3,0</v>
          </cell>
          <cell r="D203" t="str">
            <v>м2</v>
          </cell>
          <cell r="E203">
            <v>12.5235</v>
          </cell>
          <cell r="F203">
            <v>91.93</v>
          </cell>
          <cell r="G203">
            <v>1151.29</v>
          </cell>
        </row>
        <row r="204">
          <cell r="B204" t="str">
            <v>С114-4-У-1</v>
          </cell>
          <cell r="C204" t="str">
            <v>Плити "TERMOLIFE" тип "ТЛ КРОВЛЯ Н"
товщ. 100мм</v>
          </cell>
          <cell r="D204" t="str">
            <v>м3</v>
          </cell>
          <cell r="E204">
            <v>0.19057499999999999</v>
          </cell>
          <cell r="F204">
            <v>2216.4299999999998</v>
          </cell>
          <cell r="G204">
            <v>422.4</v>
          </cell>
        </row>
        <row r="205">
          <cell r="B205" t="str">
            <v>С112-285</v>
          </cell>
          <cell r="C205" t="str">
            <v>Бруски обрiзнi хвойних порiд, довжина 2-6,5
м, товщина 40-60 мм, II сорт</v>
          </cell>
          <cell r="D205" t="str">
            <v>м3</v>
          </cell>
          <cell r="E205">
            <v>0.18150000000000002</v>
          </cell>
          <cell r="F205">
            <v>6466.53</v>
          </cell>
          <cell r="G205">
            <v>1173.68</v>
          </cell>
        </row>
        <row r="206">
          <cell r="B206" t="str">
            <v>С111-1797-1Н</v>
          </cell>
          <cell r="C206" t="str">
            <v>Лист ОЦ РЕ 25мк, товщ.0,5мм ф.Blachy
Pruszynski</v>
          </cell>
          <cell r="D206" t="str">
            <v>м2</v>
          </cell>
          <cell r="E206">
            <v>10.89</v>
          </cell>
          <cell r="F206">
            <v>292.70999999999998</v>
          </cell>
          <cell r="G206">
            <v>3187.61</v>
          </cell>
        </row>
        <row r="207">
          <cell r="B207" t="str">
            <v>ЕН15-171-3</v>
          </cell>
          <cell r="C207" t="str">
            <v>Олiйне фарбування бiлилами з додаванням
кольору сталевих балок, труб дiаметром
понад 50 мм тощо за два рази</v>
          </cell>
          <cell r="D207" t="str">
            <v>100м2</v>
          </cell>
          <cell r="E207">
            <v>0.39700000000000002</v>
          </cell>
          <cell r="F207">
            <v>4034.36</v>
          </cell>
          <cell r="G207">
            <v>1601.64</v>
          </cell>
        </row>
        <row r="208">
          <cell r="B208" t="str">
            <v>С111-1673-1</v>
          </cell>
          <cell r="C208" t="str">
            <v>Эмаль "ЗЕБРА" (3 в 1) антикорозійна</v>
          </cell>
          <cell r="D208" t="str">
            <v>л</v>
          </cell>
          <cell r="E208">
            <v>7.1459999999999999</v>
          </cell>
          <cell r="F208">
            <v>182.96</v>
          </cell>
          <cell r="G208">
            <v>1307.43</v>
          </cell>
        </row>
        <row r="209">
          <cell r="B209" t="str">
            <v>ЕН10-55-1</v>
          </cell>
          <cell r="C209" t="str">
            <v>Вогнезахист дерев'яних конструкцiй ферм,
арок, балок, крокв, мауерлатiв</v>
          </cell>
          <cell r="D209" t="str">
            <v>10м3</v>
          </cell>
          <cell r="E209">
            <v>1.8150000000000003E-2</v>
          </cell>
          <cell r="F209">
            <v>790.2</v>
          </cell>
          <cell r="G209">
            <v>14.34</v>
          </cell>
        </row>
        <row r="210">
          <cell r="B210" t="str">
            <v>С1113-299</v>
          </cell>
          <cell r="C210" t="str">
            <v>Порошок ДСА-1</v>
          </cell>
          <cell r="D210" t="str">
            <v>кг</v>
          </cell>
          <cell r="E210">
            <v>1.0127699999999999</v>
          </cell>
          <cell r="F210">
            <v>46.47</v>
          </cell>
          <cell r="G210">
            <v>47.06</v>
          </cell>
        </row>
        <row r="211">
          <cell r="B211" t="str">
            <v>Е12-15-1</v>
          </cell>
          <cell r="C211" t="str">
            <v>Улаштування дрiбних покриттiв
[брандмауери, парапети, звiси i т.п.] iз
листової оцинкованої сталi</v>
          </cell>
          <cell r="D211" t="str">
            <v>100м2</v>
          </cell>
          <cell r="E211">
            <v>0.13340000000000002</v>
          </cell>
          <cell r="F211">
            <v>8300</v>
          </cell>
          <cell r="G211">
            <v>1107.22</v>
          </cell>
        </row>
        <row r="212">
          <cell r="B212" t="str">
            <v>С111-1797-1Н</v>
          </cell>
          <cell r="C212" t="str">
            <v>Лист ОЦ РЕ 25мк, товщ.0,5мм ф.Blachy
Pruszynski</v>
          </cell>
          <cell r="D212" t="str">
            <v>м2</v>
          </cell>
          <cell r="E212">
            <v>13.34</v>
          </cell>
          <cell r="F212">
            <v>292.70999999999998</v>
          </cell>
          <cell r="G212">
            <v>3904.75</v>
          </cell>
        </row>
        <row r="213">
          <cell r="B213" t="str">
            <v>С1111-65-Н</v>
          </cell>
          <cell r="C213" t="str">
            <v>Обжимний хомут з оцинкованоі сталі (КС1,
КС2, КС3, КС4) (комплект)</v>
          </cell>
          <cell r="D213" t="str">
            <v>т</v>
          </cell>
          <cell r="E213" t="str">
            <v>0,
0390776</v>
          </cell>
          <cell r="F213">
            <v>42429.37</v>
          </cell>
          <cell r="G213">
            <v>1658.04</v>
          </cell>
        </row>
        <row r="214">
          <cell r="B214" t="str">
            <v>Е34-57-1</v>
          </cell>
          <cell r="C214" t="str">
            <v>Заповнення каркасiв стiн
мiнераловатними плитами при товщинi
заповнення 50 мм</v>
          </cell>
          <cell r="D214" t="str">
            <v>100м2</v>
          </cell>
          <cell r="E214">
            <v>0.06</v>
          </cell>
          <cell r="F214">
            <v>2183.5100000000002</v>
          </cell>
          <cell r="G214">
            <v>131.01</v>
          </cell>
        </row>
        <row r="215">
          <cell r="B215" t="str">
            <v>С114-4-У-2</v>
          </cell>
          <cell r="C215" t="str">
            <v>Плити "TERMOLIFE" тип "ТЛ КРОВЛЯ В"
товщ. 50мм</v>
          </cell>
          <cell r="D215" t="str">
            <v>м3</v>
          </cell>
          <cell r="E215">
            <v>0.309</v>
          </cell>
          <cell r="F215">
            <v>1770.54</v>
          </cell>
          <cell r="G215">
            <v>547.1</v>
          </cell>
        </row>
        <row r="216">
          <cell r="B216" t="str">
            <v>Е12-15-1</v>
          </cell>
          <cell r="C216" t="str">
            <v>Улаштування дрiбних покриттiв
[брандмауери, парапети, звiси i т.п.] iз
листової оцинкованої сталi</v>
          </cell>
          <cell r="D216" t="str">
            <v>100м2</v>
          </cell>
          <cell r="E216">
            <v>6.900000000000002E-2</v>
          </cell>
          <cell r="F216">
            <v>8300</v>
          </cell>
          <cell r="G216">
            <v>572.70000000000005</v>
          </cell>
        </row>
        <row r="217">
          <cell r="B217" t="str">
            <v>С111-1797-1Н</v>
          </cell>
          <cell r="C217" t="str">
            <v>Лист ОЦ  0,5х300 ф.Blachy Pruszynski</v>
          </cell>
          <cell r="D217" t="str">
            <v>м2</v>
          </cell>
          <cell r="E217">
            <v>6.9</v>
          </cell>
          <cell r="F217">
            <v>284.27999999999997</v>
          </cell>
          <cell r="G217">
            <v>1961.53</v>
          </cell>
        </row>
        <row r="218">
          <cell r="B218" t="str">
            <v>С1545-42-4Н</v>
          </cell>
          <cell r="C218" t="str">
            <v>Саморіз по металу 5,5х25мм</v>
          </cell>
          <cell r="D218" t="str">
            <v>100шт</v>
          </cell>
          <cell r="E218">
            <v>1.36</v>
          </cell>
          <cell r="F218">
            <v>123.75</v>
          </cell>
          <cell r="G218">
            <v>168.3</v>
          </cell>
        </row>
        <row r="219">
          <cell r="B219" t="str">
            <v>ЕН10-28-4</v>
          </cell>
          <cell r="C219" t="str">
            <v>Заповнення дверних прорізів ламінованими
дверними блоками із застосуванням
анкерів і монтажної піни, серія блоку ДГ-21-
7</v>
          </cell>
          <cell r="D219" t="str">
            <v>1 блок</v>
          </cell>
          <cell r="E219">
            <v>20</v>
          </cell>
          <cell r="F219">
            <v>356.53</v>
          </cell>
          <cell r="G219">
            <v>7130.6</v>
          </cell>
        </row>
        <row r="220">
          <cell r="B220" t="str">
            <v>ЕН10-26-3</v>
          </cell>
          <cell r="C220" t="str">
            <v>Установлення дверних блокiв у
перегородках i дерев'яних нерублених
стiнах, площа прорiзу до 3 м2</v>
          </cell>
          <cell r="D220" t="str">
            <v>100м2</v>
          </cell>
          <cell r="E220">
            <v>1.4700000000000001E-2</v>
          </cell>
          <cell r="F220">
            <v>12845.83</v>
          </cell>
          <cell r="G220">
            <v>188.83</v>
          </cell>
        </row>
        <row r="221">
          <cell r="B221" t="str">
            <v>ЕН10-28-5</v>
          </cell>
          <cell r="C221" t="str">
            <v>Заповнення дверних прорізів ламінованими
дверними блоками із застосуванням
анкерів і монтажної піни, серія блоку ДГ-21-
9</v>
          </cell>
          <cell r="D221" t="str">
            <v>1 блок</v>
          </cell>
          <cell r="E221">
            <v>18</v>
          </cell>
          <cell r="F221">
            <v>367.84</v>
          </cell>
          <cell r="G221">
            <v>6621.12</v>
          </cell>
        </row>
        <row r="222">
          <cell r="B222" t="str">
            <v>С123-198-Н1</v>
          </cell>
          <cell r="C222" t="str">
            <v>Блоки двернi ДВЛ_ОдГ ВЛ 21-7 По К Бп П</v>
          </cell>
          <cell r="D222" t="str">
            <v>шт</v>
          </cell>
          <cell r="E222">
            <v>4</v>
          </cell>
          <cell r="F222">
            <v>2491.89</v>
          </cell>
          <cell r="G222">
            <v>9967.56</v>
          </cell>
        </row>
        <row r="223">
          <cell r="B223" t="str">
            <v>С123-198-Н2</v>
          </cell>
          <cell r="C223" t="str">
            <v>Блоки двернi ДВЛ_ОдГ ВЛ 21-7 По К Бп Л</v>
          </cell>
          <cell r="D223" t="str">
            <v>шт</v>
          </cell>
          <cell r="E223">
            <v>2</v>
          </cell>
          <cell r="F223">
            <v>2491.89</v>
          </cell>
          <cell r="G223">
            <v>4983.78</v>
          </cell>
        </row>
        <row r="224">
          <cell r="B224" t="str">
            <v>С123-198-Н3</v>
          </cell>
          <cell r="C224" t="str">
            <v>Блоки двернi ДВЛ_ОдГ 21-7 По К Бп П</v>
          </cell>
          <cell r="D224" t="str">
            <v>шт</v>
          </cell>
          <cell r="E224">
            <v>7</v>
          </cell>
          <cell r="F224">
            <v>2491.89</v>
          </cell>
          <cell r="G224">
            <v>17443.23</v>
          </cell>
        </row>
        <row r="225">
          <cell r="B225" t="str">
            <v>С123-198-Н4</v>
          </cell>
          <cell r="C225" t="str">
            <v>Блоки двернi ДВЛ_ОдГ 21-7 По К Бп Л</v>
          </cell>
          <cell r="D225" t="str">
            <v>шт</v>
          </cell>
          <cell r="E225">
            <v>7</v>
          </cell>
          <cell r="F225">
            <v>2491.89</v>
          </cell>
          <cell r="G225">
            <v>17443.23</v>
          </cell>
        </row>
        <row r="226">
          <cell r="B226" t="str">
            <v>С123-198-Н5</v>
          </cell>
          <cell r="C226" t="str">
            <v>Блоки двернi ДВД ОдГ 21-7 По К Бп Л</v>
          </cell>
          <cell r="D226" t="str">
            <v>шт</v>
          </cell>
          <cell r="E226">
            <v>1</v>
          </cell>
          <cell r="F226">
            <v>2333.66</v>
          </cell>
          <cell r="G226">
            <v>2333.66</v>
          </cell>
        </row>
        <row r="227">
          <cell r="B227" t="str">
            <v>С123-199-Н</v>
          </cell>
          <cell r="C227" t="str">
            <v>Блоки двернi ДВЛ_ОдГ ВЛ 21-9 По К Бп П</v>
          </cell>
          <cell r="D227" t="str">
            <v>шт</v>
          </cell>
          <cell r="E227">
            <v>4</v>
          </cell>
          <cell r="F227">
            <v>3207.69</v>
          </cell>
          <cell r="G227">
            <v>12830.76</v>
          </cell>
        </row>
        <row r="228">
          <cell r="B228" t="str">
            <v>С123-199-Н1</v>
          </cell>
          <cell r="C228" t="str">
            <v>Блоки двернi ДВЛ_ОдГ ВЛ 21-9 По К Бп Л</v>
          </cell>
          <cell r="D228" t="str">
            <v>шт</v>
          </cell>
          <cell r="E228">
            <v>1</v>
          </cell>
          <cell r="F228">
            <v>3207.69</v>
          </cell>
          <cell r="G228">
            <v>3207.69</v>
          </cell>
        </row>
        <row r="229">
          <cell r="B229" t="str">
            <v>С123-199-Н3</v>
          </cell>
          <cell r="C229" t="str">
            <v>Блоки двернi ДВЛ_ОдГ 21-9 По К Бп П</v>
          </cell>
          <cell r="D229" t="str">
            <v>шт</v>
          </cell>
          <cell r="E229">
            <v>4</v>
          </cell>
          <cell r="F229">
            <v>3207.69</v>
          </cell>
          <cell r="G229">
            <v>12830.76</v>
          </cell>
        </row>
        <row r="230">
          <cell r="B230" t="str">
            <v>С123-199-Н2</v>
          </cell>
          <cell r="C230" t="str">
            <v>Блоки двернi ДВЛ_ОдГ 21-9 По К Бп Л</v>
          </cell>
          <cell r="D230" t="str">
            <v>шт</v>
          </cell>
          <cell r="E230">
            <v>6</v>
          </cell>
          <cell r="F230">
            <v>3207.69</v>
          </cell>
          <cell r="G230">
            <v>19246.14</v>
          </cell>
        </row>
        <row r="231">
          <cell r="B231" t="str">
            <v>С123-199-1Н</v>
          </cell>
          <cell r="C231" t="str">
            <v>Блоки двернi ДВЛ_ ОдГ ВЛ 21-10 По К Бп Л</v>
          </cell>
          <cell r="D231" t="str">
            <v>шт</v>
          </cell>
          <cell r="E231">
            <v>1</v>
          </cell>
          <cell r="F231">
            <v>3721.67</v>
          </cell>
          <cell r="G231">
            <v>3721.67</v>
          </cell>
        </row>
        <row r="232">
          <cell r="B232" t="str">
            <v>С123-199-1Н1</v>
          </cell>
          <cell r="C232" t="str">
            <v>Блоки двернi ДВЛ_ ОдГ 21-10 По К Бп Л</v>
          </cell>
          <cell r="D232" t="str">
            <v>шт</v>
          </cell>
          <cell r="E232">
            <v>1</v>
          </cell>
          <cell r="F232">
            <v>3563.44</v>
          </cell>
          <cell r="G232">
            <v>3563.44</v>
          </cell>
        </row>
        <row r="233">
          <cell r="B233" t="str">
            <v>С123-200-Н</v>
          </cell>
          <cell r="C233" t="str">
            <v>Блоки двернi ДВЛ_ ОдГ 21-11 По К Бп П</v>
          </cell>
          <cell r="D233" t="str">
            <v>шт</v>
          </cell>
          <cell r="E233">
            <v>1</v>
          </cell>
          <cell r="F233">
            <v>3917.88</v>
          </cell>
          <cell r="G233">
            <v>3917.88</v>
          </cell>
        </row>
        <row r="234">
          <cell r="B234" t="str">
            <v>ЕН10-28-7</v>
          </cell>
          <cell r="C234" t="str">
            <v>Заповнення дверних прорізів ламінованими
дверними блоками із застосуванням
анкерів і монтажної піни, серія блоку ДО-21-
13</v>
          </cell>
          <cell r="D234" t="str">
            <v>1 блок</v>
          </cell>
          <cell r="E234">
            <v>6</v>
          </cell>
          <cell r="F234">
            <v>525.1</v>
          </cell>
          <cell r="G234">
            <v>3150.6</v>
          </cell>
        </row>
        <row r="235">
          <cell r="B235" t="str">
            <v>С123-208-2Н</v>
          </cell>
          <cell r="C235" t="str">
            <v>Блок дверний ДВЛ_ ДвС 21-15 По К Бп</v>
          </cell>
          <cell r="D235" t="str">
            <v>шт</v>
          </cell>
          <cell r="E235">
            <v>1</v>
          </cell>
          <cell r="F235">
            <v>5333.03</v>
          </cell>
          <cell r="G235">
            <v>5333.03</v>
          </cell>
        </row>
        <row r="236">
          <cell r="B236" t="str">
            <v>С123-222-1Н</v>
          </cell>
          <cell r="C236" t="str">
            <v>Блоки двернi ДВЛ_ ДвС 24-17 По К Бп</v>
          </cell>
          <cell r="D236" t="str">
            <v>шт</v>
          </cell>
          <cell r="E236">
            <v>1</v>
          </cell>
          <cell r="F236">
            <v>6910.05</v>
          </cell>
          <cell r="G236">
            <v>6910.05</v>
          </cell>
        </row>
        <row r="237">
          <cell r="B237" t="str">
            <v>С123-205-Н</v>
          </cell>
          <cell r="C237" t="str">
            <v>Блоки двернi ДВЛ_ ДвС 21-13,5 По К Бп</v>
          </cell>
          <cell r="D237" t="str">
            <v>шт</v>
          </cell>
          <cell r="E237">
            <v>4</v>
          </cell>
          <cell r="F237">
            <v>4795.75</v>
          </cell>
          <cell r="G237">
            <v>19183</v>
          </cell>
        </row>
        <row r="238">
          <cell r="B238" t="str">
            <v>С123-360</v>
          </cell>
          <cell r="C238" t="str">
            <v>Наличники</v>
          </cell>
          <cell r="D238" t="str">
            <v>м</v>
          </cell>
          <cell r="E238">
            <v>461.21600000000001</v>
          </cell>
          <cell r="F238">
            <v>39.24</v>
          </cell>
          <cell r="G238">
            <v>18098.12</v>
          </cell>
        </row>
        <row r="239">
          <cell r="B239" t="str">
            <v>ЕН10-96-2</v>
          </cell>
          <cell r="C239" t="str">
            <v>Установлення металевих дверних коробок
iз навiшуванням дверних полотен</v>
          </cell>
          <cell r="D239" t="str">
            <v>100м2</v>
          </cell>
          <cell r="E239">
            <v>6.0900000000000003E-2</v>
          </cell>
          <cell r="F239">
            <v>17131.34</v>
          </cell>
          <cell r="G239">
            <v>1043.3</v>
          </cell>
        </row>
        <row r="240">
          <cell r="B240" t="str">
            <v>С121-783-7Н</v>
          </cell>
          <cell r="C240" t="str">
            <v>Двері однопільні металеві протипожежні
ДМП Е130 1 21-10 В4 П</v>
          </cell>
          <cell r="D240" t="str">
            <v>шт</v>
          </cell>
          <cell r="E240">
            <v>2</v>
          </cell>
          <cell r="F240">
            <v>9039.84</v>
          </cell>
          <cell r="G240">
            <v>18079.68</v>
          </cell>
        </row>
        <row r="241">
          <cell r="B241" t="str">
            <v>С121-783-2Н1</v>
          </cell>
          <cell r="C241" t="str">
            <v>Двері однопільні металеві протипожежні
ДМП Е130 1 21-9 В4 П</v>
          </cell>
          <cell r="D241" t="str">
            <v>шт</v>
          </cell>
          <cell r="E241">
            <v>1</v>
          </cell>
          <cell r="F241">
            <v>8465.32</v>
          </cell>
          <cell r="G241">
            <v>8465.32</v>
          </cell>
        </row>
        <row r="242">
          <cell r="B242" t="str">
            <v>РН6-27-4</v>
          </cell>
          <cell r="C242" t="str">
            <v>Установлення замків дверних накладних
(дверний доводчик)</v>
          </cell>
          <cell r="D242" t="str">
            <v>100 шт</v>
          </cell>
          <cell r="E242">
            <v>0.02</v>
          </cell>
          <cell r="F242">
            <v>8772.82</v>
          </cell>
          <cell r="G242">
            <v>175.46</v>
          </cell>
        </row>
        <row r="243">
          <cell r="B243" t="str">
            <v>С111-887</v>
          </cell>
          <cell r="C243" t="str">
            <v>Дверний доводчик</v>
          </cell>
          <cell r="D243" t="str">
            <v>комплект</v>
          </cell>
          <cell r="E243">
            <v>2</v>
          </cell>
          <cell r="F243">
            <v>1011.44</v>
          </cell>
          <cell r="G243">
            <v>2022.88</v>
          </cell>
        </row>
        <row r="244">
          <cell r="B244" t="str">
            <v>ЕН10-96-2</v>
          </cell>
          <cell r="C244" t="str">
            <v>Установлення металевих дверних коробок
iз навiшуванням дверних полотен</v>
          </cell>
          <cell r="D244" t="str">
            <v>100м2</v>
          </cell>
          <cell r="E244">
            <v>6.5100000000000019E-2</v>
          </cell>
          <cell r="F244">
            <v>17131.34</v>
          </cell>
          <cell r="G244">
            <v>1115.25</v>
          </cell>
        </row>
        <row r="245">
          <cell r="B245" t="str">
            <v>С121-783-8Н</v>
          </cell>
          <cell r="C245" t="str">
            <v>Двері металеві Д 1 21-11 П</v>
          </cell>
          <cell r="D245" t="str">
            <v>шт</v>
          </cell>
          <cell r="E245">
            <v>2</v>
          </cell>
          <cell r="F245">
            <v>10846.09</v>
          </cell>
          <cell r="G245">
            <v>21692.18</v>
          </cell>
        </row>
        <row r="246">
          <cell r="B246" t="str">
            <v>С121-783-9Н</v>
          </cell>
          <cell r="C246" t="str">
            <v>Двері металеві Д 1 21-9 П</v>
          </cell>
          <cell r="D246" t="str">
            <v>шт</v>
          </cell>
          <cell r="E246">
            <v>1</v>
          </cell>
          <cell r="F246">
            <v>8876.81</v>
          </cell>
          <cell r="G246">
            <v>8876.81</v>
          </cell>
        </row>
        <row r="247">
          <cell r="B247" t="str">
            <v>РН6-27-4</v>
          </cell>
          <cell r="C247" t="str">
            <v>Установлення замків дверних накладних
(дверний доводчик)</v>
          </cell>
          <cell r="D247" t="str">
            <v>100 шт</v>
          </cell>
          <cell r="E247">
            <v>0.01</v>
          </cell>
          <cell r="F247">
            <v>8772.82</v>
          </cell>
          <cell r="G247">
            <v>87.73</v>
          </cell>
        </row>
        <row r="248">
          <cell r="B248" t="str">
            <v>С111-887</v>
          </cell>
          <cell r="C248" t="str">
            <v>Дверний доводчик</v>
          </cell>
          <cell r="D248" t="str">
            <v>комплект</v>
          </cell>
          <cell r="E248">
            <v>1</v>
          </cell>
          <cell r="F248">
            <v>1011.44</v>
          </cell>
          <cell r="G248">
            <v>1011.44</v>
          </cell>
        </row>
        <row r="249">
          <cell r="B249" t="str">
            <v>ЕН10-96-2</v>
          </cell>
          <cell r="C249" t="str">
            <v>Установлення металевих дверних коробок
iз навiшуванням дверних полотен</v>
          </cell>
          <cell r="D249" t="str">
            <v>100м2</v>
          </cell>
          <cell r="E249">
            <v>7.350000000000001E-2</v>
          </cell>
          <cell r="F249">
            <v>17131.34</v>
          </cell>
          <cell r="G249">
            <v>1259.1500000000001</v>
          </cell>
        </row>
        <row r="250">
          <cell r="B250" t="str">
            <v>С121-783-10Н</v>
          </cell>
          <cell r="C250" t="str">
            <v>Двері металеві зовнішні ДЗСт ОдГ 21-10 По
К Бп П</v>
          </cell>
          <cell r="D250" t="str">
            <v>шт</v>
          </cell>
          <cell r="E250">
            <v>1</v>
          </cell>
          <cell r="F250">
            <v>9861.44</v>
          </cell>
          <cell r="G250">
            <v>9861.44</v>
          </cell>
        </row>
        <row r="251">
          <cell r="B251" t="str">
            <v>С121-783-11Н</v>
          </cell>
          <cell r="C251" t="str">
            <v>Двері металеві зовнішні ДЗСт ОдГ 21-9 По К
Бп Л</v>
          </cell>
          <cell r="D251" t="str">
            <v>шт</v>
          </cell>
          <cell r="E251">
            <v>1</v>
          </cell>
          <cell r="F251">
            <v>8876.81</v>
          </cell>
          <cell r="G251">
            <v>8876.81</v>
          </cell>
        </row>
        <row r="252">
          <cell r="B252" t="str">
            <v>С121-783-12Н</v>
          </cell>
          <cell r="C252" t="str">
            <v>Двері металеві зовнішні ДЗСт ОдГ 21-16 По
К Бп</v>
          </cell>
          <cell r="D252" t="str">
            <v>шт</v>
          </cell>
          <cell r="E252">
            <v>1</v>
          </cell>
          <cell r="F252">
            <v>15773.6</v>
          </cell>
          <cell r="G252">
            <v>15773.6</v>
          </cell>
        </row>
        <row r="253">
          <cell r="B253" t="str">
            <v>ЕН10-20-2</v>
          </cell>
          <cell r="C253" t="str">
            <v>Заповнення вiконних прорiзiв готовими
блоками площею до 2 м2 з
металопластику в кам'яних стiнах
житлових і громадських будівель</v>
          </cell>
          <cell r="D253" t="str">
            <v>100м2</v>
          </cell>
          <cell r="E253">
            <v>4.8600000000000004E-2</v>
          </cell>
          <cell r="F253">
            <v>10942.49</v>
          </cell>
          <cell r="G253">
            <v>531.80999999999995</v>
          </cell>
        </row>
        <row r="254">
          <cell r="B254" t="str">
            <v>С121-158-1</v>
          </cell>
          <cell r="C254" t="str">
            <v>Блок віконний металопластиковий (ВК-1)
ВГрП ОСП 18-9 1 КВ-ПВ Д</v>
          </cell>
          <cell r="D254" t="str">
            <v>шт</v>
          </cell>
          <cell r="E254">
            <v>3</v>
          </cell>
          <cell r="F254">
            <v>4118.71</v>
          </cell>
          <cell r="G254">
            <v>12356.13</v>
          </cell>
        </row>
        <row r="255">
          <cell r="B255" t="str">
            <v>ЕН10-20-3</v>
          </cell>
          <cell r="C255" t="str">
            <v>Заповнення вiконних прорiзiв готовими
блоками площею до 3 м2 з
металопластику в кам'яних стiнах
житлових і громадських будівель</v>
          </cell>
          <cell r="D255" t="str">
            <v>100м2</v>
          </cell>
          <cell r="E255">
            <v>0.40410000000000001</v>
          </cell>
          <cell r="F255">
            <v>8293.7999999999993</v>
          </cell>
          <cell r="G255">
            <v>3351.52</v>
          </cell>
        </row>
        <row r="256">
          <cell r="B256" t="str">
            <v>С121-158-2</v>
          </cell>
          <cell r="C256" t="str">
            <v>Блок віконний металопластиковий (ВК-2)
ВГрП ОСП 18-15 2 КВ-ПВ Д</v>
          </cell>
          <cell r="D256" t="str">
            <v>шт</v>
          </cell>
          <cell r="E256">
            <v>9</v>
          </cell>
          <cell r="F256">
            <v>6863.69</v>
          </cell>
          <cell r="G256">
            <v>61773.21</v>
          </cell>
        </row>
        <row r="257">
          <cell r="B257" t="str">
            <v>С121-158-3</v>
          </cell>
          <cell r="C257" t="str">
            <v>Блок віконний металопластиковий (ВК-3)
ВГрП ОСП 9-25 2 КВ-ПВ Д</v>
          </cell>
          <cell r="D257" t="str">
            <v>шт</v>
          </cell>
          <cell r="E257">
            <v>2</v>
          </cell>
          <cell r="F257">
            <v>5720.8</v>
          </cell>
          <cell r="G257">
            <v>11441.6</v>
          </cell>
        </row>
        <row r="258">
          <cell r="B258" t="str">
            <v>С121-158-4</v>
          </cell>
          <cell r="C258" t="str">
            <v>Блок віконний металопластиковий (ВК-4)
ВГрП ОСП 9-25 2 К Г Д</v>
          </cell>
          <cell r="D258" t="str">
            <v>шт</v>
          </cell>
          <cell r="E258">
            <v>1</v>
          </cell>
          <cell r="F258">
            <v>5720.8</v>
          </cell>
          <cell r="G258">
            <v>5720.8</v>
          </cell>
        </row>
        <row r="259">
          <cell r="B259" t="str">
            <v>С121-158-5</v>
          </cell>
          <cell r="C259" t="str">
            <v>Блок віконний металопластиковий (ВК-5)
ВГрП ОСП 9-26 2 КВ-ПВ Д</v>
          </cell>
          <cell r="D259" t="str">
            <v>шт</v>
          </cell>
          <cell r="E259">
            <v>4</v>
          </cell>
          <cell r="F259">
            <v>5949.38</v>
          </cell>
          <cell r="G259">
            <v>23797.52</v>
          </cell>
        </row>
        <row r="260">
          <cell r="B260" t="str">
            <v>С111-1904-1-Т</v>
          </cell>
          <cell r="C260" t="str">
            <v>Дюбель-шурупи 100х10мм</v>
          </cell>
          <cell r="D260" t="str">
            <v>шт</v>
          </cell>
          <cell r="E260">
            <v>182</v>
          </cell>
          <cell r="F260">
            <v>4.45</v>
          </cell>
          <cell r="G260">
            <v>809.9</v>
          </cell>
        </row>
        <row r="261">
          <cell r="B261" t="str">
            <v>С111-215-1-К</v>
          </cell>
          <cell r="C261" t="str">
            <v>Піна монтажна (750 мл)</v>
          </cell>
          <cell r="D261" t="str">
            <v>шт</v>
          </cell>
          <cell r="E261">
            <v>18.3</v>
          </cell>
          <cell r="F261">
            <v>166.21</v>
          </cell>
          <cell r="G261">
            <v>3041.64</v>
          </cell>
        </row>
        <row r="262">
          <cell r="B262" t="str">
            <v>С121-266-29-5</v>
          </cell>
          <cell r="C262" t="str">
            <v>Герметик силіконовий (280 мл)</v>
          </cell>
          <cell r="D262" t="str">
            <v>шт</v>
          </cell>
          <cell r="E262">
            <v>19.600000000000001</v>
          </cell>
          <cell r="F262">
            <v>82.34</v>
          </cell>
          <cell r="G262">
            <v>1613.86</v>
          </cell>
        </row>
        <row r="263">
          <cell r="B263" t="str">
            <v>ЕН10-25-3</v>
          </cell>
          <cell r="C263" t="str">
            <v>Установлення пластикових пiдвiконних
дошок</v>
          </cell>
          <cell r="D263" t="str">
            <v>100м</v>
          </cell>
          <cell r="E263">
            <v>0.108</v>
          </cell>
          <cell r="F263">
            <v>2021.69</v>
          </cell>
          <cell r="G263">
            <v>218.34</v>
          </cell>
        </row>
        <row r="264">
          <cell r="B264" t="str">
            <v>С123-393-1</v>
          </cell>
          <cell r="C264" t="str">
            <v>Пiдвiконна дошка 2700х350мм</v>
          </cell>
          <cell r="D264" t="str">
            <v>шт</v>
          </cell>
          <cell r="E264">
            <v>4</v>
          </cell>
          <cell r="F264">
            <v>451.06</v>
          </cell>
          <cell r="G264">
            <v>1804.24</v>
          </cell>
        </row>
        <row r="265">
          <cell r="B265" t="str">
            <v>С111-215-1-К</v>
          </cell>
          <cell r="C265" t="str">
            <v>Піна монтажна (750 мл)</v>
          </cell>
          <cell r="D265" t="str">
            <v>шт</v>
          </cell>
          <cell r="E265">
            <v>1.35</v>
          </cell>
          <cell r="F265">
            <v>166.21</v>
          </cell>
          <cell r="G265">
            <v>224.38</v>
          </cell>
        </row>
        <row r="266">
          <cell r="B266" t="str">
            <v>ЕН10-18-1</v>
          </cell>
          <cell r="C266" t="str">
            <v>Установлення вiконних блокiв зi спареними
рамами у кам'яних стiнах житлових i
громадських будiвель при площi прорiзу до
2 м2</v>
          </cell>
          <cell r="D266" t="str">
            <v>100м2</v>
          </cell>
          <cell r="E266">
            <v>0.23170000000000002</v>
          </cell>
          <cell r="F266">
            <v>26542.84</v>
          </cell>
          <cell r="G266">
            <v>6149.98</v>
          </cell>
        </row>
        <row r="267">
          <cell r="B267" t="str">
            <v>С123-9-1</v>
          </cell>
          <cell r="C267" t="str">
            <v>Фрамуга ФР-1 ВГрЛ_ О 6-25 3 Г</v>
          </cell>
          <cell r="D267" t="str">
            <v>шт</v>
          </cell>
          <cell r="E267">
            <v>9</v>
          </cell>
          <cell r="F267">
            <v>2145.88</v>
          </cell>
          <cell r="G267">
            <v>19312.919999999998</v>
          </cell>
        </row>
        <row r="268">
          <cell r="B268" t="str">
            <v>С123-9-2</v>
          </cell>
          <cell r="C268" t="str">
            <v>Фрамуга ФР-2 ВГрЛ_ О 6-20 2 Г</v>
          </cell>
          <cell r="D268" t="str">
            <v>шт</v>
          </cell>
          <cell r="E268">
            <v>4</v>
          </cell>
          <cell r="F268">
            <v>1718.65</v>
          </cell>
          <cell r="G268">
            <v>6874.6</v>
          </cell>
        </row>
        <row r="269">
          <cell r="B269" t="str">
            <v>С123-9-3</v>
          </cell>
          <cell r="C269" t="str">
            <v>Фрамуга ФР-3 ВГрЛ_ О 6-10 1 Г</v>
          </cell>
          <cell r="D269" t="str">
            <v>шт</v>
          </cell>
          <cell r="E269">
            <v>1</v>
          </cell>
          <cell r="F269">
            <v>864.2</v>
          </cell>
          <cell r="G269">
            <v>864.2</v>
          </cell>
        </row>
        <row r="270">
          <cell r="B270" t="str">
            <v>С123-9-4</v>
          </cell>
          <cell r="C270" t="str">
            <v>Фрамуга ФР-4 ВГрЛ_ О 6-9 1 Г</v>
          </cell>
          <cell r="D270" t="str">
            <v>шт</v>
          </cell>
          <cell r="E270">
            <v>2</v>
          </cell>
          <cell r="F270">
            <v>778.75</v>
          </cell>
          <cell r="G270">
            <v>1557.5</v>
          </cell>
        </row>
        <row r="271">
          <cell r="B271" t="str">
            <v>С123-9-5</v>
          </cell>
          <cell r="C271" t="str">
            <v>Фрамуга ФР-5 ВГрЛ_ О 7,5-17 2 Г</v>
          </cell>
          <cell r="D271" t="str">
            <v>шт</v>
          </cell>
          <cell r="E271">
            <v>1</v>
          </cell>
          <cell r="F271">
            <v>1825.45</v>
          </cell>
          <cell r="G271">
            <v>1825.45</v>
          </cell>
        </row>
        <row r="272">
          <cell r="B272" t="str">
            <v>С123-9-6</v>
          </cell>
          <cell r="C272" t="str">
            <v>Фрамуга ФР-6 ВГрЛ_ О 5,5-13,5 1 Г</v>
          </cell>
          <cell r="D272" t="str">
            <v>шт</v>
          </cell>
          <cell r="E272">
            <v>2</v>
          </cell>
          <cell r="F272">
            <v>1067.1199999999999</v>
          </cell>
          <cell r="G272">
            <v>2134.2399999999998</v>
          </cell>
        </row>
        <row r="273">
          <cell r="B273" t="str">
            <v>ЕН10-20-1</v>
          </cell>
          <cell r="C273" t="str">
            <v>Заповнення вiконних прорiзiв готовими
блоками площею до 1 м2 з
металопластику в кам'яних стiнах
житлових і громадських будівель</v>
          </cell>
          <cell r="D273" t="str">
            <v>100м2</v>
          </cell>
          <cell r="E273">
            <v>5.5000000000000005E-3</v>
          </cell>
          <cell r="F273">
            <v>13822.42</v>
          </cell>
          <cell r="G273">
            <v>76.02</v>
          </cell>
        </row>
        <row r="274">
          <cell r="B274" t="str">
            <v>С121-160-16Н</v>
          </cell>
          <cell r="C274" t="str">
            <v>Фрамуга металопластикова ВГрП ОСП 5-11
1Г</v>
          </cell>
          <cell r="D274" t="str">
            <v>шт</v>
          </cell>
          <cell r="E274">
            <v>1</v>
          </cell>
          <cell r="F274">
            <v>1488.81</v>
          </cell>
          <cell r="G274">
            <v>1488.81</v>
          </cell>
        </row>
        <row r="275">
          <cell r="B275" t="str">
            <v>Е9-36-1</v>
          </cell>
          <cell r="C275" t="str">
            <v>Монтаж вітражей алюмiнiєвих зi склiнням</v>
          </cell>
          <cell r="D275" t="str">
            <v>100м2</v>
          </cell>
          <cell r="E275">
            <v>3.2953000000000001</v>
          </cell>
          <cell r="F275">
            <v>36348.300000000003</v>
          </cell>
          <cell r="G275">
            <v>119778.55</v>
          </cell>
        </row>
        <row r="276">
          <cell r="B276" t="str">
            <v>С126-907-1Н</v>
          </cell>
          <cell r="C276" t="str">
            <v>Вiтражi алюмiнiєві з термопрокладками із
заповненням двокамернім склопакетом з
фрамугами та пристроями для
провітрювання</v>
          </cell>
          <cell r="D276" t="str">
            <v>м2</v>
          </cell>
          <cell r="E276">
            <v>329.53</v>
          </cell>
          <cell r="F276">
            <v>2610.64</v>
          </cell>
          <cell r="G276">
            <v>860284.2</v>
          </cell>
        </row>
        <row r="277">
          <cell r="B277" t="str">
            <v>Е9-36-1</v>
          </cell>
          <cell r="C277" t="str">
            <v>Монтаж вітражей алюмiнiєвих зi склiнням</v>
          </cell>
          <cell r="D277" t="str">
            <v>100м2</v>
          </cell>
          <cell r="E277">
            <v>1.5125729999999999</v>
          </cell>
          <cell r="F277">
            <v>36348.300000000003</v>
          </cell>
          <cell r="G277">
            <v>54979.46</v>
          </cell>
        </row>
        <row r="278">
          <cell r="B278" t="str">
            <v>С126-907-1Н</v>
          </cell>
          <cell r="C278" t="str">
            <v>Вiтражi алюмiнiєві з термопрокладками із
заповненням двокамернім склопакетом з
фрамугами та пристроями для
провітрювання</v>
          </cell>
          <cell r="D278" t="str">
            <v>м2</v>
          </cell>
          <cell r="E278">
            <v>151.25729999999999</v>
          </cell>
          <cell r="F278">
            <v>2610.64</v>
          </cell>
          <cell r="G278">
            <v>394878.36</v>
          </cell>
        </row>
        <row r="279">
          <cell r="B279" t="str">
            <v>Е7-60-4</v>
          </cell>
          <cell r="C279" t="str">
            <v>Установлення металевої огорожi без
поручня</v>
          </cell>
          <cell r="D279" t="str">
            <v>100м</v>
          </cell>
          <cell r="E279">
            <v>0.62270000000000003</v>
          </cell>
          <cell r="F279">
            <v>5275.84</v>
          </cell>
          <cell r="G279">
            <v>3285.27</v>
          </cell>
        </row>
        <row r="280">
          <cell r="B280" t="str">
            <v>С1523-2-Н</v>
          </cell>
          <cell r="C280" t="str">
            <v>Огорожа з анодованрго алюмінію системи
"Круг" ф. "LIZARD" (Н=0,93м)</v>
          </cell>
          <cell r="D280" t="str">
            <v>м</v>
          </cell>
          <cell r="E280">
            <v>54.53</v>
          </cell>
          <cell r="F280">
            <v>2009.16</v>
          </cell>
          <cell r="G280">
            <v>109559.49</v>
          </cell>
        </row>
        <row r="281">
          <cell r="B281" t="str">
            <v>С1523-2-Н</v>
          </cell>
          <cell r="C281" t="str">
            <v>Огорожа з анодованрго алюмінію системи
"Круг" ф. "LIZARD" (Н=0,63м)</v>
          </cell>
          <cell r="D281" t="str">
            <v>м</v>
          </cell>
          <cell r="E281">
            <v>7.74</v>
          </cell>
          <cell r="F281">
            <v>1361.19</v>
          </cell>
          <cell r="G281">
            <v>10535.61</v>
          </cell>
        </row>
        <row r="282">
          <cell r="B282" t="str">
            <v>ЕН8-2-2</v>
          </cell>
          <cell r="C282" t="str">
            <v>Улаштування основи пiд фундаменти
щебеневої</v>
          </cell>
          <cell r="D282" t="str">
            <v>1 м3</v>
          </cell>
          <cell r="E282">
            <v>184.4</v>
          </cell>
          <cell r="F282">
            <v>1339.62</v>
          </cell>
          <cell r="G282">
            <v>247025.93</v>
          </cell>
        </row>
        <row r="283">
          <cell r="B283" t="str">
            <v>ЕН8-2-1</v>
          </cell>
          <cell r="C283" t="str">
            <v>Улаштування основи пiд фундаменти
пiщаної</v>
          </cell>
          <cell r="D283" t="str">
            <v>1 м3</v>
          </cell>
          <cell r="E283">
            <v>48.35</v>
          </cell>
          <cell r="F283">
            <v>865.11</v>
          </cell>
          <cell r="G283">
            <v>41828.07</v>
          </cell>
        </row>
        <row r="284">
          <cell r="B284" t="str">
            <v>РН2-13-1</v>
          </cell>
          <cell r="C284" t="str">
            <v>Улаштування осадового шва з просмолених
дощок</v>
          </cell>
          <cell r="D284" t="str">
            <v>100 м2</v>
          </cell>
          <cell r="E284">
            <v>0.16217499999999999</v>
          </cell>
          <cell r="F284">
            <v>48211.57</v>
          </cell>
          <cell r="G284">
            <v>7818.71</v>
          </cell>
        </row>
        <row r="285">
          <cell r="B285" t="str">
            <v>ЕН8-5-9</v>
          </cell>
          <cell r="C285" t="str">
            <v>Мурування стiн приямкiв i каналiв з цегли
керамiчної</v>
          </cell>
          <cell r="D285" t="str">
            <v>1 м3</v>
          </cell>
          <cell r="E285">
            <v>0.05</v>
          </cell>
          <cell r="F285">
            <v>3709.35</v>
          </cell>
          <cell r="G285">
            <v>185.47</v>
          </cell>
        </row>
        <row r="286">
          <cell r="B286" t="str">
            <v>ЕН6-11-10</v>
          </cell>
          <cell r="C286" t="str">
            <v>Установлення закладних деталей вагою
понад 20 кг</v>
          </cell>
          <cell r="D286" t="str">
            <v>т</v>
          </cell>
          <cell r="E286">
            <v>5.9950000000000003E-2</v>
          </cell>
          <cell r="F286">
            <v>1754.65</v>
          </cell>
          <cell r="G286">
            <v>105.19</v>
          </cell>
        </row>
        <row r="287">
          <cell r="B287" t="str">
            <v>С113-170</v>
          </cell>
          <cell r="C287" t="str">
            <v>Труби сталевi електрозварнi прямошовнi iз
сталi марки 20, зовнiшнiй дiаметр 152 мм,
товщина стiнки 4 мм</v>
          </cell>
          <cell r="D287" t="str">
            <v>м</v>
          </cell>
          <cell r="E287">
            <v>4.0999999999999996</v>
          </cell>
          <cell r="F287">
            <v>615.84</v>
          </cell>
          <cell r="G287">
            <v>2524.94</v>
          </cell>
        </row>
        <row r="288">
          <cell r="B288" t="str">
            <v>С111-1780</v>
          </cell>
          <cell r="C288" t="str">
            <v>Сiтка №10 ГОСТ 5336-80</v>
          </cell>
          <cell r="D288" t="str">
            <v>т</v>
          </cell>
          <cell r="E288">
            <v>9.0000000000000019E-5</v>
          </cell>
          <cell r="F288">
            <v>63898.9</v>
          </cell>
          <cell r="G288">
            <v>5.75</v>
          </cell>
        </row>
        <row r="289">
          <cell r="B289" t="str">
            <v>Е9-34-5</v>
          </cell>
          <cell r="C289" t="str">
            <v>Монтаж опорних конструкцiй
етажеркового типу</v>
          </cell>
          <cell r="D289" t="str">
            <v>т</v>
          </cell>
          <cell r="E289">
            <v>4.8400000000000006E-2</v>
          </cell>
          <cell r="F289">
            <v>4513.5200000000004</v>
          </cell>
          <cell r="G289">
            <v>218.45</v>
          </cell>
        </row>
        <row r="290">
          <cell r="B290" t="str">
            <v>С121-782</v>
          </cell>
          <cell r="C290" t="str">
            <v>Металевi конструкцiї</v>
          </cell>
          <cell r="D290" t="str">
            <v>т</v>
          </cell>
          <cell r="E290">
            <v>4.8400000000000006E-2</v>
          </cell>
          <cell r="F290">
            <v>33035.82</v>
          </cell>
          <cell r="G290">
            <v>1598.93</v>
          </cell>
        </row>
        <row r="291">
          <cell r="B291" t="str">
            <v>ЕН15-171-3</v>
          </cell>
          <cell r="C291" t="str">
            <v>Олiйне фарбування бiлилами з додаванням
кольору сталевих балок, труб дiаметром
понад 50 мм тощо за два рази</v>
          </cell>
          <cell r="D291" t="str">
            <v>100м2</v>
          </cell>
          <cell r="E291">
            <v>3.3600000000000005E-2</v>
          </cell>
          <cell r="F291">
            <v>4034.36</v>
          </cell>
          <cell r="G291">
            <v>135.55000000000001</v>
          </cell>
        </row>
        <row r="292">
          <cell r="B292" t="str">
            <v>С111-1673-1</v>
          </cell>
          <cell r="C292" t="str">
            <v>Эмаль "ЗЕБРА" (3 в 1) антикорозійна</v>
          </cell>
          <cell r="D292" t="str">
            <v>л</v>
          </cell>
          <cell r="E292">
            <v>0.6048</v>
          </cell>
          <cell r="F292">
            <v>182.96</v>
          </cell>
          <cell r="G292">
            <v>110.65</v>
          </cell>
        </row>
        <row r="293">
          <cell r="B293" t="str">
            <v>ЕН11-9-1</v>
          </cell>
          <cell r="C293" t="str">
            <v>Улаштування тепло- i звукоiзоляцiї
суцiльної з плит або мат мiнераловатних
або скловолокнистих</v>
          </cell>
          <cell r="D293" t="str">
            <v>100м2</v>
          </cell>
          <cell r="E293">
            <v>6.0536000000000003</v>
          </cell>
          <cell r="F293">
            <v>2128.41</v>
          </cell>
          <cell r="G293">
            <v>12884.54</v>
          </cell>
        </row>
        <row r="294">
          <cell r="B294" t="str">
            <v>С114-97-Н</v>
          </cell>
          <cell r="C294" t="str">
            <v>Плити теплоiзоляцiйнi з екструзійного
пінополістиролу "XPS CARBON PROF 300
RF" "ТехноНІКОЛЬ" б=80мм</v>
          </cell>
          <cell r="D294" t="str">
            <v>м3</v>
          </cell>
          <cell r="E294" t="str">
            <v>49,
881664</v>
          </cell>
          <cell r="F294">
            <v>2822.31</v>
          </cell>
          <cell r="G294">
            <v>140781.51999999999</v>
          </cell>
        </row>
        <row r="295">
          <cell r="B295" t="str">
            <v>Е12-20-3</v>
          </cell>
          <cell r="C295" t="str">
            <v>Улаштування пароiзоляцiї прокладної в
один шар</v>
          </cell>
          <cell r="D295" t="str">
            <v>100м2</v>
          </cell>
          <cell r="E295">
            <v>6.0536000000000003</v>
          </cell>
          <cell r="F295">
            <v>777.95</v>
          </cell>
          <cell r="G295">
            <v>4709.3999999999996</v>
          </cell>
        </row>
        <row r="296">
          <cell r="B296" t="str">
            <v>С111-1720</v>
          </cell>
          <cell r="C296" t="str">
            <v>Плiвка полiетиленова</v>
          </cell>
          <cell r="D296" t="str">
            <v>м2</v>
          </cell>
          <cell r="E296">
            <v>665.89599999999996</v>
          </cell>
          <cell r="F296">
            <v>8.5299999999999994</v>
          </cell>
          <cell r="G296">
            <v>5680.09</v>
          </cell>
        </row>
        <row r="297">
          <cell r="B297" t="str">
            <v>ЕН11-11-5</v>
          </cell>
          <cell r="C297" t="str">
            <v>Улаштування стяжок бетонних
товщиною 20 мм</v>
          </cell>
          <cell r="D297" t="str">
            <v>100м2</v>
          </cell>
          <cell r="E297">
            <v>6.0536000000000003</v>
          </cell>
          <cell r="F297">
            <v>7428.84</v>
          </cell>
          <cell r="G297">
            <v>44971.23</v>
          </cell>
        </row>
        <row r="298">
          <cell r="B298" t="str">
            <v>ЕН11-11-6к=7</v>
          </cell>
          <cell r="C298" t="str">
            <v>Додавати або виключати на кожнi 5 мм
змiни товщини бетонних стяжок</v>
          </cell>
          <cell r="D298" t="str">
            <v>100м2</v>
          </cell>
          <cell r="E298">
            <v>6.0536000000000003</v>
          </cell>
          <cell r="F298">
            <v>7265.1</v>
          </cell>
          <cell r="G298">
            <v>43980.01</v>
          </cell>
        </row>
        <row r="299">
          <cell r="B299" t="str">
            <v>ЕН11-29-2</v>
          </cell>
          <cell r="C299" t="str">
            <v>Улаштування покриттів з керамічних
плиток на розчині із сухої клеючої суміші,
кількість плиток в 1 м2 понад 7 до 12 шт</v>
          </cell>
          <cell r="D299" t="str">
            <v>100м2</v>
          </cell>
          <cell r="E299">
            <v>6.0536000000000003</v>
          </cell>
          <cell r="F299">
            <v>11447.04</v>
          </cell>
          <cell r="G299">
            <v>69295.8</v>
          </cell>
        </row>
        <row r="300">
          <cell r="B300" t="str">
            <v>С111-2014-6</v>
          </cell>
          <cell r="C300" t="str">
            <v>Грунтовка глибокопроникна Ceresit CT 17</v>
          </cell>
          <cell r="D300" t="str">
            <v>л</v>
          </cell>
          <cell r="E300">
            <v>121.072</v>
          </cell>
          <cell r="F300">
            <v>41.77</v>
          </cell>
          <cell r="G300">
            <v>5057.18</v>
          </cell>
        </row>
        <row r="301">
          <cell r="B301" t="str">
            <v>С111-2000-1</v>
          </cell>
          <cell r="C301" t="str">
            <v>Клеюча сумiш для керамiчної плитки Ceresit
СМ 11</v>
          </cell>
          <cell r="D301" t="str">
            <v>кг</v>
          </cell>
          <cell r="E301">
            <v>3147.8719999999998</v>
          </cell>
          <cell r="F301">
            <v>14.23</v>
          </cell>
          <cell r="G301">
            <v>44794.22</v>
          </cell>
        </row>
        <row r="302">
          <cell r="B302" t="str">
            <v>С111-287</v>
          </cell>
          <cell r="C302" t="str">
            <v>Плитки керамогранітні 1-го сорту рядові для
пiдлог НГЛ-8,5 мм, розмiр 300х300
(298х298х8,5)</v>
          </cell>
          <cell r="D302" t="str">
            <v>м2</v>
          </cell>
          <cell r="E302">
            <v>617.46720000000005</v>
          </cell>
          <cell r="F302">
            <v>229.71</v>
          </cell>
          <cell r="G302">
            <v>141838.39000000001</v>
          </cell>
        </row>
        <row r="303">
          <cell r="B303" t="str">
            <v>С113-2088-1-2М</v>
          </cell>
          <cell r="C303" t="str">
            <v>Хрестики для плитки</v>
          </cell>
          <cell r="D303" t="str">
            <v>100шт</v>
          </cell>
          <cell r="E303">
            <v>43.71</v>
          </cell>
          <cell r="F303">
            <v>9.5399999999999991</v>
          </cell>
          <cell r="G303">
            <v>416.99</v>
          </cell>
        </row>
        <row r="304">
          <cell r="B304" t="str">
            <v>С111-2001-2</v>
          </cell>
          <cell r="C304" t="str">
            <v>Еластичний водостiйкий кольоровий шов до
5 мм Ceresit СЕ 40 aguastatic</v>
          </cell>
          <cell r="D304" t="str">
            <v>кг</v>
          </cell>
          <cell r="E304" t="str">
            <v>274,
83344</v>
          </cell>
          <cell r="F304">
            <v>90.89</v>
          </cell>
          <cell r="G304">
            <v>24979.61</v>
          </cell>
        </row>
        <row r="305">
          <cell r="B305" t="str">
            <v>ЕН11-9-1</v>
          </cell>
          <cell r="C305" t="str">
            <v>Улаштування тепло- i звукоiзоляцiї
суцiльної з плит або мат мiнераловатних
або скловолокнистих</v>
          </cell>
          <cell r="D305" t="str">
            <v>100м2</v>
          </cell>
          <cell r="E305">
            <v>1.2624</v>
          </cell>
          <cell r="F305">
            <v>2128.41</v>
          </cell>
          <cell r="G305">
            <v>2686.9</v>
          </cell>
        </row>
        <row r="306">
          <cell r="B306" t="str">
            <v>С114-97-Н</v>
          </cell>
          <cell r="C306" t="str">
            <v>Плити теплоiзоляцiйнi з екструзійного
пінополістиролу "XPS CARBON PROF 300
RF" "ТехноНІКОЛЬ" б=80мм</v>
          </cell>
          <cell r="D306" t="str">
            <v>м3</v>
          </cell>
          <cell r="E306" t="str">
            <v>10,
402176</v>
          </cell>
          <cell r="F306">
            <v>2822.31</v>
          </cell>
          <cell r="G306">
            <v>29358.17</v>
          </cell>
        </row>
        <row r="307">
          <cell r="B307" t="str">
            <v>Е12-20-3</v>
          </cell>
          <cell r="C307" t="str">
            <v>Улаштування пароiзоляцiї прокладної в
один шар</v>
          </cell>
          <cell r="D307" t="str">
            <v>100м2</v>
          </cell>
          <cell r="E307">
            <v>1.2624</v>
          </cell>
          <cell r="F307">
            <v>730.16</v>
          </cell>
          <cell r="G307">
            <v>921.75</v>
          </cell>
        </row>
        <row r="308">
          <cell r="B308" t="str">
            <v>С111-1720</v>
          </cell>
          <cell r="C308" t="str">
            <v>Плiвка полiетиленова</v>
          </cell>
          <cell r="D308" t="str">
            <v>м2</v>
          </cell>
          <cell r="E308">
            <v>138.864</v>
          </cell>
          <cell r="F308">
            <v>8.5299999999999994</v>
          </cell>
          <cell r="G308">
            <v>1184.51</v>
          </cell>
        </row>
        <row r="309">
          <cell r="B309" t="str">
            <v>ЕН11-11-5</v>
          </cell>
          <cell r="C309" t="str">
            <v>Улаштування стяжок бетонних
товщиною 20 мм</v>
          </cell>
          <cell r="D309" t="str">
            <v>100м2</v>
          </cell>
          <cell r="E309">
            <v>1.2624</v>
          </cell>
          <cell r="F309">
            <v>9555.4599999999991</v>
          </cell>
          <cell r="G309">
            <v>12062.81</v>
          </cell>
        </row>
        <row r="310">
          <cell r="B310" t="str">
            <v>ЕН11-11-6к=7</v>
          </cell>
          <cell r="C310" t="str">
            <v>Додавати або виключати на кожнi 5 мм
змiни товщини бетонних стяжок до товщ.
55 мм</v>
          </cell>
          <cell r="D310" t="str">
            <v>100м2</v>
          </cell>
          <cell r="E310">
            <v>1.2624</v>
          </cell>
          <cell r="F310">
            <v>10986.68</v>
          </cell>
          <cell r="G310">
            <v>13869.58</v>
          </cell>
        </row>
        <row r="311">
          <cell r="B311" t="str">
            <v>ЕН11-11-13</v>
          </cell>
          <cell r="C311" t="str">
            <v>Улаштування стяжок самовирівнювальних
з суміші Cerezit CN-72 товщиною 5 мм</v>
          </cell>
          <cell r="D311" t="str">
            <v>100м2</v>
          </cell>
          <cell r="E311">
            <v>1.2624</v>
          </cell>
          <cell r="F311">
            <v>34485.279999999999</v>
          </cell>
          <cell r="G311">
            <v>43534.22</v>
          </cell>
        </row>
        <row r="312">
          <cell r="B312" t="str">
            <v>ЕН11-11-14к=1,5</v>
          </cell>
          <cell r="C312" t="str">
            <v>Додавати або виключати на кожний 1 мм
товщини стяжок самовирівнювальних з
суміші Cerezit CN-72</v>
          </cell>
          <cell r="D312" t="str">
            <v>100м2</v>
          </cell>
          <cell r="E312">
            <v>1.2624</v>
          </cell>
          <cell r="F312">
            <v>8904.73</v>
          </cell>
          <cell r="G312">
            <v>11241.33</v>
          </cell>
        </row>
        <row r="313">
          <cell r="B313" t="str">
            <v>ЕН11-39-3</v>
          </cell>
          <cell r="C313" t="str">
            <v>Улаштування покриттів з лiнолеуму ПВХ-
TARKETT на клеї зі зварюванням
полотнища у стиках</v>
          </cell>
          <cell r="D313" t="str">
            <v>100м2</v>
          </cell>
          <cell r="E313">
            <v>1.2624</v>
          </cell>
          <cell r="F313">
            <v>6540.35</v>
          </cell>
          <cell r="G313">
            <v>8256.5400000000009</v>
          </cell>
        </row>
        <row r="314">
          <cell r="B314" t="str">
            <v>С111-2000-9</v>
          </cell>
          <cell r="C314" t="str">
            <v>Клей універсальний Thomsit L240D</v>
          </cell>
          <cell r="D314" t="str">
            <v>кг</v>
          </cell>
          <cell r="E314">
            <v>38.629440000000002</v>
          </cell>
          <cell r="F314">
            <v>191.75</v>
          </cell>
          <cell r="G314">
            <v>7407.2</v>
          </cell>
        </row>
        <row r="315">
          <cell r="B315" t="str">
            <v>С111-562</v>
          </cell>
          <cell r="C315" t="str">
            <v>Лiнолеум полiвiнiлхлоридний класу
"Комерційний"</v>
          </cell>
          <cell r="D315" t="str">
            <v>м2</v>
          </cell>
          <cell r="E315">
            <v>128.76480000000001</v>
          </cell>
          <cell r="F315">
            <v>554.66999999999996</v>
          </cell>
          <cell r="G315">
            <v>71421.97</v>
          </cell>
        </row>
        <row r="316">
          <cell r="B316" t="str">
            <v>ЕН11-9-1</v>
          </cell>
          <cell r="C316" t="str">
            <v>Улаштування тепло- i звукоiзоляцiї
суцiльної з плит або мат мiнераловатних
або скловолокнистих</v>
          </cell>
          <cell r="D316" t="str">
            <v>100м2</v>
          </cell>
          <cell r="E316">
            <v>0.54510000000000003</v>
          </cell>
          <cell r="F316">
            <v>2128.41</v>
          </cell>
          <cell r="G316">
            <v>1160.2</v>
          </cell>
        </row>
        <row r="317">
          <cell r="B317" t="str">
            <v>С114-97-Н</v>
          </cell>
          <cell r="C317" t="str">
            <v>Плити теплоiзоляцiйнi з екструзійного
пінополістиролу "XPS CARBON PROF 300
RF" "ТехноНІКОЛЬ" б=50мм</v>
          </cell>
          <cell r="D317" t="str">
            <v>м3</v>
          </cell>
          <cell r="E317">
            <v>2.8072650000000001</v>
          </cell>
          <cell r="F317">
            <v>2822.31</v>
          </cell>
          <cell r="G317">
            <v>7922.97</v>
          </cell>
        </row>
        <row r="318">
          <cell r="B318" t="str">
            <v>Е12-20-3</v>
          </cell>
          <cell r="C318" t="str">
            <v>Улаштування пароiзоляцiї прокладної в
один шар</v>
          </cell>
          <cell r="D318" t="str">
            <v>100м2</v>
          </cell>
          <cell r="E318">
            <v>0.54510000000000003</v>
          </cell>
          <cell r="F318">
            <v>730.16</v>
          </cell>
          <cell r="G318">
            <v>398.01</v>
          </cell>
        </row>
        <row r="319">
          <cell r="B319" t="str">
            <v>С111-1720</v>
          </cell>
          <cell r="C319" t="str">
            <v>Плiвка полiетиленова</v>
          </cell>
          <cell r="D319" t="str">
            <v>м2</v>
          </cell>
          <cell r="E319">
            <v>59.960999999999999</v>
          </cell>
          <cell r="F319">
            <v>8.5299999999999994</v>
          </cell>
          <cell r="G319">
            <v>511.47</v>
          </cell>
        </row>
        <row r="320">
          <cell r="B320" t="str">
            <v>ЕН11-11-5</v>
          </cell>
          <cell r="C320" t="str">
            <v>Улаштування стяжок бетонних
товщиною 20 мм</v>
          </cell>
          <cell r="D320" t="str">
            <v>100м2</v>
          </cell>
          <cell r="E320">
            <v>0.54510000000000003</v>
          </cell>
          <cell r="F320">
            <v>9555.4599999999991</v>
          </cell>
          <cell r="G320">
            <v>5208.68</v>
          </cell>
        </row>
        <row r="321">
          <cell r="B321" t="str">
            <v>ЕН11-11-6к=12</v>
          </cell>
          <cell r="C321" t="str">
            <v>Додавати або виключати на кожнi 5 мм
змiни товщини бетонних стяжок до товщ.
80 мм</v>
          </cell>
          <cell r="D321" t="str">
            <v>100м2</v>
          </cell>
          <cell r="E321">
            <v>0.54510000000000003</v>
          </cell>
          <cell r="F321">
            <v>18834.3</v>
          </cell>
          <cell r="G321">
            <v>10266.58</v>
          </cell>
        </row>
        <row r="322">
          <cell r="B322" t="str">
            <v>ЕН11-15-1</v>
          </cell>
          <cell r="C322" t="str">
            <v>Улаштування покриттів бетонних
товщиною 30 мм</v>
          </cell>
          <cell r="D322" t="str">
            <v>100м2</v>
          </cell>
          <cell r="E322">
            <v>0.54510000000000003</v>
          </cell>
          <cell r="F322">
            <v>12475.85</v>
          </cell>
          <cell r="G322">
            <v>6800.59</v>
          </cell>
        </row>
        <row r="323">
          <cell r="B323" t="str">
            <v>ЕН11-15-2к=2</v>
          </cell>
          <cell r="C323" t="str">
            <v>Додавати або виключати на кожнi 5 мм
змiни товщини бетонних покриттів
виключати до товщ. 20 мм</v>
          </cell>
          <cell r="D323" t="str">
            <v>100м2</v>
          </cell>
          <cell r="E323">
            <v>-0.54510000000000003</v>
          </cell>
          <cell r="F323">
            <v>3127.89</v>
          </cell>
          <cell r="G323">
            <v>-1705.01</v>
          </cell>
        </row>
        <row r="324">
          <cell r="B324" t="str">
            <v>ЕН11-9-1</v>
          </cell>
          <cell r="C324" t="str">
            <v>Улаштування тепло- i звукоiзоляцiї
суцiльної з плит або мат мiнераловатних
або скловолокнистих</v>
          </cell>
          <cell r="D324" t="str">
            <v>100м2</v>
          </cell>
          <cell r="E324">
            <v>0.70879999999999999</v>
          </cell>
          <cell r="F324">
            <v>2128.41</v>
          </cell>
          <cell r="G324">
            <v>1508.62</v>
          </cell>
        </row>
        <row r="325">
          <cell r="B325" t="str">
            <v>С114-97-Н</v>
          </cell>
          <cell r="C325" t="str">
            <v>Плити теплоiзоляцiйнi з екструзійного
пінополістиролу "XPS CARBON PROF 300
RF" "ТехноНІКОЛЬ" б=50мм</v>
          </cell>
          <cell r="D325" t="str">
            <v>м3</v>
          </cell>
          <cell r="E325">
            <v>3.6503199999999998</v>
          </cell>
          <cell r="F325">
            <v>2822.31</v>
          </cell>
          <cell r="G325">
            <v>10302.33</v>
          </cell>
        </row>
        <row r="326">
          <cell r="B326" t="str">
            <v>Е12-20-3</v>
          </cell>
          <cell r="C326" t="str">
            <v>Улаштування пароiзоляцiї прокладної в
один шар</v>
          </cell>
          <cell r="D326" t="str">
            <v>100м2</v>
          </cell>
          <cell r="E326">
            <v>0.70879999999999999</v>
          </cell>
          <cell r="F326">
            <v>730.16</v>
          </cell>
          <cell r="G326">
            <v>517.54</v>
          </cell>
        </row>
        <row r="327">
          <cell r="B327" t="str">
            <v>С111-1720</v>
          </cell>
          <cell r="C327" t="str">
            <v>Плiвка полiетиленова</v>
          </cell>
          <cell r="D327" t="str">
            <v>м2</v>
          </cell>
          <cell r="E327">
            <v>77.858000000000004</v>
          </cell>
          <cell r="F327">
            <v>8.5299999999999994</v>
          </cell>
          <cell r="G327">
            <v>664.13</v>
          </cell>
        </row>
        <row r="328">
          <cell r="B328" t="str">
            <v>ЕН11-11-5</v>
          </cell>
          <cell r="C328" t="str">
            <v>Улаштування стяжок бетонних
товщиною 20 мм</v>
          </cell>
          <cell r="D328" t="str">
            <v>100м2</v>
          </cell>
          <cell r="E328">
            <v>0.70879999999999999</v>
          </cell>
          <cell r="F328">
            <v>7428.84</v>
          </cell>
          <cell r="G328">
            <v>5265.56</v>
          </cell>
        </row>
        <row r="329">
          <cell r="B329" t="str">
            <v>ЕН11-11-6к=7</v>
          </cell>
          <cell r="C329" t="str">
            <v>Додавати або виключати на кожнi 5 мм
змiни товщини бетонних стяжок до товщ.
55 мм</v>
          </cell>
          <cell r="D329" t="str">
            <v>100м2</v>
          </cell>
          <cell r="E329">
            <v>0.70879999999999999</v>
          </cell>
          <cell r="F329">
            <v>7265.1</v>
          </cell>
          <cell r="G329">
            <v>5149.5</v>
          </cell>
        </row>
        <row r="330">
          <cell r="B330" t="str">
            <v>ЕН11-4-5</v>
          </cell>
          <cell r="C330" t="str">
            <v>Улаштування гiдроiзоляцiї обмазувальної в
один шар товщиною 2 мм</v>
          </cell>
          <cell r="D330" t="str">
            <v>100м2</v>
          </cell>
          <cell r="E330">
            <v>0.70879999999999999</v>
          </cell>
          <cell r="F330">
            <v>2237.0700000000002</v>
          </cell>
          <cell r="G330">
            <v>1585.64</v>
          </cell>
        </row>
        <row r="331">
          <cell r="B331" t="str">
            <v>ЕН11-4-6</v>
          </cell>
          <cell r="C331" t="str">
            <v>Додавати на кожний наступний шар
гiдроiзоляцiї обмазувальної товщиною 1
мм (до 3мм)</v>
          </cell>
          <cell r="D331" t="str">
            <v>100м2</v>
          </cell>
          <cell r="E331">
            <v>0.70879999999999999</v>
          </cell>
          <cell r="F331">
            <v>727.58</v>
          </cell>
          <cell r="G331">
            <v>515.71</v>
          </cell>
        </row>
        <row r="332">
          <cell r="B332" t="str">
            <v>С111-2002-1</v>
          </cell>
          <cell r="C332" t="str">
            <v>Гiдроiзоляцiйна сумiш (жорстка) Ceresit CR
65</v>
          </cell>
          <cell r="D332" t="str">
            <v>кг</v>
          </cell>
          <cell r="E332">
            <v>354.4</v>
          </cell>
          <cell r="F332">
            <v>21.2</v>
          </cell>
          <cell r="G332">
            <v>7513.28</v>
          </cell>
        </row>
        <row r="333">
          <cell r="B333" t="str">
            <v>ЕН11-29-2</v>
          </cell>
          <cell r="C333" t="str">
            <v>Улаштування покриттів з керамічних
плиток на розчині із сухої клеючої суміші,
кількість плиток в 1 м2 понад 7 до 12 шт</v>
          </cell>
          <cell r="D333" t="str">
            <v>100м2</v>
          </cell>
          <cell r="E333">
            <v>0.70779999999999998</v>
          </cell>
          <cell r="F333">
            <v>11447.04</v>
          </cell>
          <cell r="G333">
            <v>8102.21</v>
          </cell>
        </row>
        <row r="334">
          <cell r="B334" t="str">
            <v>С111-2014-6</v>
          </cell>
          <cell r="C334" t="str">
            <v>Грунтовка глибокопроникна Ceresit CT 17</v>
          </cell>
          <cell r="D334" t="str">
            <v>л</v>
          </cell>
          <cell r="E334">
            <v>14.176</v>
          </cell>
          <cell r="F334">
            <v>41.77</v>
          </cell>
          <cell r="G334">
            <v>592.13</v>
          </cell>
        </row>
        <row r="335">
          <cell r="B335" t="str">
            <v>С111-2000-1</v>
          </cell>
          <cell r="C335" t="str">
            <v>Клеюча сумiш для керамiчної плитки Ceresit
СМ 11</v>
          </cell>
          <cell r="D335" t="str">
            <v>кг</v>
          </cell>
          <cell r="E335">
            <v>368.57600000000002</v>
          </cell>
          <cell r="F335">
            <v>14.23</v>
          </cell>
          <cell r="G335">
            <v>5244.84</v>
          </cell>
        </row>
        <row r="336">
          <cell r="B336" t="str">
            <v>С111-287</v>
          </cell>
          <cell r="C336" t="str">
            <v>Плитки керамогранітні 1-го сорту рядові для
пiдлог НГЛ-8,5 мм, розмiр 300х300
(298х298х8,5)</v>
          </cell>
          <cell r="D336" t="str">
            <v>м2</v>
          </cell>
          <cell r="E336">
            <v>72.195599999999999</v>
          </cell>
          <cell r="F336">
            <v>229.71</v>
          </cell>
          <cell r="G336">
            <v>16584.05</v>
          </cell>
        </row>
        <row r="337">
          <cell r="B337" t="str">
            <v>С113-2088-1-2М</v>
          </cell>
          <cell r="C337" t="str">
            <v>Хрестики для плитки</v>
          </cell>
          <cell r="D337" t="str">
            <v>100шт</v>
          </cell>
          <cell r="E337">
            <v>5.1100000000000003</v>
          </cell>
          <cell r="F337">
            <v>9.5399999999999991</v>
          </cell>
          <cell r="G337">
            <v>48.75</v>
          </cell>
        </row>
        <row r="338">
          <cell r="B338" t="str">
            <v>С111-2001-2</v>
          </cell>
          <cell r="C338" t="str">
            <v>Еластичний водостiйкий кольоровий шов до
5 мм Ceresit СЕ 40 aguastatic</v>
          </cell>
          <cell r="D338" t="str">
            <v>кг</v>
          </cell>
          <cell r="E338">
            <v>32.179519999999997</v>
          </cell>
          <cell r="F338">
            <v>90.89</v>
          </cell>
          <cell r="G338">
            <v>2924.8</v>
          </cell>
        </row>
        <row r="339">
          <cell r="B339" t="str">
            <v>ЕН11-9-1</v>
          </cell>
          <cell r="C339" t="str">
            <v>Улаштування тепло- i звукоiзоляцiї
суцiльної з плит або мат мiнераловатних
або скловолокнистих</v>
          </cell>
          <cell r="D339" t="str">
            <v>100м2</v>
          </cell>
          <cell r="E339">
            <v>1.1257999999999999</v>
          </cell>
          <cell r="F339">
            <v>2128.41</v>
          </cell>
          <cell r="G339">
            <v>2396.16</v>
          </cell>
        </row>
        <row r="340">
          <cell r="B340" t="str">
            <v>С114-97-Н</v>
          </cell>
          <cell r="C340" t="str">
            <v>Плити теплоiзоляцiйнi з екструзійного
пінополістиролу "XPS CARBON PROF 300
RF" "ТехноНІКОЛЬ" б=50мм</v>
          </cell>
          <cell r="D340" t="str">
            <v>м3</v>
          </cell>
          <cell r="E340">
            <v>5.7978699999999996</v>
          </cell>
          <cell r="F340">
            <v>2822.31</v>
          </cell>
          <cell r="G340">
            <v>16363.39</v>
          </cell>
        </row>
        <row r="341">
          <cell r="B341" t="str">
            <v>Е12-20-3</v>
          </cell>
          <cell r="C341" t="str">
            <v>Улаштування пароiзоляцiї прокладної в
один шар</v>
          </cell>
          <cell r="D341" t="str">
            <v>100м2</v>
          </cell>
          <cell r="E341">
            <v>1.1257999999999999</v>
          </cell>
          <cell r="F341">
            <v>730.16</v>
          </cell>
          <cell r="G341">
            <v>822.01</v>
          </cell>
        </row>
        <row r="342">
          <cell r="B342" t="str">
            <v>С111-1720</v>
          </cell>
          <cell r="C342" t="str">
            <v>Плiвка полiетиленова</v>
          </cell>
          <cell r="D342" t="str">
            <v>м2</v>
          </cell>
          <cell r="E342">
            <v>123.83799999999999</v>
          </cell>
          <cell r="F342">
            <v>8.5299999999999994</v>
          </cell>
          <cell r="G342">
            <v>1056.3399999999999</v>
          </cell>
        </row>
        <row r="343">
          <cell r="B343" t="str">
            <v>ЕН11-11-5</v>
          </cell>
          <cell r="C343" t="str">
            <v>Улаштування стяжок бетонних
товщиною 20 мм</v>
          </cell>
          <cell r="D343" t="str">
            <v>100м2</v>
          </cell>
          <cell r="E343">
            <v>1.1257999999999999</v>
          </cell>
          <cell r="F343">
            <v>9555.4599999999991</v>
          </cell>
          <cell r="G343">
            <v>10757.54</v>
          </cell>
        </row>
        <row r="344">
          <cell r="B344" t="str">
            <v>ЕН11-11-6к=15,2</v>
          </cell>
          <cell r="C344" t="str">
            <v>Додавати або виключати на кожнi 5 мм
змiни товщини бетонних стяжок до товщ.
96 мм</v>
          </cell>
          <cell r="D344" t="str">
            <v>100м2</v>
          </cell>
          <cell r="E344">
            <v>1.1257999999999999</v>
          </cell>
          <cell r="F344">
            <v>23856.79</v>
          </cell>
          <cell r="G344">
            <v>26857.97</v>
          </cell>
        </row>
        <row r="345">
          <cell r="B345" t="str">
            <v>ЕН11-9-2</v>
          </cell>
          <cell r="C345" t="str">
            <v>Улаштування тепло- i звукоiзоляцiї
суцiльної з плит деревноволокнистих</v>
          </cell>
          <cell r="D345" t="str">
            <v>100м2</v>
          </cell>
          <cell r="E345">
            <v>5.3</v>
          </cell>
          <cell r="F345">
            <v>549.74</v>
          </cell>
          <cell r="G345">
            <v>2913.62</v>
          </cell>
        </row>
        <row r="346">
          <cell r="B346" t="str">
            <v>С111-649</v>
          </cell>
          <cell r="C346" t="str">
            <v>Плити деревноволокнистi, товщина 12 мм</v>
          </cell>
          <cell r="D346" t="str">
            <v>1000м2</v>
          </cell>
          <cell r="E346">
            <v>0.54060000000000008</v>
          </cell>
          <cell r="F346">
            <v>134478.17000000001</v>
          </cell>
          <cell r="G346">
            <v>72698.899999999994</v>
          </cell>
        </row>
        <row r="347">
          <cell r="B347" t="str">
            <v>ЕН11-11-5</v>
          </cell>
          <cell r="C347" t="str">
            <v>Улаштування стяжок бетонних
товщиною 20 мм</v>
          </cell>
          <cell r="D347" t="str">
            <v>100м2</v>
          </cell>
          <cell r="E347">
            <v>5.3</v>
          </cell>
          <cell r="F347">
            <v>9555.4599999999991</v>
          </cell>
          <cell r="G347">
            <v>50643.94</v>
          </cell>
        </row>
        <row r="348">
          <cell r="B348" t="str">
            <v>ЕН11-11-6к=3</v>
          </cell>
          <cell r="C348" t="str">
            <v>Додавати або виключати на кожнi 5 мм
змiни товщини бетонних стяжок до товщ.
35 мм</v>
          </cell>
          <cell r="D348" t="str">
            <v>100м2</v>
          </cell>
          <cell r="E348">
            <v>5.3</v>
          </cell>
          <cell r="F348">
            <v>4708.58</v>
          </cell>
          <cell r="G348">
            <v>24955.47</v>
          </cell>
        </row>
        <row r="349">
          <cell r="B349" t="str">
            <v>ЕН11-11-5</v>
          </cell>
          <cell r="C349" t="str">
            <v>Улаштування стяжок бетонних
товщиною 20 мм</v>
          </cell>
          <cell r="D349" t="str">
            <v>100м2</v>
          </cell>
          <cell r="E349">
            <v>0.51980000000000004</v>
          </cell>
          <cell r="F349">
            <v>9555.4599999999991</v>
          </cell>
          <cell r="G349">
            <v>4966.93</v>
          </cell>
        </row>
        <row r="350">
          <cell r="B350" t="str">
            <v>ЕН11-11-6к=5,4</v>
          </cell>
          <cell r="C350" t="str">
            <v>Додавати або виключати на кожнi 5 мм
змiни товщини бетонних стяжок до товщ.
47 мм</v>
          </cell>
          <cell r="D350" t="str">
            <v>100м2</v>
          </cell>
          <cell r="E350">
            <v>0.51980000000000004</v>
          </cell>
          <cell r="F350">
            <v>8475.44</v>
          </cell>
          <cell r="G350">
            <v>4405.53</v>
          </cell>
        </row>
        <row r="351">
          <cell r="B351" t="str">
            <v>ЕН11-11-1</v>
          </cell>
          <cell r="C351" t="str">
            <v>Улаштування стяжок цементних
товщиною 20 мм</v>
          </cell>
          <cell r="D351" t="str">
            <v>100м2</v>
          </cell>
          <cell r="E351">
            <v>0.1986</v>
          </cell>
          <cell r="F351">
            <v>9656.26</v>
          </cell>
          <cell r="G351">
            <v>1917.73</v>
          </cell>
        </row>
        <row r="352">
          <cell r="B352" t="str">
            <v>ЕН11-11-2к=6</v>
          </cell>
          <cell r="C352" t="str">
            <v>Додавати на кожнi 5 мм змiни товщини
стяжок цементних до товщ.50 мм</v>
          </cell>
          <cell r="D352" t="str">
            <v>100м2</v>
          </cell>
          <cell r="E352">
            <v>0.1986</v>
          </cell>
          <cell r="F352">
            <v>9769.52</v>
          </cell>
          <cell r="G352">
            <v>1940.23</v>
          </cell>
        </row>
        <row r="353">
          <cell r="B353" t="str">
            <v>ЕН11-17-3</v>
          </cell>
          <cell r="C353" t="str">
            <v>Улаштування покриттів мозаїчних
[терраццо] товщиною 20 мм без малюнка</v>
          </cell>
          <cell r="D353" t="str">
            <v>100м2</v>
          </cell>
          <cell r="E353">
            <v>0.1986</v>
          </cell>
          <cell r="F353">
            <v>30903.01</v>
          </cell>
          <cell r="G353">
            <v>6137.34</v>
          </cell>
        </row>
        <row r="354">
          <cell r="B354" t="str">
            <v>ЕН11-4-1</v>
          </cell>
          <cell r="C354" t="str">
            <v>Улаштування гiдроiзоляцiї обклеювальної
iзолом на мастицi бiтумiноль, перший шар</v>
          </cell>
          <cell r="D354" t="str">
            <v>100м2</v>
          </cell>
          <cell r="E354">
            <v>0.69359999999999999</v>
          </cell>
          <cell r="F354">
            <v>19960.32</v>
          </cell>
          <cell r="G354">
            <v>13844.48</v>
          </cell>
        </row>
        <row r="355">
          <cell r="B355" t="str">
            <v>ЕН11-4-2</v>
          </cell>
          <cell r="C355" t="str">
            <v>Улаштування гiдроiзоляцiї обклеювальної
iзолом на мастицi бiтумiноль, наступний
шар</v>
          </cell>
          <cell r="D355" t="str">
            <v>100м2</v>
          </cell>
          <cell r="E355">
            <v>0.69359999999999999</v>
          </cell>
          <cell r="F355">
            <v>13128.83</v>
          </cell>
          <cell r="G355">
            <v>9106.16</v>
          </cell>
        </row>
        <row r="356">
          <cell r="B356" t="str">
            <v>ЕН11-42-2</v>
          </cell>
          <cell r="C356" t="str">
            <v>Улаштування плiнтусiв дерев'яних з
кріпленням шурупами</v>
          </cell>
          <cell r="D356" t="str">
            <v>100м</v>
          </cell>
          <cell r="E356">
            <v>1.7547999999999999</v>
          </cell>
          <cell r="F356">
            <v>4290.01</v>
          </cell>
          <cell r="G356">
            <v>7528.11</v>
          </cell>
        </row>
        <row r="357">
          <cell r="B357" t="str">
            <v>ЕН11-42-3</v>
          </cell>
          <cell r="C357" t="str">
            <v>Улаштування плiнтусiв бетонних</v>
          </cell>
          <cell r="D357" t="str">
            <v>100м</v>
          </cell>
          <cell r="E357">
            <v>0.20280000000000001</v>
          </cell>
          <cell r="F357">
            <v>1241.22</v>
          </cell>
          <cell r="G357">
            <v>251.72</v>
          </cell>
        </row>
        <row r="358">
          <cell r="B358" t="str">
            <v>ЕН11-39-5</v>
          </cell>
          <cell r="C358" t="str">
            <v>Улаштування покриттів з лiнолеуму
полiвiнiлхлоридного насухо з готових
килимів розміром на приміщення
(Улаштування покриттів з модульного
антиковзаючего пластикового покриття
"Aquafloor")</v>
          </cell>
          <cell r="D358" t="str">
            <v>100м2</v>
          </cell>
          <cell r="E358">
            <v>0.61130000000000007</v>
          </cell>
          <cell r="F358">
            <v>2163.1999999999998</v>
          </cell>
          <cell r="G358">
            <v>1322.36</v>
          </cell>
        </row>
        <row r="359">
          <cell r="B359" t="str">
            <v>С111-548-Н</v>
          </cell>
          <cell r="C359" t="str">
            <v>Модульне антиковзаюче пластикове
покриття "Aquafloor" (не сприятливе до
хлоровмістних речовин) 160х160 мм</v>
          </cell>
          <cell r="D359" t="str">
            <v>м2</v>
          </cell>
          <cell r="E359">
            <v>61.13</v>
          </cell>
          <cell r="F359">
            <v>636.95000000000005</v>
          </cell>
          <cell r="G359">
            <v>38936.75</v>
          </cell>
        </row>
        <row r="360">
          <cell r="B360" t="str">
            <v>РН7-2-5</v>
          </cell>
          <cell r="C360" t="str">
            <v>Розбирання покриттiв пiдлог з лiнолеуму
та релiну</v>
          </cell>
          <cell r="D360" t="str">
            <v>100м2</v>
          </cell>
          <cell r="E360">
            <v>0.1154</v>
          </cell>
          <cell r="F360">
            <v>1024.56</v>
          </cell>
          <cell r="G360">
            <v>118.23</v>
          </cell>
        </row>
        <row r="361">
          <cell r="B361" t="str">
            <v>ЕН11-39-3</v>
          </cell>
          <cell r="C361" t="str">
            <v>Улаштування покриттів з лiнолеуму ПВХ-
TARKETT на клеї зі зварюванням
полотнища у стиках</v>
          </cell>
          <cell r="D361" t="str">
            <v>100м2</v>
          </cell>
          <cell r="E361">
            <v>7.3999999999999996E-2</v>
          </cell>
          <cell r="F361">
            <v>6540.35</v>
          </cell>
          <cell r="G361">
            <v>483.99</v>
          </cell>
        </row>
        <row r="362">
          <cell r="B362" t="str">
            <v>С111-2000-9</v>
          </cell>
          <cell r="C362" t="str">
            <v>Клей універсальний Thomsit L240D</v>
          </cell>
          <cell r="D362" t="str">
            <v>кг</v>
          </cell>
          <cell r="E362">
            <v>2.9969999999999999</v>
          </cell>
          <cell r="F362">
            <v>191.75</v>
          </cell>
          <cell r="G362">
            <v>574.66999999999996</v>
          </cell>
        </row>
        <row r="363">
          <cell r="B363" t="str">
            <v>С111-563</v>
          </cell>
          <cell r="C363" t="str">
            <v>Лiнолеум полiвiнiлхлоридний на
теплозвукоiзолювальнiй пiдосновi, товщина
3,6 мм</v>
          </cell>
          <cell r="D363" t="str">
            <v>м2</v>
          </cell>
          <cell r="E363">
            <v>7.548</v>
          </cell>
          <cell r="F363">
            <v>352.12</v>
          </cell>
          <cell r="G363">
            <v>2657.8</v>
          </cell>
        </row>
        <row r="364">
          <cell r="B364" t="str">
            <v>ЕН11-29-2</v>
          </cell>
          <cell r="C364" t="str">
            <v>Улаштування покриттів з керамічних
плиток на розчині із сухої клеючої суміші,
кількість плиток в 1 м2 понад 7 до 12 шт</v>
          </cell>
          <cell r="D364" t="str">
            <v>100м2</v>
          </cell>
          <cell r="E364">
            <v>2.7E-2</v>
          </cell>
          <cell r="F364">
            <v>11447.04</v>
          </cell>
          <cell r="G364">
            <v>309.07</v>
          </cell>
        </row>
        <row r="365">
          <cell r="B365" t="str">
            <v>С111-2014-6</v>
          </cell>
          <cell r="C365" t="str">
            <v>Грунтовка глибокопроникна Ceresit CT 17</v>
          </cell>
          <cell r="D365" t="str">
            <v>л</v>
          </cell>
          <cell r="E365">
            <v>0.54</v>
          </cell>
          <cell r="F365">
            <v>41.77</v>
          </cell>
          <cell r="G365">
            <v>22.56</v>
          </cell>
        </row>
        <row r="366">
          <cell r="B366" t="str">
            <v>С111-2000-1</v>
          </cell>
          <cell r="C366" t="str">
            <v>Клеюча сумiш для керамiчної плитки Ceresit
СМ 11</v>
          </cell>
          <cell r="D366" t="str">
            <v>кг</v>
          </cell>
          <cell r="E366">
            <v>14.04</v>
          </cell>
          <cell r="F366">
            <v>14.23</v>
          </cell>
          <cell r="G366">
            <v>199.79</v>
          </cell>
        </row>
        <row r="367">
          <cell r="B367" t="str">
            <v>С111-287</v>
          </cell>
          <cell r="C367" t="str">
            <v>Плитки керамогранітні 1-го сорту рядові для
пiдлог НГЛ-8,5 мм, розмiр 300х300
(298х298х8,5)</v>
          </cell>
          <cell r="D367" t="str">
            <v>м2</v>
          </cell>
          <cell r="E367">
            <v>2.754</v>
          </cell>
          <cell r="F367">
            <v>229.71</v>
          </cell>
          <cell r="G367">
            <v>632.62</v>
          </cell>
        </row>
        <row r="368">
          <cell r="B368" t="str">
            <v>С113-2088-1-2М</v>
          </cell>
          <cell r="C368" t="str">
            <v>Хрестики для плитки</v>
          </cell>
          <cell r="D368" t="str">
            <v>100шт</v>
          </cell>
          <cell r="E368">
            <v>0.19</v>
          </cell>
          <cell r="F368">
            <v>9.5399999999999991</v>
          </cell>
          <cell r="G368">
            <v>1.81</v>
          </cell>
        </row>
        <row r="369">
          <cell r="B369" t="str">
            <v>С111-2001-2</v>
          </cell>
          <cell r="C369" t="str">
            <v>Еластичний водостiйкий кольоровий шов до
5 мм Ceresit СЕ 40 aguastatic</v>
          </cell>
          <cell r="D369" t="str">
            <v>кг</v>
          </cell>
          <cell r="E369">
            <v>1.2258</v>
          </cell>
          <cell r="F369">
            <v>90.89</v>
          </cell>
          <cell r="G369">
            <v>111.41</v>
          </cell>
        </row>
        <row r="370">
          <cell r="B370" t="str">
            <v>ЕН15-26-1</v>
          </cell>
          <cell r="C370" t="str">
            <v>Улаштування покриттів східців і підсхідців
з керамiчних плиток розміром 30х30 см на
розчині із сухої клеючої суміші</v>
          </cell>
          <cell r="D370" t="str">
            <v>1 м2</v>
          </cell>
          <cell r="E370">
            <v>8.6</v>
          </cell>
          <cell r="F370">
            <v>363.77</v>
          </cell>
          <cell r="G370">
            <v>3128.42</v>
          </cell>
        </row>
        <row r="371">
          <cell r="B371" t="str">
            <v>С111-2014-6</v>
          </cell>
          <cell r="C371" t="str">
            <v>Грунтовка глибокопроникна Ceresit CT 17</v>
          </cell>
          <cell r="D371" t="str">
            <v>л</v>
          </cell>
          <cell r="E371">
            <v>1.72</v>
          </cell>
          <cell r="F371">
            <v>41.77</v>
          </cell>
          <cell r="G371">
            <v>71.84</v>
          </cell>
        </row>
        <row r="372">
          <cell r="B372" t="str">
            <v>С111-2000-1</v>
          </cell>
          <cell r="C372" t="str">
            <v>Клеюча сумiш для керамiчної плитки Ceresit
СМ 11</v>
          </cell>
          <cell r="D372" t="str">
            <v>кг</v>
          </cell>
          <cell r="E372">
            <v>44.72</v>
          </cell>
          <cell r="F372">
            <v>14.23</v>
          </cell>
          <cell r="G372">
            <v>636.37</v>
          </cell>
        </row>
        <row r="373">
          <cell r="B373" t="str">
            <v>С111-287</v>
          </cell>
          <cell r="C373" t="str">
            <v>Плитки керамогранітні 1-го сорту рядові для
пiдлог НГЛ-8,5 мм, розмiр 300х300
(298х298х8,5)</v>
          </cell>
          <cell r="D373" t="str">
            <v>м2</v>
          </cell>
          <cell r="E373">
            <v>8.7720000000000002</v>
          </cell>
          <cell r="F373">
            <v>229.71</v>
          </cell>
          <cell r="G373">
            <v>2015.02</v>
          </cell>
        </row>
        <row r="374">
          <cell r="B374" t="str">
            <v>С111-2001-2</v>
          </cell>
          <cell r="C374" t="str">
            <v>Еластичний водостiйкий кольоровий шов до
5 мм Ceresit СЕ 40 aguastatic</v>
          </cell>
          <cell r="D374" t="str">
            <v>кг</v>
          </cell>
          <cell r="E374">
            <v>3.9216000000000002</v>
          </cell>
          <cell r="F374">
            <v>90.89</v>
          </cell>
          <cell r="G374">
            <v>356.43</v>
          </cell>
        </row>
        <row r="375">
          <cell r="B375" t="str">
            <v>Е9-40-1</v>
          </cell>
          <cell r="C375" t="str">
            <v>Монтаж стальних плiнтусiв iз гнутого
профiлю (Улаштування на сходах
противоковзких накладок)</v>
          </cell>
          <cell r="D375" t="str">
            <v>100м</v>
          </cell>
          <cell r="E375">
            <v>0.19950000000000001</v>
          </cell>
          <cell r="F375">
            <v>1434.1</v>
          </cell>
          <cell r="G375">
            <v>286.10000000000002</v>
          </cell>
        </row>
        <row r="376">
          <cell r="B376" t="str">
            <v>С126-944-1</v>
          </cell>
          <cell r="C376" t="str">
            <v>Протиковзкі накладки гумово-алюмінієві
1330х53 ООО "Евротрейдінг Україна"</v>
          </cell>
          <cell r="D376" t="str">
            <v>шт</v>
          </cell>
          <cell r="E376">
            <v>15</v>
          </cell>
          <cell r="F376">
            <v>100.57</v>
          </cell>
          <cell r="G376">
            <v>1508.55</v>
          </cell>
        </row>
        <row r="377">
          <cell r="B377" t="str">
            <v>ЕН11-11-5</v>
          </cell>
          <cell r="C377" t="str">
            <v>Улаштування стяжок бетонних
товщиною 20 мм</v>
          </cell>
          <cell r="D377" t="str">
            <v>100м2</v>
          </cell>
          <cell r="E377">
            <v>0.1391</v>
          </cell>
          <cell r="F377">
            <v>9555.4599999999991</v>
          </cell>
          <cell r="G377">
            <v>1329.16</v>
          </cell>
        </row>
        <row r="378">
          <cell r="B378" t="str">
            <v>ЕН11-11-6к=4</v>
          </cell>
          <cell r="C378" t="str">
            <v>Додавати або виключати на кожнi 5 мм
змiни товщини бетонних стяжок до товщ.
40 мм</v>
          </cell>
          <cell r="D378" t="str">
            <v>100м2</v>
          </cell>
          <cell r="E378">
            <v>0.1391</v>
          </cell>
          <cell r="F378">
            <v>6278.1</v>
          </cell>
          <cell r="G378">
            <v>873.28</v>
          </cell>
        </row>
        <row r="379">
          <cell r="B379" t="str">
            <v>Е7-47-1</v>
          </cell>
          <cell r="C379" t="str">
            <v>Установлення сходових площадок
залізобетонніх П1, П2 масою до 1 т</v>
          </cell>
          <cell r="D379" t="str">
            <v>100шт</v>
          </cell>
          <cell r="E379">
            <v>0.1</v>
          </cell>
          <cell r="F379">
            <v>28042.49</v>
          </cell>
          <cell r="G379">
            <v>2804.25</v>
          </cell>
        </row>
        <row r="380">
          <cell r="B380" t="str">
            <v>С1415-8208-1</v>
          </cell>
          <cell r="C380" t="str">
            <v>Плита П1 1410х1910</v>
          </cell>
          <cell r="D380" t="str">
            <v>шт</v>
          </cell>
          <cell r="E380">
            <v>4</v>
          </cell>
          <cell r="F380">
            <v>1508.07</v>
          </cell>
          <cell r="G380">
            <v>6032.28</v>
          </cell>
        </row>
        <row r="381">
          <cell r="B381" t="str">
            <v>С1415-8208-2</v>
          </cell>
          <cell r="C381" t="str">
            <v>Плита П2 1410х1470</v>
          </cell>
          <cell r="D381" t="str">
            <v>шт</v>
          </cell>
          <cell r="E381">
            <v>6</v>
          </cell>
          <cell r="F381">
            <v>1074.25</v>
          </cell>
          <cell r="G381">
            <v>6445.5</v>
          </cell>
        </row>
        <row r="382">
          <cell r="B382" t="str">
            <v>ЕН6-11-7</v>
          </cell>
          <cell r="C382" t="str">
            <v>Установлення закладних деталей вагою
до 5 кг</v>
          </cell>
          <cell r="D382" t="str">
            <v>т</v>
          </cell>
          <cell r="E382">
            <v>3.5000000000000001E-3</v>
          </cell>
          <cell r="F382">
            <v>15697.6</v>
          </cell>
          <cell r="G382">
            <v>54.94</v>
          </cell>
        </row>
        <row r="383">
          <cell r="B383" t="str">
            <v>С124-64</v>
          </cell>
          <cell r="C383" t="str">
            <v>Деталi закладнi МН-1</v>
          </cell>
          <cell r="D383" t="str">
            <v>т</v>
          </cell>
          <cell r="E383">
            <v>3.5000000000000001E-3</v>
          </cell>
          <cell r="F383">
            <v>57862.53</v>
          </cell>
          <cell r="G383">
            <v>202.52</v>
          </cell>
        </row>
        <row r="384">
          <cell r="B384" t="str">
            <v>Е7-59-2</v>
          </cell>
          <cell r="C384" t="str">
            <v>Укладання сходiв по готовiй основi з
окремих схiдцiв iз мозаїчним покриттям</v>
          </cell>
          <cell r="D384" t="str">
            <v>100м</v>
          </cell>
          <cell r="E384">
            <v>1.05</v>
          </cell>
          <cell r="F384">
            <v>14187.99</v>
          </cell>
          <cell r="G384">
            <v>14897.39</v>
          </cell>
        </row>
        <row r="385">
          <cell r="B385" t="str">
            <v>К589111-17</v>
          </cell>
          <cell r="C385" t="str">
            <v>Схiдцi з/б марки СС14-1Ш, СС14-Ш</v>
          </cell>
          <cell r="D385" t="str">
            <v>шт</v>
          </cell>
          <cell r="E385">
            <v>65</v>
          </cell>
          <cell r="F385">
            <v>462.19</v>
          </cell>
          <cell r="G385">
            <v>30042.35</v>
          </cell>
        </row>
        <row r="386">
          <cell r="B386" t="str">
            <v>К589111-35</v>
          </cell>
          <cell r="C386" t="str">
            <v>Схiдцi з/б марки ССВ14-Ш</v>
          </cell>
          <cell r="D386" t="str">
            <v>шт</v>
          </cell>
          <cell r="E386">
            <v>5</v>
          </cell>
          <cell r="F386">
            <v>468.44</v>
          </cell>
          <cell r="G386">
            <v>2342.1999999999998</v>
          </cell>
        </row>
        <row r="387">
          <cell r="B387" t="str">
            <v>К589111-53</v>
          </cell>
          <cell r="C387" t="str">
            <v>Схiдцi з/б марки ССН14-Ш</v>
          </cell>
          <cell r="D387" t="str">
            <v>шт</v>
          </cell>
          <cell r="E387">
            <v>4</v>
          </cell>
          <cell r="F387">
            <v>439.45</v>
          </cell>
          <cell r="G387">
            <v>1757.8</v>
          </cell>
        </row>
        <row r="388">
          <cell r="B388" t="str">
            <v>К589111-44</v>
          </cell>
          <cell r="C388" t="str">
            <v>Схiдцi з/б марки ССП14 (площадковий
вкладиш)</v>
          </cell>
          <cell r="D388" t="str">
            <v>шт</v>
          </cell>
          <cell r="E388">
            <v>1</v>
          </cell>
          <cell r="F388">
            <v>432.35</v>
          </cell>
          <cell r="G388">
            <v>432.35</v>
          </cell>
        </row>
        <row r="389">
          <cell r="B389" t="str">
            <v>Е9-25-1</v>
          </cell>
          <cell r="C389" t="str">
            <v>Монтаж балок БП1, БЛ1, БЛ2, Б3, Б4, БП2
при висотi будiвлi до 25 м</v>
          </cell>
          <cell r="D389" t="str">
            <v>т</v>
          </cell>
          <cell r="E389">
            <v>0.97756999999999994</v>
          </cell>
          <cell r="F389">
            <v>4667.16</v>
          </cell>
          <cell r="G389">
            <v>4562.4799999999996</v>
          </cell>
        </row>
        <row r="390">
          <cell r="B390" t="str">
            <v>Е9-48-1</v>
          </cell>
          <cell r="C390" t="str">
            <v>Електродугове зварювання при монтажi
каркасiв одноповерхових виробничих
будiвель</v>
          </cell>
          <cell r="D390" t="str">
            <v>т</v>
          </cell>
          <cell r="E390">
            <v>0.97756999999999994</v>
          </cell>
          <cell r="F390">
            <v>842.71</v>
          </cell>
          <cell r="G390">
            <v>823.81</v>
          </cell>
        </row>
        <row r="391">
          <cell r="B391" t="str">
            <v>С111-1838</v>
          </cell>
          <cell r="C391" t="str">
            <v>Балки БП1, БЛ1, БЛ2, БП2</v>
          </cell>
          <cell r="D391" t="str">
            <v>т</v>
          </cell>
          <cell r="E391">
            <v>0.82384000000000002</v>
          </cell>
          <cell r="F391">
            <v>28815.38</v>
          </cell>
          <cell r="G391">
            <v>23739.26</v>
          </cell>
        </row>
        <row r="392">
          <cell r="B392" t="str">
            <v>С111-1837</v>
          </cell>
          <cell r="C392" t="str">
            <v>Балка Б3</v>
          </cell>
          <cell r="D392" t="str">
            <v>т</v>
          </cell>
          <cell r="E392">
            <v>9.9140000000000006E-2</v>
          </cell>
          <cell r="F392">
            <v>28815.38</v>
          </cell>
          <cell r="G392">
            <v>2856.76</v>
          </cell>
        </row>
        <row r="393">
          <cell r="B393" t="str">
            <v>С111-1835</v>
          </cell>
          <cell r="C393" t="str">
            <v>Балка Б4</v>
          </cell>
          <cell r="D393" t="str">
            <v>т</v>
          </cell>
          <cell r="E393">
            <v>5.4590000000000007E-2</v>
          </cell>
          <cell r="F393">
            <v>28815.38</v>
          </cell>
          <cell r="G393">
            <v>1573.03</v>
          </cell>
        </row>
        <row r="394">
          <cell r="B394" t="str">
            <v>Е9-25-1</v>
          </cell>
          <cell r="C394" t="str">
            <v>Монтаж косоуров Кс1, Кс2 при висотi
будiвлi до 25 м</v>
          </cell>
          <cell r="D394" t="str">
            <v>т</v>
          </cell>
          <cell r="E394">
            <v>0.78550000000000009</v>
          </cell>
          <cell r="F394">
            <v>4667.16</v>
          </cell>
          <cell r="G394">
            <v>3666.05</v>
          </cell>
        </row>
        <row r="395">
          <cell r="B395" t="str">
            <v>С121-649</v>
          </cell>
          <cell r="C395" t="str">
            <v>Косоури Кс1, Кс2</v>
          </cell>
          <cell r="D395" t="str">
            <v>т</v>
          </cell>
          <cell r="E395">
            <v>0.78550000000000009</v>
          </cell>
          <cell r="F395">
            <v>33033.089999999997</v>
          </cell>
          <cell r="G395">
            <v>25947.49</v>
          </cell>
        </row>
        <row r="396">
          <cell r="B396" t="str">
            <v>Е7-60-3</v>
          </cell>
          <cell r="C396" t="str">
            <v>Установлення металевої огорожi з
поручнями iз полiвiнiлхлориду</v>
          </cell>
          <cell r="D396" t="str">
            <v>100м</v>
          </cell>
          <cell r="E396">
            <v>0.23620000000000002</v>
          </cell>
          <cell r="F396">
            <v>6850.47</v>
          </cell>
          <cell r="G396">
            <v>1618.08</v>
          </cell>
        </row>
        <row r="397">
          <cell r="B397" t="str">
            <v>С121-650</v>
          </cell>
          <cell r="C397" t="str">
            <v>Огорожа сходів маршевих МВ 39.21-39.9 Р2,
площадок ПВ-16.9Р-2, погрунтовані та
пофарбовані</v>
          </cell>
          <cell r="D397" t="str">
            <v>т</v>
          </cell>
          <cell r="E397">
            <v>0.276588</v>
          </cell>
          <cell r="F397">
            <v>33033.089999999997</v>
          </cell>
          <cell r="G397">
            <v>9136.56</v>
          </cell>
        </row>
        <row r="398">
          <cell r="B398" t="str">
            <v>С111-825</v>
          </cell>
          <cell r="C398" t="str">
            <v>Поручень полiвiнiлхлоридний</v>
          </cell>
          <cell r="D398" t="str">
            <v>пм</v>
          </cell>
          <cell r="E398">
            <v>24.092400000000001</v>
          </cell>
          <cell r="F398">
            <v>37.369999999999997</v>
          </cell>
          <cell r="G398">
            <v>900.33</v>
          </cell>
        </row>
        <row r="399">
          <cell r="B399" t="str">
            <v>ЕН6-1-1</v>
          </cell>
          <cell r="C399" t="str">
            <v>Улаштування бетонної подушкі бетон
важкий В 7,5 (М 100), крупнiсть
заповнювача 20-40мм</v>
          </cell>
          <cell r="D399" t="str">
            <v>100м3</v>
          </cell>
          <cell r="E399">
            <v>1.1000000000000001E-3</v>
          </cell>
          <cell r="F399">
            <v>280629.59000000003</v>
          </cell>
          <cell r="G399">
            <v>308.69</v>
          </cell>
        </row>
        <row r="400">
          <cell r="B400" t="str">
            <v>ЕН15-171-3</v>
          </cell>
          <cell r="C400" t="str">
            <v>Олiйне фарбування бiлилами з додаванням
кольору сталевих балок, труб дiаметром
понад 50 мм тощо за два рази ( Б3, Б4 )</v>
          </cell>
          <cell r="D400" t="str">
            <v>100м2</v>
          </cell>
          <cell r="E400">
            <v>6.6500000000000004E-2</v>
          </cell>
          <cell r="F400">
            <v>4034.36</v>
          </cell>
          <cell r="G400">
            <v>268.27999999999997</v>
          </cell>
        </row>
        <row r="401">
          <cell r="B401" t="str">
            <v>С111-1673-1</v>
          </cell>
          <cell r="C401" t="str">
            <v>Эмаль "ЗЕБРА" (3 в 1) антикорозійна</v>
          </cell>
          <cell r="D401" t="str">
            <v>л</v>
          </cell>
          <cell r="E401">
            <v>1.1970000000000001</v>
          </cell>
          <cell r="F401">
            <v>182.96</v>
          </cell>
          <cell r="G401">
            <v>219</v>
          </cell>
        </row>
        <row r="402">
          <cell r="B402" t="str">
            <v>Е13-16-6</v>
          </cell>
          <cell r="C402" t="str">
            <v>Грунтування металевих поверхонь за
один раз грунтовкою ГФ-021 (БП1, БЛ1,
БЛ2, БП2, Кс1, Кс2 )</v>
          </cell>
          <cell r="D402" t="str">
            <v>100м2</v>
          </cell>
          <cell r="E402">
            <v>0.29089999999999999</v>
          </cell>
          <cell r="F402">
            <v>1018.58</v>
          </cell>
          <cell r="G402">
            <v>296.3</v>
          </cell>
        </row>
        <row r="403">
          <cell r="B403" t="str">
            <v>ЕН15-57-1</v>
          </cell>
          <cell r="C403" t="str">
            <v>Полiпшене штукатурення по сiтцi стiн
без улаштування каркаса</v>
          </cell>
          <cell r="D403" t="str">
            <v>100м2</v>
          </cell>
          <cell r="E403">
            <v>0.29089999999999999</v>
          </cell>
          <cell r="F403">
            <v>36298.76</v>
          </cell>
          <cell r="G403">
            <v>10559.31</v>
          </cell>
        </row>
        <row r="404">
          <cell r="B404" t="str">
            <v>Е9-34-5</v>
          </cell>
          <cell r="C404" t="str">
            <v>Монтаж опорних конструкцiй
етажеркового типу ( Рм1)</v>
          </cell>
          <cell r="D404" t="str">
            <v>т</v>
          </cell>
          <cell r="E404">
            <v>0.12831000000000001</v>
          </cell>
          <cell r="F404">
            <v>6840.99</v>
          </cell>
          <cell r="G404">
            <v>877.77</v>
          </cell>
        </row>
        <row r="405">
          <cell r="B405" t="str">
            <v>С1110-173</v>
          </cell>
          <cell r="C405" t="str">
            <v>Сталь кутова 50х50 мм</v>
          </cell>
          <cell r="D405" t="str">
            <v>т</v>
          </cell>
          <cell r="E405" t="str">
            <v>0,
1334424</v>
          </cell>
          <cell r="F405">
            <v>21736</v>
          </cell>
          <cell r="G405">
            <v>2900.5</v>
          </cell>
        </row>
        <row r="406">
          <cell r="B406" t="str">
            <v>С111-1904-17Н</v>
          </cell>
          <cell r="C406" t="str">
            <v>Анкерне Redibolt 10х80 М8 METALVIS
92F10000092F110800</v>
          </cell>
          <cell r="D406" t="str">
            <v>шт</v>
          </cell>
          <cell r="E406">
            <v>24</v>
          </cell>
          <cell r="F406">
            <v>10.56</v>
          </cell>
          <cell r="G406">
            <v>253.44</v>
          </cell>
        </row>
        <row r="407">
          <cell r="B407" t="str">
            <v>ЕН15-171-4</v>
          </cell>
          <cell r="C407" t="str">
            <v>Олiйне фарбування бiлилами з додаванням
кольору грат, рам, труб дiаметром менше
50 мм тощо за два рази</v>
          </cell>
          <cell r="D407" t="str">
            <v>100м2</v>
          </cell>
          <cell r="E407">
            <v>6.6700000000000009E-2</v>
          </cell>
          <cell r="F407">
            <v>7076.82</v>
          </cell>
          <cell r="G407">
            <v>472.02</v>
          </cell>
        </row>
        <row r="408">
          <cell r="B408" t="str">
            <v>С111-1673-1</v>
          </cell>
          <cell r="C408" t="str">
            <v>Эмаль "ЗЕБРА" (3 в 1) антикорозійна</v>
          </cell>
          <cell r="D408" t="str">
            <v>л</v>
          </cell>
          <cell r="E408">
            <v>1.2006000000000001</v>
          </cell>
          <cell r="F408">
            <v>182.96</v>
          </cell>
          <cell r="G408">
            <v>219.66</v>
          </cell>
        </row>
        <row r="409">
          <cell r="B409" t="str">
            <v>ЕН10-7-1</v>
          </cell>
          <cell r="C409" t="str">
            <v>Обшивання каркасних стiн дошками
обшивки</v>
          </cell>
          <cell r="D409" t="str">
            <v>100м2</v>
          </cell>
          <cell r="E409">
            <v>8.9599999999999992E-3</v>
          </cell>
          <cell r="F409">
            <v>3629.68</v>
          </cell>
          <cell r="G409">
            <v>32.520000000000003</v>
          </cell>
        </row>
        <row r="410">
          <cell r="B410" t="str">
            <v>С112-52</v>
          </cell>
          <cell r="C410" t="str">
            <v>Дошка -2-хв-20х120. Дошка -2-хв-20х110.</v>
          </cell>
          <cell r="D410" t="str">
            <v>м3</v>
          </cell>
          <cell r="E410">
            <v>1.7920000000000002E-2</v>
          </cell>
          <cell r="F410">
            <v>5675.37</v>
          </cell>
          <cell r="G410">
            <v>101.7</v>
          </cell>
        </row>
        <row r="411">
          <cell r="B411" t="str">
            <v>ЕН10-5-1</v>
          </cell>
          <cell r="C411" t="str">
            <v>Установлення елементiв каркаса з брусiв</v>
          </cell>
          <cell r="D411" t="str">
            <v>м3</v>
          </cell>
          <cell r="E411">
            <v>9.9143999999999996E-2</v>
          </cell>
          <cell r="F411">
            <v>2673.44</v>
          </cell>
          <cell r="G411">
            <v>265.06</v>
          </cell>
        </row>
        <row r="412">
          <cell r="B412" t="str">
            <v>С112-24</v>
          </cell>
          <cell r="C412" t="str">
            <v>Брусок -2-хв-45х60. Брусок -2-хв-45х95</v>
          </cell>
          <cell r="D412" t="str">
            <v>м3</v>
          </cell>
          <cell r="E412">
            <v>9.9143999999999996E-2</v>
          </cell>
          <cell r="F412">
            <v>6466.53</v>
          </cell>
          <cell r="G412">
            <v>641.12</v>
          </cell>
        </row>
        <row r="413">
          <cell r="B413" t="str">
            <v>ЕН11-35-2</v>
          </cell>
          <cell r="C413" t="str">
            <v>Улаштування покриттів дощатих
товщиною 36 мм</v>
          </cell>
          <cell r="D413" t="str">
            <v>100м2</v>
          </cell>
          <cell r="E413">
            <v>4.6591999999999995E-2</v>
          </cell>
          <cell r="F413">
            <v>5658.91</v>
          </cell>
          <cell r="G413">
            <v>263.66000000000003</v>
          </cell>
        </row>
        <row r="414">
          <cell r="B414" t="str">
            <v>С123-346</v>
          </cell>
          <cell r="C414" t="str">
            <v>Дошки для покриття пiдлог антисептованi,
тип ДП-35, товщина 35 мм, ширина без
гребеня 118 мм</v>
          </cell>
          <cell r="D414" t="str">
            <v>м3</v>
          </cell>
          <cell r="E414" t="str">
            <v>0,
13581568</v>
          </cell>
          <cell r="F414">
            <v>19066.77</v>
          </cell>
          <cell r="G414">
            <v>2589.5700000000002</v>
          </cell>
        </row>
        <row r="415">
          <cell r="B415" t="str">
            <v>С123-346-1</v>
          </cell>
          <cell r="C415" t="str">
            <v>Дошки для покриття пiдлог антисептованi,
тип ДП-35, товщина 35 мм, ширина без
гребеня 138 мм</v>
          </cell>
          <cell r="D415" t="str">
            <v>м3</v>
          </cell>
          <cell r="E415" t="str">
            <v>0,
03704064</v>
          </cell>
          <cell r="F415">
            <v>18141.75</v>
          </cell>
          <cell r="G415">
            <v>671.98</v>
          </cell>
        </row>
        <row r="416">
          <cell r="B416" t="str">
            <v>С111-1850-1-Н</v>
          </cell>
          <cell r="C416" t="str">
            <v>Гвинт 5,5х75 код 9Т662С00009Т 655752L,
TEX-HL METALVIS</v>
          </cell>
          <cell r="D416" t="str">
            <v>шт.</v>
          </cell>
          <cell r="E416">
            <v>30</v>
          </cell>
          <cell r="F416">
            <v>3.87</v>
          </cell>
          <cell r="G416">
            <v>116.1</v>
          </cell>
        </row>
        <row r="417">
          <cell r="B417" t="str">
            <v>ЕН11-42-2</v>
          </cell>
          <cell r="C417" t="str">
            <v>Улаштування плiнтусiв дерев'яних з
кріпленням шурупами</v>
          </cell>
          <cell r="D417" t="str">
            <v>100м</v>
          </cell>
          <cell r="E417">
            <v>4.3000000000000003E-2</v>
          </cell>
          <cell r="F417">
            <v>4290.01</v>
          </cell>
          <cell r="G417">
            <v>184.47</v>
          </cell>
        </row>
        <row r="418">
          <cell r="B418" t="str">
            <v>ЕН15-170-2</v>
          </cell>
          <cell r="C418" t="str">
            <v>Покриття пiдлоги лаком за 2 рази</v>
          </cell>
          <cell r="D418" t="str">
            <v>100м2</v>
          </cell>
          <cell r="E418">
            <v>0.06</v>
          </cell>
          <cell r="F418">
            <v>2889.25</v>
          </cell>
          <cell r="G418">
            <v>173.36</v>
          </cell>
        </row>
        <row r="419">
          <cell r="B419" t="str">
            <v>ЕН15-80-2</v>
          </cell>
          <cell r="C419" t="str">
            <v>Опорядження стін фасадів
металосайдингом з утепленням з
риштувань</v>
          </cell>
          <cell r="D419" t="str">
            <v>100 м2</v>
          </cell>
          <cell r="E419">
            <v>1.0990200000000001</v>
          </cell>
          <cell r="F419">
            <v>16701.88</v>
          </cell>
          <cell r="G419">
            <v>18355.7</v>
          </cell>
        </row>
        <row r="420">
          <cell r="B420" t="str">
            <v>ЕН15-80-6</v>
          </cell>
          <cell r="C420" t="str">
            <v>Обрамовування прорізів у зовнішніх стінах
оцинкованою сталлю з риштувань</v>
          </cell>
          <cell r="D420" t="str">
            <v>100 м2</v>
          </cell>
          <cell r="E420">
            <v>2.6520000000000002E-2</v>
          </cell>
          <cell r="F420">
            <v>9423.11</v>
          </cell>
          <cell r="G420">
            <v>249.9</v>
          </cell>
        </row>
        <row r="421">
          <cell r="B421" t="str">
            <v>С111-1807-2-Н</v>
          </cell>
          <cell r="C421" t="str">
            <v>Стінова касета звичайна 600х125х0,75
ф.Blachy Pruszynski</v>
          </cell>
          <cell r="D421" t="str">
            <v>м2</v>
          </cell>
          <cell r="E421">
            <v>89.334000000000003</v>
          </cell>
          <cell r="F421">
            <v>713.88</v>
          </cell>
          <cell r="G421">
            <v>63773.760000000002</v>
          </cell>
        </row>
        <row r="422">
          <cell r="B422" t="str">
            <v>С111-1807-4-2В</v>
          </cell>
          <cell r="C422" t="str">
            <v>Стінова касета стартова 600х125х0,75
ф.Blachy Pruszynski</v>
          </cell>
          <cell r="D422" t="str">
            <v>м2</v>
          </cell>
          <cell r="E422">
            <v>20.568000000000001</v>
          </cell>
          <cell r="F422">
            <v>681.92</v>
          </cell>
          <cell r="G422">
            <v>14025.73</v>
          </cell>
        </row>
        <row r="423">
          <cell r="B423" t="str">
            <v>С111-1802-12Н</v>
          </cell>
          <cell r="C423" t="str">
            <v>U-прогон 129х60/60х1,25 ф.Blachy Pruszynski</v>
          </cell>
          <cell r="D423" t="str">
            <v>м</v>
          </cell>
          <cell r="E423">
            <v>10.56</v>
          </cell>
          <cell r="F423">
            <v>131.24</v>
          </cell>
          <cell r="G423">
            <v>1385.89</v>
          </cell>
        </row>
        <row r="424">
          <cell r="B424" t="str">
            <v>С111-1803-1</v>
          </cell>
          <cell r="C424" t="str">
            <v>С-прогон 200х60х2 ф.Blachy Pruszynski</v>
          </cell>
          <cell r="D424" t="str">
            <v>м</v>
          </cell>
          <cell r="E424">
            <v>7.03</v>
          </cell>
          <cell r="F424">
            <v>314.91000000000003</v>
          </cell>
          <cell r="G424">
            <v>2213.8200000000002</v>
          </cell>
        </row>
        <row r="425">
          <cell r="B425" t="str">
            <v>С111-92-1</v>
          </cell>
          <cell r="C425" t="str">
            <v>Болт - комплект М16х40 ф.Blachy Pruszynski</v>
          </cell>
          <cell r="D425" t="str">
            <v>100шт</v>
          </cell>
          <cell r="E425">
            <v>0.08</v>
          </cell>
          <cell r="F425">
            <v>1958.98</v>
          </cell>
          <cell r="G425">
            <v>156.72</v>
          </cell>
        </row>
        <row r="426">
          <cell r="B426" t="str">
            <v>С111-1747-3</v>
          </cell>
          <cell r="C426" t="str">
            <v>Ущiльнювач до касети вертикальний
ф.Blachy Pruszynski</v>
          </cell>
          <cell r="D426" t="str">
            <v>шт</v>
          </cell>
          <cell r="E426">
            <v>96</v>
          </cell>
          <cell r="F426">
            <v>21.13</v>
          </cell>
          <cell r="G426">
            <v>2028.48</v>
          </cell>
        </row>
        <row r="427">
          <cell r="B427" t="str">
            <v>С1545-42-4Н</v>
          </cell>
          <cell r="C427" t="str">
            <v>Саморіз по металу 5,5х25мм</v>
          </cell>
          <cell r="D427" t="str">
            <v>100шт</v>
          </cell>
          <cell r="E427">
            <v>2.8</v>
          </cell>
          <cell r="F427">
            <v>123.75</v>
          </cell>
          <cell r="G427">
            <v>346.5</v>
          </cell>
        </row>
        <row r="428">
          <cell r="B428" t="str">
            <v>С1545-42-1Н</v>
          </cell>
          <cell r="C428" t="str">
            <v>Саморіз по металу 5,5х32мм</v>
          </cell>
          <cell r="D428" t="str">
            <v>100шт</v>
          </cell>
          <cell r="E428">
            <v>2.88</v>
          </cell>
          <cell r="F428">
            <v>155.41</v>
          </cell>
          <cell r="G428">
            <v>447.58</v>
          </cell>
        </row>
        <row r="429">
          <cell r="B429" t="str">
            <v>С111-1747-1</v>
          </cell>
          <cell r="C429" t="str">
            <v>Ущiльнювач до касет 20х5 мм ф.Blachy
Pruszynski</v>
          </cell>
          <cell r="D429" t="str">
            <v>100м</v>
          </cell>
          <cell r="E429">
            <v>1.61</v>
          </cell>
          <cell r="F429">
            <v>611.1</v>
          </cell>
          <cell r="G429">
            <v>983.87</v>
          </cell>
        </row>
        <row r="430">
          <cell r="B430" t="str">
            <v>С111-1747-2Н</v>
          </cell>
          <cell r="C430" t="str">
            <v>Термопрокладка 5х50 мм ф.Blachy
Pruszynski</v>
          </cell>
          <cell r="D430" t="str">
            <v>м2</v>
          </cell>
          <cell r="E430">
            <v>11.6</v>
          </cell>
          <cell r="F430">
            <v>222.04</v>
          </cell>
          <cell r="G430">
            <v>2575.66</v>
          </cell>
        </row>
        <row r="431">
          <cell r="B431" t="str">
            <v>ЕН15-53-1</v>
          </cell>
          <cell r="C431" t="str">
            <v>Оббивання поверхонь стін iзоляцiйним
матерiалом</v>
          </cell>
          <cell r="D431" t="str">
            <v>100м2</v>
          </cell>
          <cell r="E431">
            <v>1.08</v>
          </cell>
          <cell r="F431">
            <v>295.98</v>
          </cell>
          <cell r="G431">
            <v>319.66000000000003</v>
          </cell>
        </row>
        <row r="432">
          <cell r="B432" t="str">
            <v>С111-1721-1Н</v>
          </cell>
          <cell r="C432" t="str">
            <v>Повітробор'єрна плівка</v>
          </cell>
          <cell r="D432" t="str">
            <v>м2</v>
          </cell>
          <cell r="E432">
            <v>112</v>
          </cell>
          <cell r="F432">
            <v>22.21</v>
          </cell>
          <cell r="G432">
            <v>2487.52</v>
          </cell>
        </row>
        <row r="433">
          <cell r="B433" t="str">
            <v>Е34-57-2</v>
          </cell>
          <cell r="C433" t="str">
            <v>Заповнення каркасiв стiн
мiнераловатними плитами</v>
          </cell>
          <cell r="D433" t="str">
            <v>100м2</v>
          </cell>
          <cell r="E433">
            <v>1.1200000000000001</v>
          </cell>
          <cell r="F433">
            <v>4360.68</v>
          </cell>
          <cell r="G433">
            <v>4883.96</v>
          </cell>
        </row>
        <row r="434">
          <cell r="B434" t="str">
            <v>С114-4-У-5</v>
          </cell>
          <cell r="C434" t="str">
            <v>Утеплювач "ТЛ ВЕНТ Фасад" товщ. 120мм
"TERMOLIFE"</v>
          </cell>
          <cell r="D434" t="str">
            <v>м2</v>
          </cell>
          <cell r="E434">
            <v>112</v>
          </cell>
          <cell r="F434">
            <v>228.57</v>
          </cell>
          <cell r="G434">
            <v>25599.84</v>
          </cell>
        </row>
        <row r="435">
          <cell r="B435" t="str">
            <v>Е9-47-1</v>
          </cell>
          <cell r="C435" t="str">
            <v>Обшивка стальним профiльованим листом</v>
          </cell>
          <cell r="D435" t="str">
            <v>100м2</v>
          </cell>
          <cell r="E435">
            <v>1.2</v>
          </cell>
          <cell r="F435">
            <v>3131.26</v>
          </cell>
          <cell r="G435">
            <v>3757.51</v>
          </cell>
        </row>
        <row r="436">
          <cell r="B436" t="str">
            <v>С111-1807-1Н</v>
          </cell>
          <cell r="C436" t="str">
            <v>Профлист Т 10-1145-0,45-В РЕ 25 мк ф.
Blachy Pruszynski</v>
          </cell>
          <cell r="D436" t="str">
            <v>м2</v>
          </cell>
          <cell r="E436">
            <v>120</v>
          </cell>
          <cell r="F436">
            <v>232.45</v>
          </cell>
          <cell r="G436">
            <v>27894</v>
          </cell>
        </row>
        <row r="437">
          <cell r="B437" t="str">
            <v>С1545-42-3Н</v>
          </cell>
          <cell r="C437" t="str">
            <v>Саморіз по металу 4,8х25мм</v>
          </cell>
          <cell r="D437" t="str">
            <v>100шт</v>
          </cell>
          <cell r="E437">
            <v>13.5</v>
          </cell>
          <cell r="F437">
            <v>147.34</v>
          </cell>
          <cell r="G437">
            <v>1989.09</v>
          </cell>
        </row>
        <row r="438">
          <cell r="B438" t="str">
            <v>Е12-15-1</v>
          </cell>
          <cell r="C438" t="str">
            <v>Улаштування дрiбних покриттiв
[брандмауери, парапети, звiси i т.п.] iз
листової оцинкованої сталi</v>
          </cell>
          <cell r="D438" t="str">
            <v>100м2</v>
          </cell>
          <cell r="E438">
            <v>6.6000000000000003E-2</v>
          </cell>
          <cell r="F438">
            <v>8300</v>
          </cell>
          <cell r="G438">
            <v>547.79999999999995</v>
          </cell>
        </row>
        <row r="439">
          <cell r="B439" t="str">
            <v>С111-1797-1Н</v>
          </cell>
          <cell r="C439" t="str">
            <v>Лист 0,5х300 ОЦ РЕ 25мк ф.Blachy
Pruszynski</v>
          </cell>
          <cell r="D439" t="str">
            <v>м2</v>
          </cell>
          <cell r="E439">
            <v>6.6</v>
          </cell>
          <cell r="F439">
            <v>287.06</v>
          </cell>
          <cell r="G439">
            <v>1894.6</v>
          </cell>
        </row>
        <row r="440">
          <cell r="B440" t="str">
            <v>С1545-42-2Н</v>
          </cell>
          <cell r="C440" t="str">
            <v>Саморіз 4,8х19</v>
          </cell>
          <cell r="D440" t="str">
            <v>100шт</v>
          </cell>
          <cell r="E440">
            <v>2.8</v>
          </cell>
          <cell r="F440">
            <v>99.88</v>
          </cell>
          <cell r="G440">
            <v>279.66000000000003</v>
          </cell>
        </row>
        <row r="441">
          <cell r="B441" t="str">
            <v>ЕН10-94-4</v>
          </cell>
          <cell r="C441" t="str">
            <v>Улаштування перегородок на металевому
однорядному каркасі з обшивкою
гіпсокартонними листами або
гіпсоволокнистими плитами у два шари з
ізоляцією у житлових і громадських
будівлях</v>
          </cell>
          <cell r="D441" t="str">
            <v>100м2</v>
          </cell>
          <cell r="E441">
            <v>5.6870000000000003</v>
          </cell>
          <cell r="F441">
            <v>27558.06</v>
          </cell>
          <cell r="G441">
            <v>156722.69</v>
          </cell>
        </row>
        <row r="442">
          <cell r="B442" t="str">
            <v>С126-1300-1</v>
          </cell>
          <cell r="C442" t="str">
            <v>Профілі для гіпсокартону стійкові CW75</v>
          </cell>
          <cell r="D442" t="str">
            <v>м</v>
          </cell>
          <cell r="E442">
            <v>1303.9670000000001</v>
          </cell>
          <cell r="F442">
            <v>35.799999999999997</v>
          </cell>
          <cell r="G442">
            <v>46682.02</v>
          </cell>
        </row>
        <row r="443">
          <cell r="B443" t="str">
            <v>С126-1300-1</v>
          </cell>
          <cell r="C443" t="str">
            <v>Профілі UA 75</v>
          </cell>
          <cell r="D443" t="str">
            <v>м</v>
          </cell>
          <cell r="E443">
            <v>66.599999999999994</v>
          </cell>
          <cell r="F443">
            <v>200.74</v>
          </cell>
          <cell r="G443">
            <v>13369.28</v>
          </cell>
        </row>
        <row r="444">
          <cell r="B444" t="str">
            <v>С126-917-1</v>
          </cell>
          <cell r="C444" t="str">
            <v>Дверний кутик Кнауф 75</v>
          </cell>
          <cell r="D444" t="str">
            <v>шт</v>
          </cell>
          <cell r="E444">
            <v>64</v>
          </cell>
          <cell r="F444">
            <v>99.41</v>
          </cell>
          <cell r="G444">
            <v>6362.24</v>
          </cell>
        </row>
        <row r="445">
          <cell r="B445" t="str">
            <v>С126-917-1</v>
          </cell>
          <cell r="C445" t="str">
            <v>Стиковий кутик Кнауф 75</v>
          </cell>
          <cell r="D445" t="str">
            <v>шт</v>
          </cell>
          <cell r="E445">
            <v>64</v>
          </cell>
          <cell r="F445">
            <v>81.14</v>
          </cell>
          <cell r="G445">
            <v>5192.96</v>
          </cell>
        </row>
        <row r="446">
          <cell r="B446" t="str">
            <v>С126-1300-2</v>
          </cell>
          <cell r="C446" t="str">
            <v>Профілі для гіпсокартону направляючі UW75</v>
          </cell>
          <cell r="D446" t="str">
            <v>м</v>
          </cell>
          <cell r="E446">
            <v>472.02100000000002</v>
          </cell>
          <cell r="F446">
            <v>31.04</v>
          </cell>
          <cell r="G446">
            <v>14651.53</v>
          </cell>
        </row>
        <row r="447">
          <cell r="B447" t="str">
            <v>С114-4-У-3</v>
          </cell>
          <cell r="C447" t="str">
            <v>Плити тип "ТЛ Еко Лайт" товщ. 50мм
"TERMOLIFE"</v>
          </cell>
          <cell r="D447" t="str">
            <v>м3</v>
          </cell>
          <cell r="E447">
            <v>29.288049999999998</v>
          </cell>
          <cell r="F447">
            <v>796.61</v>
          </cell>
          <cell r="G447">
            <v>23331.15</v>
          </cell>
        </row>
        <row r="448">
          <cell r="B448" t="str">
            <v>С111-741</v>
          </cell>
          <cell r="C448" t="str">
            <v>Плита Titan ф.Кнауф</v>
          </cell>
          <cell r="D448" t="str">
            <v>м2</v>
          </cell>
          <cell r="E448">
            <v>2388.54</v>
          </cell>
          <cell r="F448">
            <v>130.41999999999999</v>
          </cell>
          <cell r="G448">
            <v>311513.39</v>
          </cell>
        </row>
        <row r="449">
          <cell r="B449" t="str">
            <v>С111-1683-2-Н</v>
          </cell>
          <cell r="C449" t="str">
            <v>Стрічка армуюча Kurt ф.Кнауф</v>
          </cell>
          <cell r="D449" t="str">
            <v>м</v>
          </cell>
          <cell r="E449">
            <v>1933.58</v>
          </cell>
          <cell r="F449">
            <v>8.5</v>
          </cell>
          <cell r="G449">
            <v>16435.43</v>
          </cell>
        </row>
        <row r="450">
          <cell r="B450" t="str">
            <v>С111-1683-2-Н</v>
          </cell>
          <cell r="C450" t="str">
            <v>Стрічка ущільнювальна</v>
          </cell>
          <cell r="D450" t="str">
            <v>м</v>
          </cell>
          <cell r="E450">
            <v>1137.4000000000001</v>
          </cell>
          <cell r="F450">
            <v>4.78</v>
          </cell>
          <cell r="G450">
            <v>5436.77</v>
          </cell>
        </row>
        <row r="451">
          <cell r="B451" t="str">
            <v>С111-1683-2-Н</v>
          </cell>
          <cell r="C451" t="str">
            <v>Звукоізоляційна смуга з пінополіуретану</v>
          </cell>
          <cell r="D451" t="str">
            <v>м</v>
          </cell>
          <cell r="E451">
            <v>818.928</v>
          </cell>
          <cell r="F451">
            <v>4.05</v>
          </cell>
          <cell r="G451">
            <v>3316.66</v>
          </cell>
        </row>
        <row r="452">
          <cell r="B452" t="str">
            <v>С111-1849-1-О</v>
          </cell>
          <cell r="C452" t="str">
            <v>Дюбель 6/42</v>
          </cell>
          <cell r="D452" t="str">
            <v>шт</v>
          </cell>
          <cell r="E452">
            <v>1422</v>
          </cell>
          <cell r="F452">
            <v>0.71</v>
          </cell>
          <cell r="G452">
            <v>1009.62</v>
          </cell>
        </row>
        <row r="453">
          <cell r="B453" t="str">
            <v>С111-1480-1</v>
          </cell>
          <cell r="C453" t="str">
            <v>Шуруп ХТN 3,9х35мм</v>
          </cell>
          <cell r="D453" t="str">
            <v>шт</v>
          </cell>
          <cell r="E453">
            <v>3452</v>
          </cell>
          <cell r="F453">
            <v>0.71</v>
          </cell>
          <cell r="G453">
            <v>2450.92</v>
          </cell>
        </row>
        <row r="454">
          <cell r="B454" t="str">
            <v>С111-1480-2</v>
          </cell>
          <cell r="C454" t="str">
            <v>Шуруп ХТN 3,9х23мм</v>
          </cell>
          <cell r="D454" t="str">
            <v>шт</v>
          </cell>
          <cell r="E454">
            <v>29174</v>
          </cell>
          <cell r="F454">
            <v>0.51</v>
          </cell>
          <cell r="G454">
            <v>14878.74</v>
          </cell>
        </row>
        <row r="455">
          <cell r="B455" t="str">
            <v>С111-1896-11</v>
          </cell>
          <cell r="C455" t="str">
            <v>Шпатлівка Фугенфюллер</v>
          </cell>
          <cell r="D455" t="str">
            <v>кг</v>
          </cell>
          <cell r="E455">
            <v>619.88300000000004</v>
          </cell>
          <cell r="F455">
            <v>7.89</v>
          </cell>
          <cell r="G455">
            <v>4890.88</v>
          </cell>
        </row>
        <row r="456">
          <cell r="B456" t="str">
            <v>ЕН10-94-3</v>
          </cell>
          <cell r="C456" t="str">
            <v>Улаштування перегородок на металевому
однорядному каркасі з обшивкою
гіпсокартонними листами або
гіпсоволокнистими плитами в один шар з
ізоляцією у житлових і громадських
будівлях</v>
          </cell>
          <cell r="D456" t="str">
            <v>100м2</v>
          </cell>
          <cell r="E456">
            <v>1.9500000000000002</v>
          </cell>
          <cell r="F456">
            <v>21035.39</v>
          </cell>
          <cell r="G456">
            <v>41019.01</v>
          </cell>
        </row>
        <row r="457">
          <cell r="B457" t="str">
            <v>ЕН15-63-1</v>
          </cell>
          <cell r="C457" t="str">
            <v>Улаштування обшивки стін
гіпсокартонними і гіпсоволокнистими
листами на клеї</v>
          </cell>
          <cell r="D457" t="str">
            <v>100м2</v>
          </cell>
          <cell r="E457">
            <v>1.9500000000000002</v>
          </cell>
          <cell r="F457">
            <v>5645.83</v>
          </cell>
          <cell r="G457">
            <v>11009.37</v>
          </cell>
        </row>
        <row r="458">
          <cell r="B458" t="str">
            <v>С126-1300-1</v>
          </cell>
          <cell r="C458" t="str">
            <v>Профілі для гіпсокартону стійкові CW75</v>
          </cell>
          <cell r="D458" t="str">
            <v>м</v>
          </cell>
          <cell r="E458">
            <v>469.95</v>
          </cell>
          <cell r="F458">
            <v>35.799999999999997</v>
          </cell>
          <cell r="G458">
            <v>16824.21</v>
          </cell>
        </row>
        <row r="459">
          <cell r="B459" t="str">
            <v>С126-1300-2</v>
          </cell>
          <cell r="C459" t="str">
            <v>Профілі для гіпсокартону направляючі UW75</v>
          </cell>
          <cell r="D459" t="str">
            <v>м</v>
          </cell>
          <cell r="E459">
            <v>161.85</v>
          </cell>
          <cell r="F459">
            <v>31.04</v>
          </cell>
          <cell r="G459">
            <v>5023.82</v>
          </cell>
        </row>
        <row r="460">
          <cell r="B460" t="str">
            <v>С114-4-У-3</v>
          </cell>
          <cell r="C460" t="str">
            <v>Плити тип "ТЛ Еко Лайт" товщ. 50мм
"TERMOLIFE"</v>
          </cell>
          <cell r="D460" t="str">
            <v>м3</v>
          </cell>
          <cell r="E460">
            <v>10.0425</v>
          </cell>
          <cell r="F460">
            <v>796.61</v>
          </cell>
          <cell r="G460">
            <v>7999.96</v>
          </cell>
        </row>
        <row r="461">
          <cell r="B461" t="str">
            <v>С111-741</v>
          </cell>
          <cell r="C461" t="str">
            <v>Плита Titan ф.Кнауф</v>
          </cell>
          <cell r="D461" t="str">
            <v>м2</v>
          </cell>
          <cell r="E461">
            <v>409.5</v>
          </cell>
          <cell r="F461">
            <v>130.41999999999999</v>
          </cell>
          <cell r="G461">
            <v>53406.99</v>
          </cell>
        </row>
        <row r="462">
          <cell r="B462" t="str">
            <v>С111-741</v>
          </cell>
          <cell r="C462" t="str">
            <v>Плита AQUAPANEL ф.Кнауф</v>
          </cell>
          <cell r="D462" t="str">
            <v>м2</v>
          </cell>
          <cell r="E462">
            <v>204.75</v>
          </cell>
          <cell r="F462">
            <v>569.35</v>
          </cell>
          <cell r="G462">
            <v>116574.41</v>
          </cell>
        </row>
        <row r="463">
          <cell r="B463" t="str">
            <v>С111-1683-2-Н</v>
          </cell>
          <cell r="C463" t="str">
            <v>Стрічка армуюча Kurt ф.Кнауф</v>
          </cell>
          <cell r="D463" t="str">
            <v>м</v>
          </cell>
          <cell r="E463">
            <v>663</v>
          </cell>
          <cell r="F463">
            <v>8.5</v>
          </cell>
          <cell r="G463">
            <v>5635.5</v>
          </cell>
        </row>
        <row r="464">
          <cell r="B464" t="str">
            <v>С111-1683-2-Н</v>
          </cell>
          <cell r="C464" t="str">
            <v>Стрічка ущільнювальна</v>
          </cell>
          <cell r="D464" t="str">
            <v>м</v>
          </cell>
          <cell r="E464">
            <v>390</v>
          </cell>
          <cell r="F464">
            <v>4.78</v>
          </cell>
          <cell r="G464">
            <v>1864.2</v>
          </cell>
        </row>
        <row r="465">
          <cell r="B465" t="str">
            <v>С111-1683-2-Н</v>
          </cell>
          <cell r="C465" t="str">
            <v>Звукоізоляційна смуга з пінополіуретану</v>
          </cell>
          <cell r="D465" t="str">
            <v>м</v>
          </cell>
          <cell r="E465">
            <v>280.8</v>
          </cell>
          <cell r="F465">
            <v>4.05</v>
          </cell>
          <cell r="G465">
            <v>1137.24</v>
          </cell>
        </row>
        <row r="466">
          <cell r="B466" t="str">
            <v>С111-1849-1-О</v>
          </cell>
          <cell r="C466" t="str">
            <v>Дюбель 6/42</v>
          </cell>
          <cell r="D466" t="str">
            <v>шт</v>
          </cell>
          <cell r="E466">
            <v>488</v>
          </cell>
          <cell r="F466">
            <v>0.71</v>
          </cell>
          <cell r="G466">
            <v>346.48</v>
          </cell>
        </row>
        <row r="467">
          <cell r="B467" t="str">
            <v>С111-1480-1</v>
          </cell>
          <cell r="C467" t="str">
            <v>Шуруп ХТN 3,9х35мм</v>
          </cell>
          <cell r="D467" t="str">
            <v>шт</v>
          </cell>
          <cell r="E467">
            <v>1184</v>
          </cell>
          <cell r="F467">
            <v>0.71</v>
          </cell>
          <cell r="G467">
            <v>840.64</v>
          </cell>
        </row>
        <row r="468">
          <cell r="B468" t="str">
            <v>С111-1480-2</v>
          </cell>
          <cell r="C468" t="str">
            <v>Шуруп ХТN 3,9х23мм</v>
          </cell>
          <cell r="D468" t="str">
            <v>шт</v>
          </cell>
          <cell r="E468">
            <v>7274</v>
          </cell>
          <cell r="F468">
            <v>0.51</v>
          </cell>
          <cell r="G468">
            <v>3709.74</v>
          </cell>
        </row>
        <row r="469">
          <cell r="B469" t="str">
            <v>С111-1480-2</v>
          </cell>
          <cell r="C469" t="str">
            <v>Шуруп AQUAPANEL Maxi SN 25мм</v>
          </cell>
          <cell r="D469" t="str">
            <v>шт</v>
          </cell>
          <cell r="E469">
            <v>2925</v>
          </cell>
          <cell r="F469">
            <v>0.14000000000000001</v>
          </cell>
          <cell r="G469">
            <v>409.5</v>
          </cell>
        </row>
        <row r="470">
          <cell r="B470" t="str">
            <v>С111-1896-11</v>
          </cell>
          <cell r="C470" t="str">
            <v>Шпатлівка Фугенфюллер</v>
          </cell>
          <cell r="D470" t="str">
            <v>кг</v>
          </cell>
          <cell r="E470">
            <v>118.95</v>
          </cell>
          <cell r="F470">
            <v>7.89</v>
          </cell>
          <cell r="G470">
            <v>938.52</v>
          </cell>
        </row>
        <row r="471">
          <cell r="B471" t="str">
            <v>С111-2001-7Н</v>
          </cell>
          <cell r="C471" t="str">
            <v>Клей для швiв AQUAPANEL Fugenkleber
(PU) 310мл</v>
          </cell>
          <cell r="D471" t="str">
            <v>шт</v>
          </cell>
          <cell r="E471">
            <v>7</v>
          </cell>
          <cell r="F471">
            <v>362.44</v>
          </cell>
          <cell r="G471">
            <v>2537.08</v>
          </cell>
        </row>
        <row r="472">
          <cell r="B472" t="str">
            <v>ЕН10-94-3</v>
          </cell>
          <cell r="C472" t="str">
            <v>Улаштування перегородок на металевому
однорядному каркасі з обшивкою
гіпсокартонними листами або
гіпсоволокнистими плитами в один шар з
ізоляцією у житлових і громадських
будівлях</v>
          </cell>
          <cell r="D472" t="str">
            <v>100м2</v>
          </cell>
          <cell r="E472">
            <v>0.877</v>
          </cell>
          <cell r="F472">
            <v>21035.39</v>
          </cell>
          <cell r="G472">
            <v>18448.04</v>
          </cell>
        </row>
        <row r="473">
          <cell r="B473" t="str">
            <v>С126-1300-1</v>
          </cell>
          <cell r="C473" t="str">
            <v>Профілі для гіпсокартону стійкові CW75</v>
          </cell>
          <cell r="D473" t="str">
            <v>м</v>
          </cell>
          <cell r="E473">
            <v>211.357</v>
          </cell>
          <cell r="F473">
            <v>35.799999999999997</v>
          </cell>
          <cell r="G473">
            <v>7566.58</v>
          </cell>
        </row>
        <row r="474">
          <cell r="B474" t="str">
            <v>С126-1300-2</v>
          </cell>
          <cell r="C474" t="str">
            <v>Профілі для гіпсокартону направляючі UW75</v>
          </cell>
          <cell r="D474" t="str">
            <v>м</v>
          </cell>
          <cell r="E474">
            <v>72.790999999999997</v>
          </cell>
          <cell r="F474">
            <v>31.04</v>
          </cell>
          <cell r="G474">
            <v>2259.4299999999998</v>
          </cell>
        </row>
        <row r="475">
          <cell r="B475" t="str">
            <v>С114-4-У-3</v>
          </cell>
          <cell r="C475" t="str">
            <v>Плити тип "ТЛ Еко Лайт" товщ. 50мм
"TERMOLIFE"</v>
          </cell>
          <cell r="D475" t="str">
            <v>м3</v>
          </cell>
          <cell r="E475">
            <v>4.5165500000000005</v>
          </cell>
          <cell r="F475">
            <v>796.61</v>
          </cell>
          <cell r="G475">
            <v>3597.93</v>
          </cell>
        </row>
        <row r="476">
          <cell r="B476" t="str">
            <v>С111-741</v>
          </cell>
          <cell r="C476" t="str">
            <v>Плита AQUAPANEL ф.Кнауф</v>
          </cell>
          <cell r="D476" t="str">
            <v>м2</v>
          </cell>
          <cell r="E476">
            <v>184.17</v>
          </cell>
          <cell r="F476">
            <v>569.35</v>
          </cell>
          <cell r="G476">
            <v>104857.19</v>
          </cell>
        </row>
        <row r="477">
          <cell r="B477" t="str">
            <v>С111-1683-2-Н</v>
          </cell>
          <cell r="C477" t="str">
            <v>Стрічка армуюча Kurt ф.Кнауф</v>
          </cell>
          <cell r="D477" t="str">
            <v>м</v>
          </cell>
          <cell r="E477">
            <v>149.09</v>
          </cell>
          <cell r="F477">
            <v>8.5</v>
          </cell>
          <cell r="G477">
            <v>1267.27</v>
          </cell>
        </row>
        <row r="478">
          <cell r="B478" t="str">
            <v>С111-1683-2-Н</v>
          </cell>
          <cell r="C478" t="str">
            <v>Стрічка ущільнювальна</v>
          </cell>
          <cell r="D478" t="str">
            <v>м</v>
          </cell>
          <cell r="E478">
            <v>175.4</v>
          </cell>
          <cell r="F478">
            <v>4.78</v>
          </cell>
          <cell r="G478">
            <v>838.41</v>
          </cell>
        </row>
        <row r="479">
          <cell r="B479" t="str">
            <v>С111-1683-2-Н</v>
          </cell>
          <cell r="C479" t="str">
            <v>Звукоізоляційна смуга з пінополіуретану</v>
          </cell>
          <cell r="D479" t="str">
            <v>м</v>
          </cell>
          <cell r="E479">
            <v>126.288</v>
          </cell>
          <cell r="F479">
            <v>4.05</v>
          </cell>
          <cell r="G479">
            <v>511.47</v>
          </cell>
        </row>
        <row r="480">
          <cell r="B480" t="str">
            <v>С111-1849-1-О</v>
          </cell>
          <cell r="C480" t="str">
            <v>Дюбель 6/42</v>
          </cell>
          <cell r="D480" t="str">
            <v>шт</v>
          </cell>
          <cell r="E480">
            <v>219</v>
          </cell>
          <cell r="F480">
            <v>0.71</v>
          </cell>
          <cell r="G480">
            <v>155.49</v>
          </cell>
        </row>
        <row r="481">
          <cell r="B481" t="str">
            <v>С111-1480-2</v>
          </cell>
          <cell r="C481" t="str">
            <v>Шуруп AQUAPANEL Maxi SN 25мм</v>
          </cell>
          <cell r="D481" t="str">
            <v>шт</v>
          </cell>
          <cell r="E481">
            <v>3803</v>
          </cell>
          <cell r="F481">
            <v>0.14000000000000001</v>
          </cell>
          <cell r="G481">
            <v>532.41999999999996</v>
          </cell>
        </row>
        <row r="482">
          <cell r="B482" t="str">
            <v>С111-2001-7Н</v>
          </cell>
          <cell r="C482" t="str">
            <v>Клей для швiв AQUAPANEL Fugenkleber
(PU) 310мл</v>
          </cell>
          <cell r="D482" t="str">
            <v>шт</v>
          </cell>
          <cell r="E482">
            <v>12</v>
          </cell>
          <cell r="F482">
            <v>362.44</v>
          </cell>
          <cell r="G482">
            <v>4349.28</v>
          </cell>
        </row>
        <row r="483">
          <cell r="B483" t="str">
            <v>ЕН10-94-3</v>
          </cell>
          <cell r="C483" t="str">
            <v>Улаштування перегородок на металевому
однорядному каркасі з обшивкою
гіпсокартонними листами або
гіпсоволокнистими плитами в один шар з
ізоляцією у житлових і громадських
будівлях</v>
          </cell>
          <cell r="D483" t="str">
            <v>100м2</v>
          </cell>
          <cell r="E483">
            <v>1.03</v>
          </cell>
          <cell r="F483">
            <v>21035.39</v>
          </cell>
          <cell r="G483">
            <v>21666.45</v>
          </cell>
        </row>
        <row r="484">
          <cell r="B484" t="str">
            <v>ЕН15-63-1</v>
          </cell>
          <cell r="C484" t="str">
            <v>Улаштування обшивки стін
гіпсокартонними і гіпсоволокнистими
листами на клеї</v>
          </cell>
          <cell r="D484" t="str">
            <v>100м2</v>
          </cell>
          <cell r="E484">
            <v>1.03</v>
          </cell>
          <cell r="F484">
            <v>5645.83</v>
          </cell>
          <cell r="G484">
            <v>5815.2</v>
          </cell>
        </row>
        <row r="485">
          <cell r="B485" t="str">
            <v>С126-1300-1</v>
          </cell>
          <cell r="C485" t="str">
            <v>Профілі для гіпсокартону стійкові CW75</v>
          </cell>
          <cell r="D485" t="str">
            <v>м</v>
          </cell>
          <cell r="E485">
            <v>248.23</v>
          </cell>
          <cell r="F485">
            <v>35.799999999999997</v>
          </cell>
          <cell r="G485">
            <v>8886.6299999999992</v>
          </cell>
        </row>
        <row r="486">
          <cell r="B486" t="str">
            <v>С126-1300-2</v>
          </cell>
          <cell r="C486" t="str">
            <v>Профілі для гіпсокартону направляючі UW75</v>
          </cell>
          <cell r="D486" t="str">
            <v>м</v>
          </cell>
          <cell r="E486">
            <v>85.49</v>
          </cell>
          <cell r="F486">
            <v>31.04</v>
          </cell>
          <cell r="G486">
            <v>2653.61</v>
          </cell>
        </row>
        <row r="487">
          <cell r="B487" t="str">
            <v>С114-4-У-3</v>
          </cell>
          <cell r="C487" t="str">
            <v>Плити тип "ТЛ Еко Лайт" товщ. 50мм
"TERMOLIFE"</v>
          </cell>
          <cell r="D487" t="str">
            <v>м3</v>
          </cell>
          <cell r="E487">
            <v>5.3045</v>
          </cell>
          <cell r="F487">
            <v>796.61</v>
          </cell>
          <cell r="G487">
            <v>4225.62</v>
          </cell>
        </row>
        <row r="488">
          <cell r="B488" t="str">
            <v>С111-741</v>
          </cell>
          <cell r="C488" t="str">
            <v>Плита ГКПВ ф.Кнауф</v>
          </cell>
          <cell r="D488" t="str">
            <v>м2</v>
          </cell>
          <cell r="E488">
            <v>216.3</v>
          </cell>
          <cell r="F488">
            <v>58.51</v>
          </cell>
          <cell r="G488">
            <v>12655.71</v>
          </cell>
        </row>
        <row r="489">
          <cell r="B489" t="str">
            <v>С111-741</v>
          </cell>
          <cell r="C489" t="str">
            <v>Плита AQUAPANEL ф.Кнауф</v>
          </cell>
          <cell r="D489" t="str">
            <v>м2</v>
          </cell>
          <cell r="E489">
            <v>108.15</v>
          </cell>
          <cell r="F489">
            <v>569.35</v>
          </cell>
          <cell r="G489">
            <v>61575.199999999997</v>
          </cell>
        </row>
        <row r="490">
          <cell r="B490" t="str">
            <v>С111-1683-2-Н</v>
          </cell>
          <cell r="C490" t="str">
            <v>Стрічка армуюча Kurt ф.Кнауф</v>
          </cell>
          <cell r="D490" t="str">
            <v>м</v>
          </cell>
          <cell r="E490">
            <v>175.1</v>
          </cell>
          <cell r="F490">
            <v>8.5</v>
          </cell>
          <cell r="G490">
            <v>1488.35</v>
          </cell>
        </row>
        <row r="491">
          <cell r="B491" t="str">
            <v>С111-1683-2-Н</v>
          </cell>
          <cell r="C491" t="str">
            <v>Стрічка ущільнювальна</v>
          </cell>
          <cell r="D491" t="str">
            <v>м</v>
          </cell>
          <cell r="E491">
            <v>206</v>
          </cell>
          <cell r="F491">
            <v>4.78</v>
          </cell>
          <cell r="G491">
            <v>984.68</v>
          </cell>
        </row>
        <row r="492">
          <cell r="B492" t="str">
            <v>С111-1683-2-Н</v>
          </cell>
          <cell r="C492" t="str">
            <v>Звукоізоляційна смуга з пінополіуретану</v>
          </cell>
          <cell r="D492" t="str">
            <v>м</v>
          </cell>
          <cell r="E492">
            <v>148.32</v>
          </cell>
          <cell r="F492">
            <v>4.05</v>
          </cell>
          <cell r="G492">
            <v>600.70000000000005</v>
          </cell>
        </row>
        <row r="493">
          <cell r="B493" t="str">
            <v>С111-1849-1-О</v>
          </cell>
          <cell r="C493" t="str">
            <v>Дюбель 6/42</v>
          </cell>
          <cell r="D493" t="str">
            <v>шт</v>
          </cell>
          <cell r="E493">
            <v>258</v>
          </cell>
          <cell r="F493">
            <v>0.71</v>
          </cell>
          <cell r="G493">
            <v>183.18</v>
          </cell>
        </row>
        <row r="494">
          <cell r="B494" t="str">
            <v>С111-1480-1</v>
          </cell>
          <cell r="C494" t="str">
            <v>Шуруп ХТN 3,9х35мм</v>
          </cell>
          <cell r="D494" t="str">
            <v>шт</v>
          </cell>
          <cell r="E494">
            <v>625</v>
          </cell>
          <cell r="F494">
            <v>0.71</v>
          </cell>
          <cell r="G494">
            <v>443.75</v>
          </cell>
        </row>
        <row r="495">
          <cell r="B495" t="str">
            <v>С111-1480-2</v>
          </cell>
          <cell r="C495" t="str">
            <v>Шуруп ХТN 3,9х23мм</v>
          </cell>
          <cell r="D495" t="str">
            <v>шт</v>
          </cell>
          <cell r="E495">
            <v>3842</v>
          </cell>
          <cell r="F495">
            <v>0.51</v>
          </cell>
          <cell r="G495">
            <v>1959.42</v>
          </cell>
        </row>
        <row r="496">
          <cell r="B496" t="str">
            <v>С111-1480-2</v>
          </cell>
          <cell r="C496" t="str">
            <v>Шуруп AQUAPANEL Maxi SN 25мм</v>
          </cell>
          <cell r="D496" t="str">
            <v>шт</v>
          </cell>
          <cell r="E496">
            <v>1545</v>
          </cell>
          <cell r="F496">
            <v>0.14000000000000001</v>
          </cell>
          <cell r="G496">
            <v>216.3</v>
          </cell>
        </row>
        <row r="497">
          <cell r="B497" t="str">
            <v>С111-1896-11</v>
          </cell>
          <cell r="C497" t="str">
            <v>Шпатлівка Фугенфюллер</v>
          </cell>
          <cell r="D497" t="str">
            <v>кг</v>
          </cell>
          <cell r="E497">
            <v>62.83</v>
          </cell>
          <cell r="F497">
            <v>7.89</v>
          </cell>
          <cell r="G497">
            <v>495.73</v>
          </cell>
        </row>
        <row r="498">
          <cell r="B498" t="str">
            <v>С111-2001-7Н</v>
          </cell>
          <cell r="C498" t="str">
            <v>Клей для швiв AQUAPANEL Fugenkleber
(PU) 310мл</v>
          </cell>
          <cell r="D498" t="str">
            <v>шт</v>
          </cell>
          <cell r="E498">
            <v>14</v>
          </cell>
          <cell r="F498">
            <v>362.44</v>
          </cell>
          <cell r="G498">
            <v>5074.16</v>
          </cell>
        </row>
        <row r="499">
          <cell r="B499" t="str">
            <v>ЕН10-94-4</v>
          </cell>
          <cell r="C499" t="str">
            <v>Улаштування перегородок на металевому
однорядному каркасі з обшивкою
гіпсокартонними листами або
гіпсоволокнистими плитами у два шари з
ізоляцією у житлових і громадських
будівлях</v>
          </cell>
          <cell r="D499" t="str">
            <v>100м2</v>
          </cell>
          <cell r="E499">
            <v>0.89100000000000001</v>
          </cell>
          <cell r="F499">
            <v>27558.06</v>
          </cell>
          <cell r="G499">
            <v>24554.23</v>
          </cell>
        </row>
        <row r="500">
          <cell r="B500" t="str">
            <v>С126-1300-1</v>
          </cell>
          <cell r="C500" t="str">
            <v>Профілі для гіпсокартону стійкові CW75</v>
          </cell>
          <cell r="D500" t="str">
            <v>м</v>
          </cell>
          <cell r="E500">
            <v>204.85</v>
          </cell>
          <cell r="F500">
            <v>35.799999999999997</v>
          </cell>
          <cell r="G500">
            <v>7333.63</v>
          </cell>
        </row>
        <row r="501">
          <cell r="B501" t="str">
            <v>С126-1300-2</v>
          </cell>
          <cell r="C501" t="str">
            <v>Профілі для гіпсокартону направляючі UW75</v>
          </cell>
          <cell r="D501" t="str">
            <v>м</v>
          </cell>
          <cell r="E501">
            <v>70.55</v>
          </cell>
          <cell r="F501">
            <v>31.04</v>
          </cell>
          <cell r="G501">
            <v>2189.87</v>
          </cell>
        </row>
        <row r="502">
          <cell r="B502" t="str">
            <v>С126-1300-7-2О</v>
          </cell>
          <cell r="C502" t="str">
            <v>Профили для гипсокартона стоечные CW
100</v>
          </cell>
          <cell r="D502" t="str">
            <v>м</v>
          </cell>
          <cell r="E502">
            <v>9.8810000000000002</v>
          </cell>
          <cell r="F502">
            <v>41.02</v>
          </cell>
          <cell r="G502">
            <v>405.32</v>
          </cell>
        </row>
        <row r="503">
          <cell r="B503" t="str">
            <v>С126-1300-8</v>
          </cell>
          <cell r="C503" t="str">
            <v>Профілі для гіпсокартону направляючі UW
100</v>
          </cell>
          <cell r="D503" t="str">
            <v>м</v>
          </cell>
          <cell r="E503">
            <v>3.403</v>
          </cell>
          <cell r="F503">
            <v>38.15</v>
          </cell>
          <cell r="G503">
            <v>129.82</v>
          </cell>
        </row>
        <row r="504">
          <cell r="B504" t="str">
            <v>С114-4-У-3</v>
          </cell>
          <cell r="C504" t="str">
            <v>Плити тип "ТЛ Еко Лайт" товщ. 50мм
"TERMOLIFE"</v>
          </cell>
          <cell r="D504" t="str">
            <v>м3</v>
          </cell>
          <cell r="E504">
            <v>4.3775000000000004</v>
          </cell>
          <cell r="F504">
            <v>796.61</v>
          </cell>
          <cell r="G504">
            <v>3487.16</v>
          </cell>
        </row>
        <row r="505">
          <cell r="B505" t="str">
            <v>С114-4-У-3</v>
          </cell>
          <cell r="C505" t="str">
            <v>Плити тип "ТЛ Еко Лайт" товщ. 100мм
"TERMOLIFE"</v>
          </cell>
          <cell r="D505" t="str">
            <v>м3</v>
          </cell>
          <cell r="E505">
            <v>0.42230000000000001</v>
          </cell>
          <cell r="F505">
            <v>796.61</v>
          </cell>
          <cell r="G505">
            <v>336.41</v>
          </cell>
        </row>
        <row r="506">
          <cell r="B506" t="str">
            <v>С111-741</v>
          </cell>
          <cell r="C506" t="str">
            <v>Плита ГКПВ ф.Кнауф</v>
          </cell>
          <cell r="D506" t="str">
            <v>м2</v>
          </cell>
          <cell r="E506">
            <v>374.22</v>
          </cell>
          <cell r="F506">
            <v>58.51</v>
          </cell>
          <cell r="G506">
            <v>21895.61</v>
          </cell>
        </row>
        <row r="507">
          <cell r="B507" t="str">
            <v>С111-1683-2-Н</v>
          </cell>
          <cell r="C507" t="str">
            <v>Стрічка армуюча Kurt ф.Кнауф</v>
          </cell>
          <cell r="D507" t="str">
            <v>м</v>
          </cell>
          <cell r="E507">
            <v>302.94</v>
          </cell>
          <cell r="F507">
            <v>8.5</v>
          </cell>
          <cell r="G507">
            <v>2574.9899999999998</v>
          </cell>
        </row>
        <row r="508">
          <cell r="B508" t="str">
            <v>С111-1683-2-Н</v>
          </cell>
          <cell r="C508" t="str">
            <v>Стрічка ущільнювальна</v>
          </cell>
          <cell r="D508" t="str">
            <v>м</v>
          </cell>
          <cell r="E508">
            <v>178.2</v>
          </cell>
          <cell r="F508">
            <v>4.78</v>
          </cell>
          <cell r="G508">
            <v>851.8</v>
          </cell>
        </row>
        <row r="509">
          <cell r="B509" t="str">
            <v>С111-1683-2-Н</v>
          </cell>
          <cell r="C509" t="str">
            <v>Звукоізоляційна смуга з пінополіуретану</v>
          </cell>
          <cell r="D509" t="str">
            <v>м</v>
          </cell>
          <cell r="E509">
            <v>128.304</v>
          </cell>
          <cell r="F509">
            <v>4.05</v>
          </cell>
          <cell r="G509">
            <v>519.63</v>
          </cell>
        </row>
        <row r="510">
          <cell r="B510" t="str">
            <v>С111-1849-1-О</v>
          </cell>
          <cell r="C510" t="str">
            <v>Дюбель 6/42</v>
          </cell>
          <cell r="D510" t="str">
            <v>шт</v>
          </cell>
          <cell r="E510">
            <v>223</v>
          </cell>
          <cell r="F510">
            <v>0.71</v>
          </cell>
          <cell r="G510">
            <v>158.33000000000001</v>
          </cell>
        </row>
        <row r="511">
          <cell r="B511" t="str">
            <v>С111-1480-1</v>
          </cell>
          <cell r="C511" t="str">
            <v>Шуруп ТN 3,9х35мм</v>
          </cell>
          <cell r="D511" t="str">
            <v>шт</v>
          </cell>
          <cell r="E511">
            <v>541</v>
          </cell>
          <cell r="F511">
            <v>0.63</v>
          </cell>
          <cell r="G511">
            <v>340.83</v>
          </cell>
        </row>
        <row r="512">
          <cell r="B512" t="str">
            <v>С111-1480-2</v>
          </cell>
          <cell r="C512" t="str">
            <v>Шуруп ТN 3,9х23мм</v>
          </cell>
          <cell r="D512" t="str">
            <v>шт</v>
          </cell>
          <cell r="E512">
            <v>4571</v>
          </cell>
          <cell r="F512">
            <v>0.53</v>
          </cell>
          <cell r="G512">
            <v>2422.63</v>
          </cell>
        </row>
        <row r="513">
          <cell r="B513" t="str">
            <v>С111-1896-11</v>
          </cell>
          <cell r="C513" t="str">
            <v>Шпатлівка Фугенфюллер</v>
          </cell>
          <cell r="D513" t="str">
            <v>кг</v>
          </cell>
          <cell r="E513">
            <v>97.119</v>
          </cell>
          <cell r="F513">
            <v>7.89</v>
          </cell>
          <cell r="G513">
            <v>766.27</v>
          </cell>
        </row>
        <row r="514">
          <cell r="B514" t="str">
            <v>ЕН10-94-5</v>
          </cell>
          <cell r="C514" t="str">
            <v>Улаштування перегородок на металевому
дворядному каркасі з обшивкою
гіпсокартонними листами або
гіпсоволокнистими плитами у два шари з
ізоляцією у житлових і громадських
будівлях</v>
          </cell>
          <cell r="D514" t="str">
            <v>100м2</v>
          </cell>
          <cell r="E514">
            <v>0.15</v>
          </cell>
          <cell r="F514">
            <v>33424.269999999997</v>
          </cell>
          <cell r="G514">
            <v>5013.6400000000003</v>
          </cell>
        </row>
        <row r="515">
          <cell r="B515" t="str">
            <v>ЕН15-63-1</v>
          </cell>
          <cell r="C515" t="str">
            <v>Улаштування обшивки стін
гіпсокартонними і гіпсоволокнистими
листами на клеї</v>
          </cell>
          <cell r="D515" t="str">
            <v>100м2</v>
          </cell>
          <cell r="E515">
            <v>-0.15</v>
          </cell>
          <cell r="F515">
            <v>5645.83</v>
          </cell>
          <cell r="G515">
            <v>-846.87</v>
          </cell>
        </row>
        <row r="516">
          <cell r="B516" t="str">
            <v>С126-1300-1</v>
          </cell>
          <cell r="C516" t="str">
            <v>Профілі для гіпсокартону стійкові CW75</v>
          </cell>
          <cell r="D516" t="str">
            <v>м</v>
          </cell>
          <cell r="E516">
            <v>72.3</v>
          </cell>
          <cell r="F516">
            <v>35.799999999999997</v>
          </cell>
          <cell r="G516">
            <v>2588.34</v>
          </cell>
        </row>
        <row r="517">
          <cell r="B517" t="str">
            <v>С126-1300-2</v>
          </cell>
          <cell r="C517" t="str">
            <v>Профілі для гіпсокартону направляючі UW75</v>
          </cell>
          <cell r="D517" t="str">
            <v>м</v>
          </cell>
          <cell r="E517">
            <v>24.9</v>
          </cell>
          <cell r="F517">
            <v>31.04</v>
          </cell>
          <cell r="G517">
            <v>772.9</v>
          </cell>
        </row>
        <row r="518">
          <cell r="B518" t="str">
            <v>С114-4-У-3</v>
          </cell>
          <cell r="C518" t="str">
            <v>Плити тип "ТЛ Еко Лайт" товщ. 100мм
"TERMOLIFE"</v>
          </cell>
          <cell r="D518" t="str">
            <v>м3</v>
          </cell>
          <cell r="E518">
            <v>0.1545</v>
          </cell>
          <cell r="F518">
            <v>796.61</v>
          </cell>
          <cell r="G518">
            <v>123.08</v>
          </cell>
        </row>
        <row r="519">
          <cell r="B519" t="str">
            <v>С111-741</v>
          </cell>
          <cell r="C519" t="str">
            <v>Плита ГКПВ ф.Кнауф</v>
          </cell>
          <cell r="D519" t="str">
            <v>м2</v>
          </cell>
          <cell r="E519">
            <v>31.5</v>
          </cell>
          <cell r="F519">
            <v>58.51</v>
          </cell>
          <cell r="G519">
            <v>1843.07</v>
          </cell>
        </row>
        <row r="520">
          <cell r="B520" t="str">
            <v>С111-741</v>
          </cell>
          <cell r="C520" t="str">
            <v>Плита AQUAPANEL ф.Кнауф</v>
          </cell>
          <cell r="D520" t="str">
            <v>м2</v>
          </cell>
          <cell r="E520">
            <v>15.75</v>
          </cell>
          <cell r="F520">
            <v>569.35</v>
          </cell>
          <cell r="G520">
            <v>8967.26</v>
          </cell>
        </row>
        <row r="521">
          <cell r="B521" t="str">
            <v>С111-1683-2-Н</v>
          </cell>
          <cell r="C521" t="str">
            <v>Стрічка армуюча Kurt ф.Кнауф</v>
          </cell>
          <cell r="D521" t="str">
            <v>м</v>
          </cell>
          <cell r="E521">
            <v>51</v>
          </cell>
          <cell r="F521">
            <v>8.5</v>
          </cell>
          <cell r="G521">
            <v>433.5</v>
          </cell>
        </row>
        <row r="522">
          <cell r="B522" t="str">
            <v>С111-1683-2-Н</v>
          </cell>
          <cell r="C522" t="str">
            <v>Стрічка ущільнювальна</v>
          </cell>
          <cell r="D522" t="str">
            <v>м</v>
          </cell>
          <cell r="E522">
            <v>30</v>
          </cell>
          <cell r="F522">
            <v>4.78</v>
          </cell>
          <cell r="G522">
            <v>143.4</v>
          </cell>
        </row>
        <row r="523">
          <cell r="B523" t="str">
            <v>С111-1683-2-Н</v>
          </cell>
          <cell r="C523" t="str">
            <v>Звукоізоляційна смуга з пінополіуретану</v>
          </cell>
          <cell r="D523" t="str">
            <v>м</v>
          </cell>
          <cell r="E523">
            <v>43.2</v>
          </cell>
          <cell r="F523">
            <v>4.05</v>
          </cell>
          <cell r="G523">
            <v>174.96</v>
          </cell>
        </row>
        <row r="524">
          <cell r="B524" t="str">
            <v>С111-1849-1-О</v>
          </cell>
          <cell r="C524" t="str">
            <v>Дюбель 6/42</v>
          </cell>
          <cell r="D524" t="str">
            <v>шт</v>
          </cell>
          <cell r="E524">
            <v>75</v>
          </cell>
          <cell r="F524">
            <v>0.71</v>
          </cell>
          <cell r="G524">
            <v>53.25</v>
          </cell>
        </row>
        <row r="525">
          <cell r="B525" t="str">
            <v>С111-1480-1</v>
          </cell>
          <cell r="C525" t="str">
            <v>Шуруп ТN 3,9х35мм</v>
          </cell>
          <cell r="D525" t="str">
            <v>шт</v>
          </cell>
          <cell r="E525">
            <v>936</v>
          </cell>
          <cell r="F525">
            <v>0.63</v>
          </cell>
          <cell r="G525">
            <v>589.67999999999995</v>
          </cell>
        </row>
        <row r="526">
          <cell r="B526" t="str">
            <v>С111-1480-2</v>
          </cell>
          <cell r="C526" t="str">
            <v>Шуруп ТN 3,9х23мм</v>
          </cell>
          <cell r="D526" t="str">
            <v>шт</v>
          </cell>
          <cell r="E526">
            <v>182</v>
          </cell>
          <cell r="F526">
            <v>0.53</v>
          </cell>
          <cell r="G526">
            <v>96.46</v>
          </cell>
        </row>
        <row r="527">
          <cell r="B527" t="str">
            <v>С111-1480-2</v>
          </cell>
          <cell r="C527" t="str">
            <v>Шуруп AQUAPANEL Maxi SN 25мм</v>
          </cell>
          <cell r="D527" t="str">
            <v>шт</v>
          </cell>
          <cell r="E527">
            <v>225</v>
          </cell>
          <cell r="F527">
            <v>0.14000000000000001</v>
          </cell>
          <cell r="G527">
            <v>31.5</v>
          </cell>
        </row>
        <row r="528">
          <cell r="B528" t="str">
            <v>С111-1896-11</v>
          </cell>
          <cell r="C528" t="str">
            <v>Шпатлівка Фугенфюллер</v>
          </cell>
          <cell r="D528" t="str">
            <v>кг</v>
          </cell>
          <cell r="E528">
            <v>16.350000000000001</v>
          </cell>
          <cell r="F528">
            <v>7.89</v>
          </cell>
          <cell r="G528">
            <v>129</v>
          </cell>
        </row>
        <row r="529">
          <cell r="B529" t="str">
            <v>С111-2001-7Н</v>
          </cell>
          <cell r="C529" t="str">
            <v>Клей для швiв AQUAPANEL Fugenkleber
(PU) 310мл</v>
          </cell>
          <cell r="D529" t="str">
            <v>шт</v>
          </cell>
          <cell r="E529">
            <v>2</v>
          </cell>
          <cell r="F529">
            <v>362.44</v>
          </cell>
          <cell r="G529">
            <v>724.88</v>
          </cell>
        </row>
        <row r="530">
          <cell r="B530" t="str">
            <v>С111-1678-2-Х</v>
          </cell>
          <cell r="C530" t="str">
            <v>Стрiчка гідроізоляційна Флехендихтбанд
ф.Кнауф</v>
          </cell>
          <cell r="D530" t="str">
            <v>м</v>
          </cell>
          <cell r="E530">
            <v>420</v>
          </cell>
          <cell r="F530">
            <v>64.88</v>
          </cell>
          <cell r="G530">
            <v>27249.599999999999</v>
          </cell>
        </row>
        <row r="531">
          <cell r="B531" t="str">
            <v>С111-2015-Н</v>
          </cell>
          <cell r="C531" t="str">
            <v>Гідроізоляція Флехендихт ф.Кнауф</v>
          </cell>
          <cell r="D531" t="str">
            <v>кг</v>
          </cell>
          <cell r="E531">
            <v>42</v>
          </cell>
          <cell r="F531">
            <v>150.63999999999999</v>
          </cell>
          <cell r="G531">
            <v>6326.88</v>
          </cell>
        </row>
        <row r="532">
          <cell r="B532" t="str">
            <v>С111-696-1-2Б</v>
          </cell>
          <cell r="C532" t="str">
            <v>Траверса універсальна W 234-А10
арт.№00003556</v>
          </cell>
          <cell r="D532" t="str">
            <v>шт</v>
          </cell>
          <cell r="E532">
            <v>9</v>
          </cell>
          <cell r="F532">
            <v>174.27</v>
          </cell>
          <cell r="G532">
            <v>1568.43</v>
          </cell>
        </row>
        <row r="533">
          <cell r="B533" t="str">
            <v>ЕН10-95-1</v>
          </cell>
          <cell r="C533" t="str">
            <v>Оформлення [оброблення] дверних прорізів
у перегородках з каркасом із сталевих
профілів</v>
          </cell>
          <cell r="D533" t="str">
            <v>100 м</v>
          </cell>
          <cell r="E533">
            <v>2.1629999999999998</v>
          </cell>
          <cell r="F533">
            <v>1239.06</v>
          </cell>
          <cell r="G533">
            <v>2680.09</v>
          </cell>
        </row>
        <row r="534">
          <cell r="B534" t="str">
            <v>С126-1300-1</v>
          </cell>
          <cell r="C534" t="str">
            <v>Профілі UA 75</v>
          </cell>
          <cell r="D534" t="str">
            <v>м</v>
          </cell>
          <cell r="E534">
            <v>279.45960000000002</v>
          </cell>
          <cell r="F534">
            <v>200.74</v>
          </cell>
          <cell r="G534">
            <v>56098.720000000001</v>
          </cell>
        </row>
        <row r="535">
          <cell r="B535" t="str">
            <v>С126-917-1</v>
          </cell>
          <cell r="C535" t="str">
            <v>Дверний кутик Кнауф 75</v>
          </cell>
          <cell r="D535" t="str">
            <v>шт</v>
          </cell>
          <cell r="E535">
            <v>176</v>
          </cell>
          <cell r="F535">
            <v>99.41</v>
          </cell>
          <cell r="G535">
            <v>17496.16</v>
          </cell>
        </row>
        <row r="536">
          <cell r="B536" t="str">
            <v>С111-1849-1-Н1</v>
          </cell>
          <cell r="C536" t="str">
            <v>Гвинти самонарiзнi</v>
          </cell>
          <cell r="D536" t="str">
            <v>шт</v>
          </cell>
          <cell r="E536">
            <v>2509</v>
          </cell>
          <cell r="F536">
            <v>0.17</v>
          </cell>
          <cell r="G536">
            <v>426.53</v>
          </cell>
        </row>
        <row r="537">
          <cell r="B537" t="str">
            <v>ЕН15-63-1</v>
          </cell>
          <cell r="C537" t="str">
            <v>Улаштування обшивки стін
гіпсокартонними і гіпсоволокнистими
листами на клеї</v>
          </cell>
          <cell r="D537" t="str">
            <v>100м2</v>
          </cell>
          <cell r="E537">
            <v>1.645</v>
          </cell>
          <cell r="F537">
            <v>8141.15</v>
          </cell>
          <cell r="G537">
            <v>13392.19</v>
          </cell>
        </row>
        <row r="538">
          <cell r="B538" t="str">
            <v>С111-741</v>
          </cell>
          <cell r="C538" t="str">
            <v>Плита Titan ф.Кнауф</v>
          </cell>
          <cell r="D538" t="str">
            <v>м2</v>
          </cell>
          <cell r="E538">
            <v>172.72499999999999</v>
          </cell>
          <cell r="F538">
            <v>130.41999999999999</v>
          </cell>
          <cell r="G538">
            <v>22526.79</v>
          </cell>
        </row>
        <row r="539">
          <cell r="B539" t="str">
            <v>С111-1896-11</v>
          </cell>
          <cell r="C539" t="str">
            <v>Шпатлівка Фугенфюллер</v>
          </cell>
          <cell r="D539" t="str">
            <v>кг</v>
          </cell>
          <cell r="E539">
            <v>52.245199999999997</v>
          </cell>
          <cell r="F539">
            <v>7.89</v>
          </cell>
          <cell r="G539">
            <v>412.21</v>
          </cell>
        </row>
        <row r="540">
          <cell r="B540" t="str">
            <v>С1545-249</v>
          </cell>
          <cell r="C540" t="str">
            <v>Скоба L=40мм</v>
          </cell>
          <cell r="D540" t="str">
            <v>100шт</v>
          </cell>
          <cell r="E540">
            <v>37.6</v>
          </cell>
          <cell r="F540">
            <v>21.24</v>
          </cell>
          <cell r="G540">
            <v>798.62</v>
          </cell>
        </row>
        <row r="541">
          <cell r="B541" t="str">
            <v>ЕН15-63-5</v>
          </cell>
          <cell r="C541" t="str">
            <v>Улаштування обшивки колон периметром
до 1600 мм гіпсокартонними і
гіпсоволокнистими листами з
улаштуванням металевого каркасу</v>
          </cell>
          <cell r="D541" t="str">
            <v>100м2</v>
          </cell>
          <cell r="E541">
            <v>0.47850000000000004</v>
          </cell>
          <cell r="F541">
            <v>26967.97</v>
          </cell>
          <cell r="G541">
            <v>12904.17</v>
          </cell>
        </row>
        <row r="542">
          <cell r="B542" t="str">
            <v>ЕН15-63-1</v>
          </cell>
          <cell r="C542" t="str">
            <v>Улаштування обшивки стін
гіпсокартонними і гіпсоволокнистими
листами на клеї</v>
          </cell>
          <cell r="D542" t="str">
            <v>100м2</v>
          </cell>
          <cell r="E542">
            <v>0.47850000000000004</v>
          </cell>
          <cell r="F542">
            <v>8141.15</v>
          </cell>
          <cell r="G542">
            <v>3895.54</v>
          </cell>
        </row>
        <row r="543">
          <cell r="B543" t="str">
            <v>С126-1300-1</v>
          </cell>
          <cell r="C543" t="str">
            <v>Профілі CD60/27</v>
          </cell>
          <cell r="D543" t="str">
            <v>м</v>
          </cell>
          <cell r="E543">
            <v>106.5</v>
          </cell>
          <cell r="F543">
            <v>24.96</v>
          </cell>
          <cell r="G543">
            <v>2658.24</v>
          </cell>
        </row>
        <row r="544">
          <cell r="B544" t="str">
            <v>С111-741</v>
          </cell>
          <cell r="C544" t="str">
            <v>Плита Titan ф.Кнауф</v>
          </cell>
          <cell r="D544" t="str">
            <v>м2</v>
          </cell>
          <cell r="E544">
            <v>100.485</v>
          </cell>
          <cell r="F544">
            <v>130.41999999999999</v>
          </cell>
          <cell r="G544">
            <v>13105.25</v>
          </cell>
        </row>
        <row r="545">
          <cell r="B545" t="str">
            <v>С1545-249</v>
          </cell>
          <cell r="C545" t="str">
            <v>Зажим-кліпса</v>
          </cell>
          <cell r="D545" t="str">
            <v>100шт</v>
          </cell>
          <cell r="E545">
            <v>1.24</v>
          </cell>
          <cell r="F545">
            <v>275.67</v>
          </cell>
          <cell r="G545">
            <v>341.83</v>
          </cell>
        </row>
        <row r="546">
          <cell r="B546" t="str">
            <v>С111-1480-1</v>
          </cell>
          <cell r="C546" t="str">
            <v>Шуруп ХТN 3,9х35мм</v>
          </cell>
          <cell r="D546" t="str">
            <v>шт</v>
          </cell>
          <cell r="E546">
            <v>1288</v>
          </cell>
          <cell r="F546">
            <v>0.71</v>
          </cell>
          <cell r="G546">
            <v>914.48</v>
          </cell>
        </row>
        <row r="547">
          <cell r="B547" t="str">
            <v>С111-1480-2</v>
          </cell>
          <cell r="C547" t="str">
            <v>Шуруп ХТN 3,9х23мм</v>
          </cell>
          <cell r="D547" t="str">
            <v>шт</v>
          </cell>
          <cell r="E547">
            <v>2576</v>
          </cell>
          <cell r="F547">
            <v>0.51</v>
          </cell>
          <cell r="G547">
            <v>1313.76</v>
          </cell>
        </row>
        <row r="548">
          <cell r="B548" t="str">
            <v>С111-1896-11</v>
          </cell>
          <cell r="C548" t="str">
            <v>Шпатлівка Фугенфюллер</v>
          </cell>
          <cell r="D548" t="str">
            <v>кг</v>
          </cell>
          <cell r="E548">
            <v>15.19716</v>
          </cell>
          <cell r="F548">
            <v>7.89</v>
          </cell>
          <cell r="G548">
            <v>119.91</v>
          </cell>
        </row>
        <row r="549">
          <cell r="B549" t="str">
            <v>ЕН10-12-1</v>
          </cell>
          <cell r="C549" t="str">
            <v>Улаштування перегородок у душових</v>
          </cell>
          <cell r="D549" t="str">
            <v>100м2</v>
          </cell>
          <cell r="E549">
            <v>0.252</v>
          </cell>
          <cell r="F549">
            <v>9009.1</v>
          </cell>
          <cell r="G549">
            <v>2270.29</v>
          </cell>
        </row>
        <row r="550">
          <cell r="B550" t="str">
            <v>С123-467</v>
          </cell>
          <cell r="C550" t="str">
            <v>Перегородка у душових з матового скла з
алюмінієвим каркасом висотою 2,1 м
(комплектне постачання)</v>
          </cell>
          <cell r="D550" t="str">
            <v>м2</v>
          </cell>
          <cell r="E550">
            <v>25.2</v>
          </cell>
          <cell r="F550">
            <v>817.58</v>
          </cell>
          <cell r="G550">
            <v>20603.02</v>
          </cell>
        </row>
        <row r="551">
          <cell r="B551" t="str">
            <v>ЕН15-63-5застосовно</v>
          </cell>
          <cell r="C551" t="str">
            <v>Улаштування коробу гіпсокартонними і
гіпсоволокнистими листами з
улаштуванням металевого каркасу (з двох
сторін)</v>
          </cell>
          <cell r="D551" t="str">
            <v>100м2</v>
          </cell>
          <cell r="E551">
            <v>0.05</v>
          </cell>
          <cell r="F551">
            <v>26797.97</v>
          </cell>
          <cell r="G551">
            <v>1339.9</v>
          </cell>
        </row>
        <row r="552">
          <cell r="B552" t="str">
            <v>ЕН15-63-1</v>
          </cell>
          <cell r="C552" t="str">
            <v>Улаштування обшивки стін
гіпсокартонними і гіпсоволокнистими
листами на клеї</v>
          </cell>
          <cell r="D552" t="str">
            <v>100м2</v>
          </cell>
          <cell r="E552">
            <v>0.05</v>
          </cell>
          <cell r="F552">
            <v>8141.15</v>
          </cell>
          <cell r="G552">
            <v>407.06</v>
          </cell>
        </row>
        <row r="553">
          <cell r="B553" t="str">
            <v>С126-1300-1</v>
          </cell>
          <cell r="C553" t="str">
            <v>Профілі CD60/27</v>
          </cell>
          <cell r="D553" t="str">
            <v>м</v>
          </cell>
          <cell r="E553">
            <v>29.9</v>
          </cell>
          <cell r="F553">
            <v>24.96</v>
          </cell>
          <cell r="G553">
            <v>746.3</v>
          </cell>
        </row>
        <row r="554">
          <cell r="B554" t="str">
            <v>С126-1211-2-Т</v>
          </cell>
          <cell r="C554" t="str">
            <v>Профиль пристенный 28/27</v>
          </cell>
          <cell r="D554" t="str">
            <v>м</v>
          </cell>
          <cell r="E554">
            <v>2.75</v>
          </cell>
          <cell r="F554">
            <v>11.51</v>
          </cell>
          <cell r="G554">
            <v>31.65</v>
          </cell>
        </row>
        <row r="555">
          <cell r="B555" t="str">
            <v>С111-136-3-5Ц</v>
          </cell>
          <cell r="C555" t="str">
            <v>Дюбель 6х40</v>
          </cell>
          <cell r="D555" t="str">
            <v>шт</v>
          </cell>
          <cell r="E555">
            <v>71</v>
          </cell>
          <cell r="F555">
            <v>0.53</v>
          </cell>
          <cell r="G555">
            <v>37.630000000000003</v>
          </cell>
        </row>
        <row r="556">
          <cell r="B556" t="str">
            <v>С111-1849-1-О</v>
          </cell>
          <cell r="C556" t="str">
            <v>Саморізи 3,5х25</v>
          </cell>
          <cell r="D556" t="str">
            <v>шт</v>
          </cell>
          <cell r="E556">
            <v>170</v>
          </cell>
          <cell r="F556">
            <v>0.30000000000000004</v>
          </cell>
          <cell r="G556">
            <v>51</v>
          </cell>
        </row>
        <row r="557">
          <cell r="B557" t="str">
            <v>С111-1849-2</v>
          </cell>
          <cell r="C557" t="str">
            <v>Саморізи 3,5х9,5</v>
          </cell>
          <cell r="D557" t="str">
            <v>шт</v>
          </cell>
          <cell r="E557">
            <v>268</v>
          </cell>
          <cell r="F557">
            <v>0.16</v>
          </cell>
          <cell r="G557">
            <v>42.88</v>
          </cell>
        </row>
        <row r="558">
          <cell r="B558" t="str">
            <v>С111-741</v>
          </cell>
          <cell r="C558" t="str">
            <v>Плита Titan ф.Кнауф</v>
          </cell>
          <cell r="D558" t="str">
            <v>м2</v>
          </cell>
          <cell r="E558">
            <v>10.5</v>
          </cell>
          <cell r="F558">
            <v>130.41999999999999</v>
          </cell>
          <cell r="G558">
            <v>1369.41</v>
          </cell>
        </row>
        <row r="559">
          <cell r="B559" t="str">
            <v>С111-1683-2-Н</v>
          </cell>
          <cell r="C559" t="str">
            <v>Стрічка армуюча Kurt ф.Кнауф</v>
          </cell>
          <cell r="D559" t="str">
            <v>м</v>
          </cell>
          <cell r="E559">
            <v>4.4000000000000004</v>
          </cell>
          <cell r="F559">
            <v>8.5</v>
          </cell>
          <cell r="G559">
            <v>37.4</v>
          </cell>
        </row>
        <row r="560">
          <cell r="B560" t="str">
            <v>С111-1896-11</v>
          </cell>
          <cell r="C560" t="str">
            <v>Шпатлівка Фугенфюллер</v>
          </cell>
          <cell r="D560" t="str">
            <v>кг</v>
          </cell>
          <cell r="E560">
            <v>1.5880000000000001</v>
          </cell>
          <cell r="F560">
            <v>7.89</v>
          </cell>
          <cell r="G560">
            <v>12.53</v>
          </cell>
        </row>
        <row r="561">
          <cell r="B561" t="str">
            <v>ПР15-4056</v>
          </cell>
          <cell r="C561" t="str">
            <v>Улаштування вентиляційних ґрат у
гіпсокартонній стіні (лючків пластикових)</v>
          </cell>
          <cell r="D561" t="str">
            <v>100 шт</v>
          </cell>
          <cell r="E561">
            <v>0.01</v>
          </cell>
          <cell r="F561">
            <v>1069.72</v>
          </cell>
          <cell r="G561">
            <v>10.7</v>
          </cell>
        </row>
        <row r="562">
          <cell r="B562" t="str">
            <v>С123-237-1</v>
          </cell>
          <cell r="C562" t="str">
            <v>Лючок з пластиковими дверцятами 400х400
мм</v>
          </cell>
          <cell r="D562" t="str">
            <v>шт</v>
          </cell>
          <cell r="E562">
            <v>1</v>
          </cell>
          <cell r="F562">
            <v>275.37</v>
          </cell>
          <cell r="G562">
            <v>275.37</v>
          </cell>
        </row>
        <row r="563">
          <cell r="B563" t="str">
            <v>ЕН15-253-1</v>
          </cell>
          <cell r="C563" t="str">
            <v>Обклеювання стiн полiвiнiлхлоридною
декоративно-оздоблювальною
самоклеючою плівкою (Фольгова
теплоізоляція з матеріалу Пінофол)</v>
          </cell>
          <cell r="D563" t="str">
            <v>100м2</v>
          </cell>
          <cell r="E563">
            <v>0.28100000000000003</v>
          </cell>
          <cell r="F563">
            <v>5287.24</v>
          </cell>
          <cell r="G563">
            <v>1485.71</v>
          </cell>
        </row>
        <row r="564">
          <cell r="B564" t="str">
            <v>С111-1717-1</v>
          </cell>
          <cell r="C564" t="str">
            <v>Фольгова ізоляція Пінофол тип С товщиною
4 мм</v>
          </cell>
          <cell r="D564" t="str">
            <v>м2</v>
          </cell>
          <cell r="E564">
            <v>30.067</v>
          </cell>
          <cell r="F564">
            <v>100.12</v>
          </cell>
          <cell r="G564">
            <v>3010.31</v>
          </cell>
        </row>
        <row r="565">
          <cell r="B565" t="str">
            <v>Е9-34-5</v>
          </cell>
          <cell r="C565" t="str">
            <v>Монтаж опорних конструкцiй
етажеркового типу</v>
          </cell>
          <cell r="D565" t="str">
            <v>т</v>
          </cell>
          <cell r="E565">
            <v>0.65662000000000009</v>
          </cell>
          <cell r="F565">
            <v>6840.99</v>
          </cell>
          <cell r="G565">
            <v>4491.93</v>
          </cell>
        </row>
        <row r="566">
          <cell r="B566" t="str">
            <v>С1110-173</v>
          </cell>
          <cell r="C566" t="str">
            <v>Сталь кутова 50х50 мм</v>
          </cell>
          <cell r="D566" t="str">
            <v>т</v>
          </cell>
          <cell r="E566" t="str">
            <v>0,
5426928</v>
          </cell>
          <cell r="F566">
            <v>21736</v>
          </cell>
          <cell r="G566">
            <v>11795.97</v>
          </cell>
        </row>
        <row r="567">
          <cell r="B567" t="str">
            <v>С111-1816</v>
          </cell>
          <cell r="C567" t="str">
            <v>Прокат штабовий ширина 60 мм, товщина 5
мм</v>
          </cell>
          <cell r="D567" t="str">
            <v>т</v>
          </cell>
          <cell r="E567" t="str">
            <v>0,
1766336</v>
          </cell>
          <cell r="F567">
            <v>28815.38</v>
          </cell>
          <cell r="G567">
            <v>5089.76</v>
          </cell>
        </row>
        <row r="568">
          <cell r="B568" t="str">
            <v>С113-2122-Н</v>
          </cell>
          <cell r="C568" t="str">
            <v>Болт М10</v>
          </cell>
          <cell r="D568" t="str">
            <v>шт</v>
          </cell>
          <cell r="E568">
            <v>86</v>
          </cell>
          <cell r="F568">
            <v>6.48</v>
          </cell>
          <cell r="G568">
            <v>557.28</v>
          </cell>
        </row>
        <row r="569">
          <cell r="B569" t="str">
            <v>ЕН15-171-3</v>
          </cell>
          <cell r="C569" t="str">
            <v>Олiйне фарбування бiлилами з додаванням
кольору сталевих балок, труб дiаметром
понад 50 мм тощо за два рази</v>
          </cell>
          <cell r="D569" t="str">
            <v>100м2</v>
          </cell>
          <cell r="E569">
            <v>0.37280000000000002</v>
          </cell>
          <cell r="F569">
            <v>4034.36</v>
          </cell>
          <cell r="G569">
            <v>1504.01</v>
          </cell>
        </row>
        <row r="570">
          <cell r="B570" t="str">
            <v>С111-1673-1</v>
          </cell>
          <cell r="C570" t="str">
            <v>Эмаль "ЗЕБРА" (3 в 1) антикорозійна</v>
          </cell>
          <cell r="D570" t="str">
            <v>л</v>
          </cell>
          <cell r="E570">
            <v>6.7103999999999999</v>
          </cell>
          <cell r="F570">
            <v>182.96</v>
          </cell>
          <cell r="G570">
            <v>1227.73</v>
          </cell>
        </row>
        <row r="571">
          <cell r="B571" t="str">
            <v>Е9-47-1</v>
          </cell>
          <cell r="C571" t="str">
            <v>Облицювання рам стальних
профiльованим листом</v>
          </cell>
          <cell r="D571" t="str">
            <v>100м2</v>
          </cell>
          <cell r="E571">
            <v>0.39030000000000004</v>
          </cell>
          <cell r="F571">
            <v>3131.26</v>
          </cell>
          <cell r="G571">
            <v>1222.1300000000001</v>
          </cell>
        </row>
        <row r="572">
          <cell r="B572" t="str">
            <v>С111-1807-1Н</v>
          </cell>
          <cell r="C572" t="str">
            <v>Профлист Т 10-1145-0,45-В РЕ 25 мк ф.
Blachy Pruszynski</v>
          </cell>
          <cell r="D572" t="str">
            <v>м2</v>
          </cell>
          <cell r="E572">
            <v>39.03</v>
          </cell>
          <cell r="F572">
            <v>232.45</v>
          </cell>
          <cell r="G572">
            <v>9072.52</v>
          </cell>
        </row>
        <row r="573">
          <cell r="B573" t="str">
            <v>С1545-42-3Н</v>
          </cell>
          <cell r="C573" t="str">
            <v>Саморіз по металу 4,8х25мм</v>
          </cell>
          <cell r="D573" t="str">
            <v>100шт</v>
          </cell>
          <cell r="E573">
            <v>2.78</v>
          </cell>
          <cell r="F573">
            <v>147.34</v>
          </cell>
          <cell r="G573">
            <v>409.61</v>
          </cell>
        </row>
        <row r="574">
          <cell r="B574" t="str">
            <v>С1545-42-2Н</v>
          </cell>
          <cell r="C574" t="str">
            <v>Саморіз 4,8х19</v>
          </cell>
          <cell r="D574" t="str">
            <v>100шт</v>
          </cell>
          <cell r="E574">
            <v>1.21</v>
          </cell>
          <cell r="F574">
            <v>99.88</v>
          </cell>
          <cell r="G574">
            <v>120.85</v>
          </cell>
        </row>
        <row r="575">
          <cell r="B575" t="str">
            <v>С111-1797-10Н</v>
          </cell>
          <cell r="C575" t="str">
            <v>Кутик зовнішній ф. Blachy Pruszynski</v>
          </cell>
          <cell r="D575" t="str">
            <v>м</v>
          </cell>
          <cell r="E575">
            <v>20</v>
          </cell>
          <cell r="F575">
            <v>23.62</v>
          </cell>
          <cell r="G575">
            <v>472.4</v>
          </cell>
        </row>
        <row r="576">
          <cell r="B576" t="str">
            <v>Е9-47-1</v>
          </cell>
          <cell r="C576" t="str">
            <v>Обшивка балкона стальним
профiльованим листом</v>
          </cell>
          <cell r="D576" t="str">
            <v>100м2</v>
          </cell>
          <cell r="E576">
            <v>0.34</v>
          </cell>
          <cell r="F576">
            <v>3131.26</v>
          </cell>
          <cell r="G576">
            <v>1064.6300000000001</v>
          </cell>
        </row>
        <row r="577">
          <cell r="B577" t="str">
            <v>Е9-40-1</v>
          </cell>
          <cell r="C577" t="str">
            <v>Монтаж стальних плiнтусiв iз гнутого
профiлю</v>
          </cell>
          <cell r="D577" t="str">
            <v>100м</v>
          </cell>
          <cell r="E577">
            <v>1.365</v>
          </cell>
          <cell r="F577">
            <v>1395.51</v>
          </cell>
          <cell r="G577">
            <v>1904.87</v>
          </cell>
        </row>
        <row r="578">
          <cell r="B578" t="str">
            <v>С111-1803-1Н</v>
          </cell>
          <cell r="C578" t="str">
            <v>Прогон Омега - 20 ф.Blachy Pruszynski</v>
          </cell>
          <cell r="D578" t="str">
            <v>м</v>
          </cell>
          <cell r="E578">
            <v>136.5</v>
          </cell>
          <cell r="F578">
            <v>56.77</v>
          </cell>
          <cell r="G578">
            <v>7749.11</v>
          </cell>
        </row>
        <row r="579">
          <cell r="B579" t="str">
            <v>С111-1807-1Н</v>
          </cell>
          <cell r="C579" t="str">
            <v>Профлист Т 10-1145-0,45-В РЕ 25 мк ф.
Blachy Pruszynski</v>
          </cell>
          <cell r="D579" t="str">
            <v>м2</v>
          </cell>
          <cell r="E579">
            <v>34</v>
          </cell>
          <cell r="F579">
            <v>232.45</v>
          </cell>
          <cell r="G579">
            <v>7903.3</v>
          </cell>
        </row>
        <row r="580">
          <cell r="B580" t="str">
            <v>С1545-42-4Н</v>
          </cell>
          <cell r="C580" t="str">
            <v>Саморіз по металу 5,5х25мм</v>
          </cell>
          <cell r="D580" t="str">
            <v>100шт</v>
          </cell>
          <cell r="E580">
            <v>3.5</v>
          </cell>
          <cell r="F580">
            <v>123.75</v>
          </cell>
          <cell r="G580">
            <v>433.13</v>
          </cell>
        </row>
        <row r="581">
          <cell r="B581" t="str">
            <v>С1545-42-3Н</v>
          </cell>
          <cell r="C581" t="str">
            <v>Саморіз по металу 4,8х25мм</v>
          </cell>
          <cell r="D581" t="str">
            <v>100шт</v>
          </cell>
          <cell r="E581">
            <v>9.1999999999999993</v>
          </cell>
          <cell r="F581">
            <v>147.34</v>
          </cell>
          <cell r="G581">
            <v>1355.53</v>
          </cell>
        </row>
        <row r="582">
          <cell r="B582" t="str">
            <v>С1545-42-2Н</v>
          </cell>
          <cell r="C582" t="str">
            <v>Саморіз 4,8х19</v>
          </cell>
          <cell r="D582" t="str">
            <v>100шт</v>
          </cell>
          <cell r="E582">
            <v>5.85</v>
          </cell>
          <cell r="F582">
            <v>99.88</v>
          </cell>
          <cell r="G582">
            <v>584.29999999999995</v>
          </cell>
        </row>
        <row r="583">
          <cell r="B583" t="str">
            <v>Е12-15-1</v>
          </cell>
          <cell r="C583" t="str">
            <v>Улаштування дрiбних покриттiв
[брандмауери, парапети, звiси i т.п.] iз
листової оцинкованої сталi</v>
          </cell>
          <cell r="D583" t="str">
            <v>100м2</v>
          </cell>
          <cell r="E583">
            <v>6.6799999999999998E-2</v>
          </cell>
          <cell r="F583">
            <v>8300</v>
          </cell>
          <cell r="G583">
            <v>554.44000000000005</v>
          </cell>
        </row>
        <row r="584">
          <cell r="B584" t="str">
            <v>С111-1797-1Н</v>
          </cell>
          <cell r="C584" t="str">
            <v>Лист ОЦ РЕ 25мк, товщ.0,5мм ф.Blachy
Pruszynski</v>
          </cell>
          <cell r="D584" t="str">
            <v>м2</v>
          </cell>
          <cell r="E584">
            <v>6.68</v>
          </cell>
          <cell r="F584">
            <v>292.70999999999998</v>
          </cell>
          <cell r="G584">
            <v>1955.3</v>
          </cell>
        </row>
        <row r="585">
          <cell r="B585" t="str">
            <v>Е9-40-1</v>
          </cell>
          <cell r="C585" t="str">
            <v>Монтаж стальних плiнтусiв iз гнутого
профiлю</v>
          </cell>
          <cell r="D585" t="str">
            <v>100м</v>
          </cell>
          <cell r="E585">
            <v>0.33400000000000002</v>
          </cell>
          <cell r="F585">
            <v>1395.51</v>
          </cell>
          <cell r="G585">
            <v>466.1</v>
          </cell>
        </row>
        <row r="586">
          <cell r="B586" t="str">
            <v>С111-1797-10Н</v>
          </cell>
          <cell r="C586" t="str">
            <v>Кутик зовнішній ф. Blachy Pruszynski</v>
          </cell>
          <cell r="D586" t="str">
            <v>м</v>
          </cell>
          <cell r="E586">
            <v>33.4</v>
          </cell>
          <cell r="F586">
            <v>23.62</v>
          </cell>
          <cell r="G586">
            <v>788.91</v>
          </cell>
        </row>
        <row r="587">
          <cell r="B587" t="str">
            <v>Е9-40-1</v>
          </cell>
          <cell r="C587" t="str">
            <v>Монтаж стальних плiнтусiв iз гнутого
профiлю</v>
          </cell>
          <cell r="D587" t="str">
            <v>100м</v>
          </cell>
          <cell r="E587">
            <v>0.36</v>
          </cell>
          <cell r="F587">
            <v>1395.51</v>
          </cell>
          <cell r="G587">
            <v>502.38</v>
          </cell>
        </row>
        <row r="588">
          <cell r="B588" t="str">
            <v>С111-1797-10Н</v>
          </cell>
          <cell r="C588" t="str">
            <v>Кутик внутрішній ф. Blachy Pruszynski</v>
          </cell>
          <cell r="D588" t="str">
            <v>м</v>
          </cell>
          <cell r="E588">
            <v>36</v>
          </cell>
          <cell r="F588">
            <v>23.62</v>
          </cell>
          <cell r="G588">
            <v>850.32</v>
          </cell>
        </row>
        <row r="589">
          <cell r="B589" t="str">
            <v>С111-136-3-5Ц</v>
          </cell>
          <cell r="C589" t="str">
            <v>Дюбель 6х40</v>
          </cell>
          <cell r="D589" t="str">
            <v>шт</v>
          </cell>
          <cell r="E589">
            <v>225</v>
          </cell>
          <cell r="F589">
            <v>0.53</v>
          </cell>
          <cell r="G589">
            <v>119.25</v>
          </cell>
        </row>
        <row r="590">
          <cell r="B590" t="str">
            <v>ЕН15-46-6_тех.ч._п.3.3.10_к=0,9</v>
          </cell>
          <cell r="C590" t="str">
            <v>Поліпшенене штукатурення цементно-
вапняним розчином по каменю i бетону
стін вручну у примiщеннях висотою
бiльше 4 м iз готових риштувань</v>
          </cell>
          <cell r="D590" t="str">
            <v>100м2</v>
          </cell>
          <cell r="E590">
            <v>2.4323000000000001</v>
          </cell>
          <cell r="F590">
            <v>13631.65</v>
          </cell>
          <cell r="G590">
            <v>33156.26</v>
          </cell>
        </row>
        <row r="591">
          <cell r="B591" t="str">
            <v>ЕН15-182-4</v>
          </cell>
          <cell r="C591" t="str">
            <v>Шпаклювання стiн шпаклiвкою "Кнауф"</v>
          </cell>
          <cell r="D591" t="str">
            <v>100м2</v>
          </cell>
          <cell r="E591">
            <v>3.883</v>
          </cell>
          <cell r="F591">
            <v>4420.88</v>
          </cell>
          <cell r="G591">
            <v>17166.28</v>
          </cell>
        </row>
        <row r="592">
          <cell r="B592" t="str">
            <v>С111-233-3</v>
          </cell>
          <cell r="C592" t="str">
            <v>Грунтовка "Кнауф-Тифенгрунд"</v>
          </cell>
          <cell r="D592" t="str">
            <v>кг</v>
          </cell>
          <cell r="E592">
            <v>97.207499999999996</v>
          </cell>
          <cell r="F592">
            <v>34.61</v>
          </cell>
          <cell r="G592">
            <v>3364.35</v>
          </cell>
        </row>
        <row r="593">
          <cell r="B593" t="str">
            <v>С111-1896-1</v>
          </cell>
          <cell r="C593" t="str">
            <v>Шпаклiвка Кнауф САТЕНГИПС</v>
          </cell>
          <cell r="D593" t="str">
            <v>кг</v>
          </cell>
          <cell r="E593">
            <v>465.96</v>
          </cell>
          <cell r="F593">
            <v>6.66</v>
          </cell>
          <cell r="G593">
            <v>3103.29</v>
          </cell>
        </row>
        <row r="594">
          <cell r="B594" t="str">
            <v>ЕН15-179-5</v>
          </cell>
          <cell r="C594" t="str">
            <v>Полiпшене фарбування стiн
полiвiнiлацетатними водоемульсiйними
сумiшами по збiрних конструкцiях,
пiдготовлених пiд фарбування</v>
          </cell>
          <cell r="D594" t="str">
            <v>100м2</v>
          </cell>
          <cell r="E594">
            <v>3.883</v>
          </cell>
          <cell r="F594">
            <v>2621.71</v>
          </cell>
          <cell r="G594">
            <v>10180.1</v>
          </cell>
        </row>
        <row r="595">
          <cell r="B595" t="str">
            <v>С111-233-5</v>
          </cell>
          <cell r="C595" t="str">
            <v>Грунтовка Super Base концентрована
"Farbex"</v>
          </cell>
          <cell r="D595" t="str">
            <v>кг</v>
          </cell>
          <cell r="E595">
            <v>77.66</v>
          </cell>
          <cell r="F595">
            <v>64.290000000000006</v>
          </cell>
          <cell r="G595">
            <v>4992.76</v>
          </cell>
        </row>
        <row r="596">
          <cell r="B596" t="str">
            <v>С111-334</v>
          </cell>
          <cell r="C596" t="str">
            <v>Фарба водно-дисперсiйна акрiлатна  для
вологих приміщень " Wet rooms " TM Farbex</v>
          </cell>
          <cell r="D596" t="str">
            <v>т</v>
          </cell>
          <cell r="E596">
            <v>0.16696900000000001</v>
          </cell>
          <cell r="F596">
            <v>80366.679999999993</v>
          </cell>
          <cell r="G596">
            <v>13418.74</v>
          </cell>
        </row>
        <row r="597">
          <cell r="B597" t="str">
            <v>ЕН15-46-2</v>
          </cell>
          <cell r="C597" t="str">
            <v>Просте штукатурення цементно-
вапняним розчином по каменю i бетону
стін вручну</v>
          </cell>
          <cell r="D597" t="str">
            <v>100м2</v>
          </cell>
          <cell r="E597">
            <v>0.16470000000000001</v>
          </cell>
          <cell r="F597">
            <v>10289.19</v>
          </cell>
          <cell r="G597">
            <v>1694.63</v>
          </cell>
        </row>
        <row r="598">
          <cell r="B598" t="str">
            <v>ЕН15-25-3</v>
          </cell>
          <cell r="C598" t="str">
            <v>Облицювання поверхонь стін керамiчними
плитками на розчині із сухої клеючої суміші,
число плиток в 1 м2 понад 12 до 20 шт</v>
          </cell>
          <cell r="D598" t="str">
            <v>100м2</v>
          </cell>
          <cell r="E598">
            <v>0.314</v>
          </cell>
          <cell r="F598">
            <v>19192</v>
          </cell>
          <cell r="G598">
            <v>6026.29</v>
          </cell>
        </row>
        <row r="599">
          <cell r="B599" t="str">
            <v>С111-233-4</v>
          </cell>
          <cell r="C599" t="str">
            <v>Грунтовка "Кнауф-Хафтемульсія"</v>
          </cell>
          <cell r="D599" t="str">
            <v>кг</v>
          </cell>
          <cell r="E599">
            <v>6.28</v>
          </cell>
          <cell r="F599">
            <v>130.59</v>
          </cell>
          <cell r="G599">
            <v>820.11</v>
          </cell>
        </row>
        <row r="600">
          <cell r="B600" t="str">
            <v>С111-2000-5К</v>
          </cell>
          <cell r="C600" t="str">
            <v>Клеюча сумiш для плитки Кнауф
Флізенклебер</v>
          </cell>
          <cell r="D600" t="str">
            <v>кг</v>
          </cell>
          <cell r="E600">
            <v>122.46</v>
          </cell>
          <cell r="F600">
            <v>4.42</v>
          </cell>
          <cell r="G600">
            <v>541.27</v>
          </cell>
        </row>
        <row r="601">
          <cell r="B601" t="str">
            <v>С111-258</v>
          </cell>
          <cell r="C601" t="str">
            <v>Плитки керамiчнi для внутрiшнього
облицювання стiн</v>
          </cell>
          <cell r="D601" t="str">
            <v>м2</v>
          </cell>
          <cell r="E601">
            <v>31.713999999999999</v>
          </cell>
          <cell r="F601">
            <v>331.2</v>
          </cell>
          <cell r="G601">
            <v>10503.68</v>
          </cell>
        </row>
        <row r="602">
          <cell r="B602" t="str">
            <v>С111-2001-1</v>
          </cell>
          <cell r="C602" t="str">
            <v>Кольоровий шов 2-5мм Baumit PremiumFuge</v>
          </cell>
          <cell r="D602" t="str">
            <v>кг</v>
          </cell>
          <cell r="E602">
            <v>15.574400000000001</v>
          </cell>
          <cell r="F602">
            <v>119.53</v>
          </cell>
          <cell r="G602">
            <v>1861.61</v>
          </cell>
        </row>
        <row r="603">
          <cell r="B603" t="str">
            <v>С113-2088-1-2М</v>
          </cell>
          <cell r="C603" t="str">
            <v>Хрестики для плитки</v>
          </cell>
          <cell r="D603" t="str">
            <v>100шт</v>
          </cell>
          <cell r="E603">
            <v>3.22</v>
          </cell>
          <cell r="F603">
            <v>9.5399999999999991</v>
          </cell>
          <cell r="G603">
            <v>30.72</v>
          </cell>
        </row>
        <row r="604">
          <cell r="B604" t="str">
            <v>ЕН15-76-1</v>
          </cell>
          <cell r="C604" t="str">
            <v>Улаштування каркасу підвісних стель
"Армстронг"</v>
          </cell>
          <cell r="D604" t="str">
            <v>100м2</v>
          </cell>
          <cell r="E604">
            <v>1.4563000000000001</v>
          </cell>
          <cell r="F604">
            <v>9344.24</v>
          </cell>
          <cell r="G604">
            <v>13608.02</v>
          </cell>
        </row>
        <row r="605">
          <cell r="B605" t="str">
            <v>С111-1-1-2Ю</v>
          </cell>
          <cell r="C605" t="str">
            <v>Профіль головний для підвісної стелі</v>
          </cell>
          <cell r="D605" t="str">
            <v>м</v>
          </cell>
          <cell r="E605">
            <v>138.3485</v>
          </cell>
          <cell r="F605">
            <v>32.72</v>
          </cell>
          <cell r="G605">
            <v>4526.76</v>
          </cell>
        </row>
        <row r="606">
          <cell r="B606" t="str">
            <v>С111-1-2-1Н</v>
          </cell>
          <cell r="C606" t="str">
            <v>Профіль пристінний для підвісної стелі</v>
          </cell>
          <cell r="D606" t="str">
            <v>м</v>
          </cell>
          <cell r="E606">
            <v>157.28039999999999</v>
          </cell>
          <cell r="F606">
            <v>21.85</v>
          </cell>
          <cell r="G606">
            <v>3436.58</v>
          </cell>
        </row>
        <row r="607">
          <cell r="B607" t="str">
            <v>С111-1-3</v>
          </cell>
          <cell r="C607" t="str">
            <v>Профіль поперечний 1200мм для підвісної
стелі</v>
          </cell>
          <cell r="D607" t="str">
            <v>м</v>
          </cell>
          <cell r="E607">
            <v>276.697</v>
          </cell>
          <cell r="F607">
            <v>23.68</v>
          </cell>
          <cell r="G607">
            <v>6552.18</v>
          </cell>
        </row>
        <row r="608">
          <cell r="B608" t="str">
            <v>С111-1-4</v>
          </cell>
          <cell r="C608" t="str">
            <v>Профіль поперечний 600мм для підвісної
стелі</v>
          </cell>
          <cell r="D608" t="str">
            <v>м</v>
          </cell>
          <cell r="E608">
            <v>138.3485</v>
          </cell>
          <cell r="F608">
            <v>16.010000000000002</v>
          </cell>
          <cell r="G608">
            <v>2214.96</v>
          </cell>
        </row>
        <row r="609">
          <cell r="B609" t="str">
            <v>С111-1-6</v>
          </cell>
          <cell r="C609" t="str">
            <v>Підвіс</v>
          </cell>
          <cell r="D609" t="str">
            <v>шт</v>
          </cell>
          <cell r="E609">
            <v>117</v>
          </cell>
          <cell r="F609">
            <v>8.7899999999999991</v>
          </cell>
          <cell r="G609">
            <v>1028.43</v>
          </cell>
        </row>
        <row r="610">
          <cell r="B610" t="str">
            <v>С111-1-7</v>
          </cell>
          <cell r="C610" t="str">
            <v>Тяга підвісу</v>
          </cell>
          <cell r="D610" t="str">
            <v>шт</v>
          </cell>
          <cell r="E610">
            <v>117</v>
          </cell>
          <cell r="F610">
            <v>6.29</v>
          </cell>
          <cell r="G610">
            <v>735.93</v>
          </cell>
        </row>
        <row r="611">
          <cell r="B611" t="str">
            <v>С111-136-3-5Ц</v>
          </cell>
          <cell r="C611" t="str">
            <v>Дюбель 6х40</v>
          </cell>
          <cell r="D611" t="str">
            <v>шт</v>
          </cell>
          <cell r="E611">
            <v>433</v>
          </cell>
          <cell r="F611">
            <v>0.53</v>
          </cell>
          <cell r="G611">
            <v>229.49</v>
          </cell>
        </row>
        <row r="612">
          <cell r="B612" t="str">
            <v>ЕН15-76-2</v>
          </cell>
          <cell r="C612" t="str">
            <v>Укладання плит стельових в каркас стелі
"Армстронг"</v>
          </cell>
          <cell r="D612" t="str">
            <v>100м2</v>
          </cell>
          <cell r="E612">
            <v>1.4563000000000001</v>
          </cell>
          <cell r="F612">
            <v>1116.8800000000001</v>
          </cell>
          <cell r="G612">
            <v>1626.51</v>
          </cell>
        </row>
        <row r="613">
          <cell r="B613" t="str">
            <v>С126-1207-2</v>
          </cell>
          <cell r="C613" t="str">
            <v>Плита "Оазис" 600х600х12мм</v>
          </cell>
          <cell r="D613" t="str">
            <v>м2</v>
          </cell>
          <cell r="E613">
            <v>152.91149999999999</v>
          </cell>
          <cell r="F613">
            <v>164.53</v>
          </cell>
          <cell r="G613">
            <v>25158.53</v>
          </cell>
        </row>
        <row r="614">
          <cell r="B614" t="str">
            <v>ЕН15-46-6</v>
          </cell>
          <cell r="C614" t="str">
            <v>Поліпшенене штукатурення цементно-
вапняним розчином по каменю i бетону
стін вручну</v>
          </cell>
          <cell r="D614" t="str">
            <v>100м2</v>
          </cell>
          <cell r="E614">
            <v>0.115</v>
          </cell>
          <cell r="F614">
            <v>14425</v>
          </cell>
          <cell r="G614">
            <v>1658.88</v>
          </cell>
        </row>
        <row r="615">
          <cell r="B615" t="str">
            <v>ЕН15-182-4</v>
          </cell>
          <cell r="C615" t="str">
            <v>Шпаклювання стiн шпаклiвкою "Кнауф"</v>
          </cell>
          <cell r="D615" t="str">
            <v>100м2</v>
          </cell>
          <cell r="E615">
            <v>2.5822000000000003</v>
          </cell>
          <cell r="F615">
            <v>4420.88</v>
          </cell>
          <cell r="G615">
            <v>11415.6</v>
          </cell>
        </row>
        <row r="616">
          <cell r="B616" t="str">
            <v>С111-233-3</v>
          </cell>
          <cell r="C616" t="str">
            <v>Грунтовка "Кнауф-Тифенгрунд"</v>
          </cell>
          <cell r="D616" t="str">
            <v>кг</v>
          </cell>
          <cell r="E616">
            <v>64.555000000000007</v>
          </cell>
          <cell r="F616">
            <v>34.61</v>
          </cell>
          <cell r="G616">
            <v>2234.25</v>
          </cell>
        </row>
        <row r="617">
          <cell r="B617" t="str">
            <v>С111-1896-1</v>
          </cell>
          <cell r="C617" t="str">
            <v>Шпаклiвка Кнауф САТЕНГИПС</v>
          </cell>
          <cell r="D617" t="str">
            <v>кг</v>
          </cell>
          <cell r="E617">
            <v>309.86399999999998</v>
          </cell>
          <cell r="F617">
            <v>6.66</v>
          </cell>
          <cell r="G617">
            <v>2063.69</v>
          </cell>
        </row>
        <row r="618">
          <cell r="B618" t="str">
            <v>ЕН15-179-5</v>
          </cell>
          <cell r="C618" t="str">
            <v>Полiпшене фарбування стiн
полiвiнiлацетатними водоемульсiйними
сумiшами по збiрних конструкцiях,
пiдготовлених пiд фарбування</v>
          </cell>
          <cell r="D618" t="str">
            <v>100м2</v>
          </cell>
          <cell r="E618">
            <v>2.5822000000000003</v>
          </cell>
          <cell r="F618">
            <v>2621.71</v>
          </cell>
          <cell r="G618">
            <v>6769.78</v>
          </cell>
        </row>
        <row r="619">
          <cell r="B619" t="str">
            <v>С111-233-5</v>
          </cell>
          <cell r="C619" t="str">
            <v>Грунтовка Super Base концентрована
"Farbex"</v>
          </cell>
          <cell r="D619" t="str">
            <v>кг</v>
          </cell>
          <cell r="E619">
            <v>51.643999999999998</v>
          </cell>
          <cell r="F619">
            <v>64.290000000000006</v>
          </cell>
          <cell r="G619">
            <v>3320.19</v>
          </cell>
        </row>
        <row r="620">
          <cell r="B620" t="str">
            <v>С111-334</v>
          </cell>
          <cell r="C620" t="str">
            <v>Фарба водно-дисперсiйна акрiлатна  для
вологих приміщень " Wet rooms " TM Farbex</v>
          </cell>
          <cell r="D620" t="str">
            <v>т</v>
          </cell>
          <cell r="E620" t="str">
            <v>0,
11795096</v>
          </cell>
          <cell r="F620">
            <v>80366.679999999993</v>
          </cell>
          <cell r="G620">
            <v>9479.33</v>
          </cell>
        </row>
        <row r="621">
          <cell r="B621" t="str">
            <v>С111-1626-1</v>
          </cell>
          <cell r="C621" t="str">
            <v>Фарба водоемульсійна</v>
          </cell>
          <cell r="D621" t="str">
            <v>кг</v>
          </cell>
          <cell r="E621">
            <v>44.211199999999998</v>
          </cell>
          <cell r="F621">
            <v>119.02</v>
          </cell>
          <cell r="G621">
            <v>5262.02</v>
          </cell>
        </row>
        <row r="622">
          <cell r="B622" t="str">
            <v>ЕН15-25-3</v>
          </cell>
          <cell r="C622" t="str">
            <v>Облицювання поверхонь стін керамiчними
плитками на розчині із сухої клеючої суміші,
число плиток в 1 м2 понад 12 до 20 шт</v>
          </cell>
          <cell r="D622" t="str">
            <v>100м2</v>
          </cell>
          <cell r="E622">
            <v>0.42150000000000004</v>
          </cell>
          <cell r="F622">
            <v>19192</v>
          </cell>
          <cell r="G622">
            <v>8089.43</v>
          </cell>
        </row>
        <row r="623">
          <cell r="B623" t="str">
            <v>С111-233-4</v>
          </cell>
          <cell r="C623" t="str">
            <v>Грунтовка "Кнауф-Хафтемульсія"</v>
          </cell>
          <cell r="D623" t="str">
            <v>кг</v>
          </cell>
          <cell r="E623">
            <v>8.43</v>
          </cell>
          <cell r="F623">
            <v>130.59</v>
          </cell>
          <cell r="G623">
            <v>1100.8699999999999</v>
          </cell>
        </row>
        <row r="624">
          <cell r="B624" t="str">
            <v>С111-2000-5К</v>
          </cell>
          <cell r="C624" t="str">
            <v>Клеюча сумiш для плитки Кнауф
Флізенклебер</v>
          </cell>
          <cell r="D624" t="str">
            <v>кг</v>
          </cell>
          <cell r="E624">
            <v>164.38499999999999</v>
          </cell>
          <cell r="F624">
            <v>4.42</v>
          </cell>
          <cell r="G624">
            <v>726.58</v>
          </cell>
        </row>
        <row r="625">
          <cell r="B625" t="str">
            <v>С111-258</v>
          </cell>
          <cell r="C625" t="str">
            <v>Плитки керамiчнi для внутрiшнього
облицювання стiн</v>
          </cell>
          <cell r="D625" t="str">
            <v>м2</v>
          </cell>
          <cell r="E625">
            <v>42.5715</v>
          </cell>
          <cell r="F625">
            <v>331.2</v>
          </cell>
          <cell r="G625">
            <v>14099.68</v>
          </cell>
        </row>
        <row r="626">
          <cell r="B626" t="str">
            <v>С111-2001-1</v>
          </cell>
          <cell r="C626" t="str">
            <v>Кольоровий шов 2-5мм Baumit PremiumFuge</v>
          </cell>
          <cell r="D626" t="str">
            <v>кг</v>
          </cell>
          <cell r="E626">
            <v>20.906400000000001</v>
          </cell>
          <cell r="F626">
            <v>119.53</v>
          </cell>
          <cell r="G626">
            <v>2498.94</v>
          </cell>
        </row>
        <row r="627">
          <cell r="B627" t="str">
            <v>С113-2088-1-2М</v>
          </cell>
          <cell r="C627" t="str">
            <v>Хрестики для плитки</v>
          </cell>
          <cell r="D627" t="str">
            <v>100шт</v>
          </cell>
          <cell r="E627">
            <v>4.33</v>
          </cell>
          <cell r="F627">
            <v>9.5399999999999991</v>
          </cell>
          <cell r="G627">
            <v>41.31</v>
          </cell>
        </row>
        <row r="628">
          <cell r="B628" t="str">
            <v>ЕН15-76-1</v>
          </cell>
          <cell r="C628" t="str">
            <v>Улаштування каркасу підвісних стель
"Армстронг"</v>
          </cell>
          <cell r="D628" t="str">
            <v>100м2</v>
          </cell>
          <cell r="E628">
            <v>1.4578</v>
          </cell>
          <cell r="F628">
            <v>9344.24</v>
          </cell>
          <cell r="G628">
            <v>13622.03</v>
          </cell>
        </row>
        <row r="629">
          <cell r="B629" t="str">
            <v>С111-1-1-2Ю</v>
          </cell>
          <cell r="C629" t="str">
            <v>Профіль головний для підвісної стелі</v>
          </cell>
          <cell r="D629" t="str">
            <v>м</v>
          </cell>
          <cell r="E629">
            <v>138.49100000000001</v>
          </cell>
          <cell r="F629">
            <v>32.72</v>
          </cell>
          <cell r="G629">
            <v>4531.43</v>
          </cell>
        </row>
        <row r="630">
          <cell r="B630" t="str">
            <v>С111-1-2-1Н</v>
          </cell>
          <cell r="C630" t="str">
            <v>Профіль пристінний для підвісної стелі</v>
          </cell>
          <cell r="D630" t="str">
            <v>м</v>
          </cell>
          <cell r="E630">
            <v>157.44239999999999</v>
          </cell>
          <cell r="F630">
            <v>21.85</v>
          </cell>
          <cell r="G630">
            <v>3440.12</v>
          </cell>
        </row>
        <row r="631">
          <cell r="B631" t="str">
            <v>С111-1-3</v>
          </cell>
          <cell r="C631" t="str">
            <v>Профіль поперечний 1200мм для підвісної
стелі</v>
          </cell>
          <cell r="D631" t="str">
            <v>м</v>
          </cell>
          <cell r="E631">
            <v>276.98200000000003</v>
          </cell>
          <cell r="F631">
            <v>23.68</v>
          </cell>
          <cell r="G631">
            <v>6558.93</v>
          </cell>
        </row>
        <row r="632">
          <cell r="B632" t="str">
            <v>С111-1-4</v>
          </cell>
          <cell r="C632" t="str">
            <v>Профіль поперечний 600мм для підвісної
стелі</v>
          </cell>
          <cell r="D632" t="str">
            <v>м</v>
          </cell>
          <cell r="E632">
            <v>138.49100000000001</v>
          </cell>
          <cell r="F632">
            <v>16.010000000000002</v>
          </cell>
          <cell r="G632">
            <v>2217.2399999999998</v>
          </cell>
        </row>
        <row r="633">
          <cell r="B633" t="str">
            <v>С111-1-6</v>
          </cell>
          <cell r="C633" t="str">
            <v>Підвіс</v>
          </cell>
          <cell r="D633" t="str">
            <v>шт</v>
          </cell>
          <cell r="E633">
            <v>117</v>
          </cell>
          <cell r="F633">
            <v>8.7899999999999991</v>
          </cell>
          <cell r="G633">
            <v>1028.43</v>
          </cell>
        </row>
        <row r="634">
          <cell r="B634" t="str">
            <v>С111-1-7</v>
          </cell>
          <cell r="C634" t="str">
            <v>Тяга підвісу</v>
          </cell>
          <cell r="D634" t="str">
            <v>шт</v>
          </cell>
          <cell r="E634">
            <v>117</v>
          </cell>
          <cell r="F634">
            <v>6.29</v>
          </cell>
          <cell r="G634">
            <v>735.93</v>
          </cell>
        </row>
        <row r="635">
          <cell r="B635" t="str">
            <v>С111-136-3-5Ц</v>
          </cell>
          <cell r="C635" t="str">
            <v>Дюбель 6х40</v>
          </cell>
          <cell r="D635" t="str">
            <v>шт</v>
          </cell>
          <cell r="E635">
            <v>433</v>
          </cell>
          <cell r="F635">
            <v>0.53</v>
          </cell>
          <cell r="G635">
            <v>229.49</v>
          </cell>
        </row>
        <row r="636">
          <cell r="B636" t="str">
            <v>ЕН15-76-2</v>
          </cell>
          <cell r="C636" t="str">
            <v>Укладання плит стельових в каркас стелі
"Армстронг" тип "Оазіс"</v>
          </cell>
          <cell r="D636" t="str">
            <v>100м2</v>
          </cell>
          <cell r="E636">
            <v>1.4578</v>
          </cell>
          <cell r="F636">
            <v>1116.8800000000001</v>
          </cell>
          <cell r="G636">
            <v>1628.19</v>
          </cell>
        </row>
        <row r="637">
          <cell r="B637" t="str">
            <v>С126-1207-2</v>
          </cell>
          <cell r="C637" t="str">
            <v>Плита "Оазис" 600х600х12мм</v>
          </cell>
          <cell r="D637" t="str">
            <v>м2</v>
          </cell>
          <cell r="E637">
            <v>153.06899999999999</v>
          </cell>
          <cell r="F637">
            <v>164.53</v>
          </cell>
          <cell r="G637">
            <v>25184.44</v>
          </cell>
        </row>
        <row r="638">
          <cell r="B638" t="str">
            <v>ЕН15-46-6</v>
          </cell>
          <cell r="C638" t="str">
            <v>Поліпшенене штукатурення цементно-
вапняним розчином по каменю i бетону
стін вручну</v>
          </cell>
          <cell r="D638" t="str">
            <v>100м2</v>
          </cell>
          <cell r="E638">
            <v>2.6402999999999999</v>
          </cell>
          <cell r="F638">
            <v>14425</v>
          </cell>
          <cell r="G638">
            <v>38086.33</v>
          </cell>
        </row>
        <row r="639">
          <cell r="B639" t="str">
            <v>ЕН15-182-4</v>
          </cell>
          <cell r="C639" t="str">
            <v>Шпаклювання стiн шпаклiвкою "Кнауф"</v>
          </cell>
          <cell r="D639" t="str">
            <v>100м2</v>
          </cell>
          <cell r="E639">
            <v>4.8090999999999999</v>
          </cell>
          <cell r="F639">
            <v>4420.88</v>
          </cell>
          <cell r="G639">
            <v>21260.45</v>
          </cell>
        </row>
        <row r="640">
          <cell r="B640" t="str">
            <v>С111-233-3</v>
          </cell>
          <cell r="C640" t="str">
            <v>Грунтовка "Кнауф-Тифенгрунд"</v>
          </cell>
          <cell r="D640" t="str">
            <v>кг</v>
          </cell>
          <cell r="E640">
            <v>120.22750000000001</v>
          </cell>
          <cell r="F640">
            <v>34.61</v>
          </cell>
          <cell r="G640">
            <v>4161.07</v>
          </cell>
        </row>
        <row r="641">
          <cell r="B641" t="str">
            <v>С111-1896-1</v>
          </cell>
          <cell r="C641" t="str">
            <v>Шпаклiвка Кнауф САТЕНГИПС</v>
          </cell>
          <cell r="D641" t="str">
            <v>кг</v>
          </cell>
          <cell r="E641">
            <v>577.09199999999998</v>
          </cell>
          <cell r="F641">
            <v>6.66</v>
          </cell>
          <cell r="G641">
            <v>3843.43</v>
          </cell>
        </row>
        <row r="642">
          <cell r="B642" t="str">
            <v>ЕН15-179-5</v>
          </cell>
          <cell r="C642" t="str">
            <v>Полiпшене фарбування стiн
полiвiнiлацетатними водоемульсiйними
сумiшами по збiрних конструкцiях,
пiдготовлених пiд фарбування</v>
          </cell>
          <cell r="D642" t="str">
            <v>100м2</v>
          </cell>
          <cell r="E642">
            <v>4.8090999999999999</v>
          </cell>
          <cell r="F642">
            <v>2621.71</v>
          </cell>
          <cell r="G642">
            <v>12608.07</v>
          </cell>
        </row>
        <row r="643">
          <cell r="B643" t="str">
            <v>С111-233-5</v>
          </cell>
          <cell r="C643" t="str">
            <v>Грунтовка Super Base концентрована
"Farbex"</v>
          </cell>
          <cell r="D643" t="str">
            <v>кг</v>
          </cell>
          <cell r="E643">
            <v>96.182000000000002</v>
          </cell>
          <cell r="F643">
            <v>64.290000000000006</v>
          </cell>
          <cell r="G643">
            <v>6183.54</v>
          </cell>
        </row>
        <row r="644">
          <cell r="B644" t="str">
            <v>С111-334</v>
          </cell>
          <cell r="C644" t="str">
            <v>Фарба водно-дисперсiйна акрiлатна  для
вологих приміщень " Wet rooms " TM Farbex</v>
          </cell>
          <cell r="D644" t="str">
            <v>т</v>
          </cell>
          <cell r="E644" t="str">
            <v>0,
15932988</v>
          </cell>
          <cell r="F644">
            <v>80366.679999999993</v>
          </cell>
          <cell r="G644">
            <v>12804.81</v>
          </cell>
        </row>
        <row r="645">
          <cell r="B645" t="str">
            <v>С111-1626-1</v>
          </cell>
          <cell r="C645" t="str">
            <v>Фарба водоемульсійна</v>
          </cell>
          <cell r="D645" t="str">
            <v>кг</v>
          </cell>
          <cell r="E645" t="str">
            <v>139,
86816</v>
          </cell>
          <cell r="F645">
            <v>119.02</v>
          </cell>
          <cell r="G645">
            <v>16647.11</v>
          </cell>
        </row>
        <row r="646">
          <cell r="B646" t="str">
            <v>ЕН15-46-2</v>
          </cell>
          <cell r="C646" t="str">
            <v>Просте штукатурення цементно-
вапняним розчином по каменю i бетону
стін вручну</v>
          </cell>
          <cell r="D646" t="str">
            <v>100м2</v>
          </cell>
          <cell r="E646">
            <v>0.25769999999999998</v>
          </cell>
          <cell r="F646">
            <v>10289.19</v>
          </cell>
          <cell r="G646">
            <v>2651.52</v>
          </cell>
        </row>
        <row r="647">
          <cell r="B647" t="str">
            <v>ЕН15-25-3</v>
          </cell>
          <cell r="C647" t="str">
            <v>Облицювання поверхонь стін керамiчними
плитками на розчині із сухої клеючої суміші,
число плиток в 1 м2 понад 12 до 20 шт</v>
          </cell>
          <cell r="D647" t="str">
            <v>100м2</v>
          </cell>
          <cell r="E647">
            <v>0.53360000000000007</v>
          </cell>
          <cell r="F647">
            <v>19192</v>
          </cell>
          <cell r="G647">
            <v>10240.85</v>
          </cell>
        </row>
        <row r="648">
          <cell r="B648" t="str">
            <v>С111-233-4</v>
          </cell>
          <cell r="C648" t="str">
            <v>Грунтовка "Кнауф-Хафтемульсія"</v>
          </cell>
          <cell r="D648" t="str">
            <v>кг</v>
          </cell>
          <cell r="E648">
            <v>10.672000000000001</v>
          </cell>
          <cell r="F648">
            <v>130.59</v>
          </cell>
          <cell r="G648">
            <v>1393.66</v>
          </cell>
        </row>
        <row r="649">
          <cell r="B649" t="str">
            <v>С111-2000-5К</v>
          </cell>
          <cell r="C649" t="str">
            <v>Клеюча сумiш для плитки Кнауф
Флізенклебер</v>
          </cell>
          <cell r="D649" t="str">
            <v>кг</v>
          </cell>
          <cell r="E649">
            <v>208.10400000000001</v>
          </cell>
          <cell r="F649">
            <v>4.42</v>
          </cell>
          <cell r="G649">
            <v>919.82</v>
          </cell>
        </row>
        <row r="650">
          <cell r="B650" t="str">
            <v>С111-258</v>
          </cell>
          <cell r="C650" t="str">
            <v>Плитки керамiчнi для внутрiшнього
облицювання стiн</v>
          </cell>
          <cell r="D650" t="str">
            <v>м2</v>
          </cell>
          <cell r="E650">
            <v>53.893599999999999</v>
          </cell>
          <cell r="F650">
            <v>331.2</v>
          </cell>
          <cell r="G650">
            <v>17849.560000000001</v>
          </cell>
        </row>
        <row r="651">
          <cell r="B651" t="str">
            <v>С111-2001-1</v>
          </cell>
          <cell r="C651" t="str">
            <v>Кольоровий шов 2-5мм Baumit PremiumFuge</v>
          </cell>
          <cell r="D651" t="str">
            <v>кг</v>
          </cell>
          <cell r="E651">
            <v>26.466560000000001</v>
          </cell>
          <cell r="F651">
            <v>119.53</v>
          </cell>
          <cell r="G651">
            <v>3163.55</v>
          </cell>
        </row>
        <row r="652">
          <cell r="B652" t="str">
            <v>С113-2088-1-2М</v>
          </cell>
          <cell r="C652" t="str">
            <v>Хрестики для плитки</v>
          </cell>
          <cell r="D652" t="str">
            <v>100шт</v>
          </cell>
          <cell r="E652">
            <v>5.48</v>
          </cell>
          <cell r="F652">
            <v>9.5399999999999991</v>
          </cell>
          <cell r="G652">
            <v>52.28</v>
          </cell>
        </row>
        <row r="653">
          <cell r="B653" t="str">
            <v>ЕН15-76-1</v>
          </cell>
          <cell r="C653" t="str">
            <v>Улаштування каркасу підвісних стель
"Армстронг"</v>
          </cell>
          <cell r="D653" t="str">
            <v>100м2</v>
          </cell>
          <cell r="E653">
            <v>2.2347999999999999</v>
          </cell>
          <cell r="F653">
            <v>9344.24</v>
          </cell>
          <cell r="G653">
            <v>20882.509999999998</v>
          </cell>
        </row>
        <row r="654">
          <cell r="B654" t="str">
            <v>С111-1-1-2Ю</v>
          </cell>
          <cell r="C654" t="str">
            <v>Профіль головний для підвісної стелі</v>
          </cell>
          <cell r="D654" t="str">
            <v>м</v>
          </cell>
          <cell r="E654">
            <v>212.30600000000001</v>
          </cell>
          <cell r="F654">
            <v>32.72</v>
          </cell>
          <cell r="G654">
            <v>6946.65</v>
          </cell>
        </row>
        <row r="655">
          <cell r="B655" t="str">
            <v>С111-1-2-1Н</v>
          </cell>
          <cell r="C655" t="str">
            <v>Профіль пристінний для підвісної стелі</v>
          </cell>
          <cell r="D655" t="str">
            <v>м</v>
          </cell>
          <cell r="E655">
            <v>241.35839999999999</v>
          </cell>
          <cell r="F655">
            <v>21.85</v>
          </cell>
          <cell r="G655">
            <v>5273.68</v>
          </cell>
        </row>
        <row r="656">
          <cell r="B656" t="str">
            <v>С111-1-3</v>
          </cell>
          <cell r="C656" t="str">
            <v>Профіль поперечний 1200мм для підвісної
стелі</v>
          </cell>
          <cell r="D656" t="str">
            <v>м</v>
          </cell>
          <cell r="E656">
            <v>424.61200000000002</v>
          </cell>
          <cell r="F656">
            <v>23.68</v>
          </cell>
          <cell r="G656">
            <v>10054.81</v>
          </cell>
        </row>
        <row r="657">
          <cell r="B657" t="str">
            <v>С111-1-4</v>
          </cell>
          <cell r="C657" t="str">
            <v>Профіль поперечний 600мм для підвісної
стелі</v>
          </cell>
          <cell r="D657" t="str">
            <v>м</v>
          </cell>
          <cell r="E657">
            <v>212.30600000000001</v>
          </cell>
          <cell r="F657">
            <v>16.010000000000002</v>
          </cell>
          <cell r="G657">
            <v>3399.02</v>
          </cell>
        </row>
        <row r="658">
          <cell r="B658" t="str">
            <v>С111-1-6</v>
          </cell>
          <cell r="C658" t="str">
            <v>Підвіс</v>
          </cell>
          <cell r="D658" t="str">
            <v>шт</v>
          </cell>
          <cell r="E658">
            <v>179</v>
          </cell>
          <cell r="F658">
            <v>8.7899999999999991</v>
          </cell>
          <cell r="G658">
            <v>1573.41</v>
          </cell>
        </row>
        <row r="659">
          <cell r="B659" t="str">
            <v>С111-1-7</v>
          </cell>
          <cell r="C659" t="str">
            <v>Тяга підвісу</v>
          </cell>
          <cell r="D659" t="str">
            <v>шт</v>
          </cell>
          <cell r="E659">
            <v>179</v>
          </cell>
          <cell r="F659">
            <v>6.29</v>
          </cell>
          <cell r="G659">
            <v>1125.9100000000001</v>
          </cell>
        </row>
        <row r="660">
          <cell r="B660" t="str">
            <v>С111-136-3-5Ц</v>
          </cell>
          <cell r="C660" t="str">
            <v>Дюбель 6х40</v>
          </cell>
          <cell r="D660" t="str">
            <v>шт</v>
          </cell>
          <cell r="E660">
            <v>664</v>
          </cell>
          <cell r="F660">
            <v>0.53</v>
          </cell>
          <cell r="G660">
            <v>351.92</v>
          </cell>
        </row>
        <row r="661">
          <cell r="B661" t="str">
            <v>ЕН15-76-2</v>
          </cell>
          <cell r="C661" t="str">
            <v>Укладання плит стельових в каркас стелі
"Армстронг"</v>
          </cell>
          <cell r="D661" t="str">
            <v>100м2</v>
          </cell>
          <cell r="E661">
            <v>2.2347999999999999</v>
          </cell>
          <cell r="F661">
            <v>1116.8800000000001</v>
          </cell>
          <cell r="G661">
            <v>2496</v>
          </cell>
        </row>
        <row r="662">
          <cell r="B662" t="str">
            <v>С126-1207-2</v>
          </cell>
          <cell r="C662" t="str">
            <v>Плита "Оазис" 600х600х12мм</v>
          </cell>
          <cell r="D662" t="str">
            <v>м2</v>
          </cell>
          <cell r="E662">
            <v>180.78899999999999</v>
          </cell>
          <cell r="F662">
            <v>164.53</v>
          </cell>
          <cell r="G662">
            <v>29745.21</v>
          </cell>
        </row>
        <row r="663">
          <cell r="B663" t="str">
            <v>С126-1207-2</v>
          </cell>
          <cell r="C663" t="str">
            <v>Плита "Плейн" вологостійка  600х600х15мм</v>
          </cell>
          <cell r="D663" t="str">
            <v>м2</v>
          </cell>
          <cell r="E663">
            <v>53.865000000000002</v>
          </cell>
          <cell r="F663">
            <v>195.8</v>
          </cell>
          <cell r="G663">
            <v>10546.77</v>
          </cell>
        </row>
        <row r="664">
          <cell r="B664" t="str">
            <v>ЕН15-46-2</v>
          </cell>
          <cell r="C664" t="str">
            <v>Просте штукатурення цементно-
вапняним розчином по каменю i бетону
стін вручну</v>
          </cell>
          <cell r="D664" t="str">
            <v>100м2</v>
          </cell>
          <cell r="E664">
            <v>3.6700000000000003E-2</v>
          </cell>
          <cell r="F664">
            <v>10289.19</v>
          </cell>
          <cell r="G664">
            <v>377.61</v>
          </cell>
        </row>
        <row r="665">
          <cell r="B665" t="str">
            <v>ЕН15-25-3</v>
          </cell>
          <cell r="C665" t="str">
            <v>Облицювання поверхонь стін керамiчними
плитками на розчині із сухої клеючої суміші,
число плиток в 1 м2 понад 12 до 20 шт</v>
          </cell>
          <cell r="D665" t="str">
            <v>100м2</v>
          </cell>
          <cell r="E665">
            <v>6.6538000000000004</v>
          </cell>
          <cell r="F665">
            <v>19192</v>
          </cell>
          <cell r="G665">
            <v>127699.73</v>
          </cell>
        </row>
        <row r="666">
          <cell r="B666" t="str">
            <v>С111-233-4</v>
          </cell>
          <cell r="C666" t="str">
            <v>Грунтовка "Кнауф-Хафтемульсія"</v>
          </cell>
          <cell r="D666" t="str">
            <v>кг</v>
          </cell>
          <cell r="E666">
            <v>133.07599999999999</v>
          </cell>
          <cell r="F666">
            <v>130.59</v>
          </cell>
          <cell r="G666">
            <v>17378.39</v>
          </cell>
        </row>
        <row r="667">
          <cell r="B667" t="str">
            <v>С111-2000-5К</v>
          </cell>
          <cell r="C667" t="str">
            <v>Клеюча сумiш для плитки Кнауф
Флізенклебер</v>
          </cell>
          <cell r="D667" t="str">
            <v>кг</v>
          </cell>
          <cell r="E667">
            <v>2594.982</v>
          </cell>
          <cell r="F667">
            <v>4.42</v>
          </cell>
          <cell r="G667">
            <v>11469.82</v>
          </cell>
        </row>
        <row r="668">
          <cell r="B668" t="str">
            <v>С111-258</v>
          </cell>
          <cell r="C668" t="str">
            <v>Плитки керамiчнi для внутрiшнього
облицювання стiн</v>
          </cell>
          <cell r="D668" t="str">
            <v>м2</v>
          </cell>
          <cell r="E668">
            <v>672.03380000000004</v>
          </cell>
          <cell r="F668">
            <v>331.2</v>
          </cell>
          <cell r="G668">
            <v>222577.59</v>
          </cell>
        </row>
        <row r="669">
          <cell r="B669" t="str">
            <v>С111-2001-1</v>
          </cell>
          <cell r="C669" t="str">
            <v>Кольоровий шов 2-5мм Baumit PremiumFuge</v>
          </cell>
          <cell r="D669" t="str">
            <v>кг</v>
          </cell>
          <cell r="E669" t="str">
            <v>330,
02848</v>
          </cell>
          <cell r="F669">
            <v>119.53</v>
          </cell>
          <cell r="G669">
            <v>39448.300000000003</v>
          </cell>
        </row>
        <row r="670">
          <cell r="B670" t="str">
            <v>С113-2088-1-2М</v>
          </cell>
          <cell r="C670" t="str">
            <v>Хрестики для плитки</v>
          </cell>
          <cell r="D670" t="str">
            <v>100шт</v>
          </cell>
          <cell r="E670">
            <v>68.33</v>
          </cell>
          <cell r="F670">
            <v>9.5399999999999991</v>
          </cell>
          <cell r="G670">
            <v>651.87</v>
          </cell>
        </row>
        <row r="671">
          <cell r="B671" t="str">
            <v>ЕН15-76-1</v>
          </cell>
          <cell r="C671" t="str">
            <v>Улаштування каркасу підвісних стель
"Армстронг"</v>
          </cell>
          <cell r="D671" t="str">
            <v>100м2</v>
          </cell>
          <cell r="E671">
            <v>8.4099999999999994E-2</v>
          </cell>
          <cell r="F671">
            <v>9344.24</v>
          </cell>
          <cell r="G671">
            <v>785.85</v>
          </cell>
        </row>
        <row r="672">
          <cell r="B672" t="str">
            <v>С111-1-1-2Ю</v>
          </cell>
          <cell r="C672" t="str">
            <v>Профіль головний для підвісної стелі</v>
          </cell>
          <cell r="D672" t="str">
            <v>м</v>
          </cell>
          <cell r="E672">
            <v>7.9894999999999996</v>
          </cell>
          <cell r="F672">
            <v>32.72</v>
          </cell>
          <cell r="G672">
            <v>261.42</v>
          </cell>
        </row>
        <row r="673">
          <cell r="B673" t="str">
            <v>С111-1-2-1Н</v>
          </cell>
          <cell r="C673" t="str">
            <v>Профіль пристінний для підвісної стелі</v>
          </cell>
          <cell r="D673" t="str">
            <v>м</v>
          </cell>
          <cell r="E673">
            <v>9.0828000000000007</v>
          </cell>
          <cell r="F673">
            <v>21.85</v>
          </cell>
          <cell r="G673">
            <v>198.46</v>
          </cell>
        </row>
        <row r="674">
          <cell r="B674" t="str">
            <v>С111-1-3</v>
          </cell>
          <cell r="C674" t="str">
            <v>Профіль поперечний 1200мм для підвісної
стелі</v>
          </cell>
          <cell r="D674" t="str">
            <v>м</v>
          </cell>
          <cell r="E674">
            <v>15.978999999999999</v>
          </cell>
          <cell r="F674">
            <v>23.68</v>
          </cell>
          <cell r="G674">
            <v>378.38</v>
          </cell>
        </row>
        <row r="675">
          <cell r="B675" t="str">
            <v>С111-1-4</v>
          </cell>
          <cell r="C675" t="str">
            <v>Профіль поперечний 600мм для підвісної
стелі</v>
          </cell>
          <cell r="D675" t="str">
            <v>м</v>
          </cell>
          <cell r="E675">
            <v>7.9894999999999996</v>
          </cell>
          <cell r="F675">
            <v>16.010000000000002</v>
          </cell>
          <cell r="G675">
            <v>127.91</v>
          </cell>
        </row>
        <row r="676">
          <cell r="B676" t="str">
            <v>С111-1-6</v>
          </cell>
          <cell r="C676" t="str">
            <v>Підвіс</v>
          </cell>
          <cell r="D676" t="str">
            <v>шт</v>
          </cell>
          <cell r="E676">
            <v>7</v>
          </cell>
          <cell r="F676">
            <v>8.7899999999999991</v>
          </cell>
          <cell r="G676">
            <v>61.53</v>
          </cell>
        </row>
        <row r="677">
          <cell r="B677" t="str">
            <v>С111-1-7</v>
          </cell>
          <cell r="C677" t="str">
            <v>Тяга підвісу</v>
          </cell>
          <cell r="D677" t="str">
            <v>шт</v>
          </cell>
          <cell r="E677">
            <v>7</v>
          </cell>
          <cell r="F677">
            <v>6.29</v>
          </cell>
          <cell r="G677">
            <v>44.03</v>
          </cell>
        </row>
        <row r="678">
          <cell r="B678" t="str">
            <v>С111-136-3-5Ц</v>
          </cell>
          <cell r="C678" t="str">
            <v>Дюбель 6х40</v>
          </cell>
          <cell r="D678" t="str">
            <v>шт</v>
          </cell>
          <cell r="E678">
            <v>25</v>
          </cell>
          <cell r="F678">
            <v>0.53</v>
          </cell>
          <cell r="G678">
            <v>13.25</v>
          </cell>
        </row>
        <row r="679">
          <cell r="B679" t="str">
            <v>ЕН15-76-2</v>
          </cell>
          <cell r="C679" t="str">
            <v>Укладання плит стельових в каркас стелі
"Армстронг"</v>
          </cell>
          <cell r="D679" t="str">
            <v>100м2</v>
          </cell>
          <cell r="E679">
            <v>8.4099999999999994E-2</v>
          </cell>
          <cell r="F679">
            <v>1116.8800000000001</v>
          </cell>
          <cell r="G679">
            <v>93.93</v>
          </cell>
        </row>
        <row r="680">
          <cell r="B680" t="str">
            <v>С126-1207-2</v>
          </cell>
          <cell r="C680" t="str">
            <v>Плита "Оазис" 600х600х12мм</v>
          </cell>
          <cell r="D680" t="str">
            <v>м2</v>
          </cell>
          <cell r="E680">
            <v>8.8305000000000007</v>
          </cell>
          <cell r="F680">
            <v>164.53</v>
          </cell>
          <cell r="G680">
            <v>1452.88</v>
          </cell>
        </row>
        <row r="681">
          <cell r="B681" t="str">
            <v>ЕН15-182-5</v>
          </cell>
          <cell r="C681" t="str">
            <v>Шпаклювання стель шпаклiвкою "Кнауф"</v>
          </cell>
          <cell r="D681" t="str">
            <v>100м2</v>
          </cell>
          <cell r="E681">
            <v>0.1154</v>
          </cell>
          <cell r="F681">
            <v>5798.68</v>
          </cell>
          <cell r="G681">
            <v>669.17</v>
          </cell>
        </row>
        <row r="682">
          <cell r="B682" t="str">
            <v>С111-233-3</v>
          </cell>
          <cell r="C682" t="str">
            <v>Грунтовка "Кнауф-Тифенгрунд"</v>
          </cell>
          <cell r="D682" t="str">
            <v>кг</v>
          </cell>
          <cell r="E682">
            <v>2.8849999999999998</v>
          </cell>
          <cell r="F682">
            <v>34.61</v>
          </cell>
          <cell r="G682">
            <v>99.85</v>
          </cell>
        </row>
        <row r="683">
          <cell r="B683" t="str">
            <v>С111-1896-1</v>
          </cell>
          <cell r="C683" t="str">
            <v>Шпаклiвка Кнауф САТЕНГИПС</v>
          </cell>
          <cell r="D683" t="str">
            <v>кг</v>
          </cell>
          <cell r="E683">
            <v>13.848000000000001</v>
          </cell>
          <cell r="F683">
            <v>6.66</v>
          </cell>
          <cell r="G683">
            <v>92.23</v>
          </cell>
        </row>
        <row r="684">
          <cell r="B684" t="str">
            <v>ЕН15-179-6</v>
          </cell>
          <cell r="C684" t="str">
            <v>Полiпшене фарбування стель
полiвiнiлацетатними водоемульсiйними
сумiшами по збiрних конструкцiях,
пiдготовлених пiд фарбування</v>
          </cell>
          <cell r="D684" t="str">
            <v>100м2</v>
          </cell>
          <cell r="E684">
            <v>0.1154</v>
          </cell>
          <cell r="F684">
            <v>2948.61</v>
          </cell>
          <cell r="G684">
            <v>340.27</v>
          </cell>
        </row>
        <row r="685">
          <cell r="B685" t="str">
            <v>С111-233-3</v>
          </cell>
          <cell r="C685" t="str">
            <v>Грунтовка "Кнауф-Тифенгрунд"</v>
          </cell>
          <cell r="D685" t="str">
            <v>кг</v>
          </cell>
          <cell r="E685">
            <v>2.8849999999999998</v>
          </cell>
          <cell r="F685">
            <v>34.61</v>
          </cell>
          <cell r="G685">
            <v>99.85</v>
          </cell>
        </row>
        <row r="686">
          <cell r="B686" t="str">
            <v>С111-1626-1</v>
          </cell>
          <cell r="C686" t="str">
            <v>Фарба водоемульсійна</v>
          </cell>
          <cell r="D686" t="str">
            <v>кг</v>
          </cell>
          <cell r="E686">
            <v>4.3852000000000002</v>
          </cell>
          <cell r="F686">
            <v>119.02</v>
          </cell>
          <cell r="G686">
            <v>521.92999999999995</v>
          </cell>
        </row>
        <row r="687">
          <cell r="B687" t="str">
            <v>ЕН15-46-6</v>
          </cell>
          <cell r="C687" t="str">
            <v>Поліпшенене штукатурення цементно-
вапняним розчином по каменю i бетону
стін вручну</v>
          </cell>
          <cell r="D687" t="str">
            <v>100м2</v>
          </cell>
          <cell r="E687">
            <v>0.89570000000000005</v>
          </cell>
          <cell r="F687">
            <v>14425</v>
          </cell>
          <cell r="G687">
            <v>12920.47</v>
          </cell>
        </row>
        <row r="688">
          <cell r="B688" t="str">
            <v>ЕН15-182-4</v>
          </cell>
          <cell r="C688" t="str">
            <v>Шпаклювання стiн шпаклiвкою "Кнауф"</v>
          </cell>
          <cell r="D688" t="str">
            <v>100м2</v>
          </cell>
          <cell r="E688">
            <v>3.5975000000000001</v>
          </cell>
          <cell r="F688">
            <v>4420.88</v>
          </cell>
          <cell r="G688">
            <v>15904.12</v>
          </cell>
        </row>
        <row r="689">
          <cell r="B689" t="str">
            <v>С111-233-3</v>
          </cell>
          <cell r="C689" t="str">
            <v>Грунтовка "Кнауф-Тифенгрунд"</v>
          </cell>
          <cell r="D689" t="str">
            <v>кг</v>
          </cell>
          <cell r="E689">
            <v>89.9375</v>
          </cell>
          <cell r="F689">
            <v>34.61</v>
          </cell>
          <cell r="G689">
            <v>3112.74</v>
          </cell>
        </row>
        <row r="690">
          <cell r="B690" t="str">
            <v>С111-1896-1</v>
          </cell>
          <cell r="C690" t="str">
            <v>Шпаклiвка Кнауф САТЕНГИПС</v>
          </cell>
          <cell r="D690" t="str">
            <v>кг</v>
          </cell>
          <cell r="E690">
            <v>431.7</v>
          </cell>
          <cell r="F690">
            <v>6.66</v>
          </cell>
          <cell r="G690">
            <v>2875.12</v>
          </cell>
        </row>
        <row r="691">
          <cell r="B691" t="str">
            <v>ЕН15-179-5</v>
          </cell>
          <cell r="C691" t="str">
            <v>Полiпшене фарбування стiн
полiвiнiлацетатними водоемульсiйними
сумiшами по збiрних конструкцiях,
пiдготовлених пiд фарбування</v>
          </cell>
          <cell r="D691" t="str">
            <v>100м2</v>
          </cell>
          <cell r="E691">
            <v>3.5975000000000001</v>
          </cell>
          <cell r="F691">
            <v>2621.71</v>
          </cell>
          <cell r="G691">
            <v>9431.6</v>
          </cell>
        </row>
        <row r="692">
          <cell r="B692" t="str">
            <v>С111-233-5</v>
          </cell>
          <cell r="C692" t="str">
            <v>Грунтовка Super Base концентрована
"Farbex"</v>
          </cell>
          <cell r="D692" t="str">
            <v>кг</v>
          </cell>
          <cell r="E692">
            <v>13.875999999999999</v>
          </cell>
          <cell r="F692">
            <v>64.290000000000006</v>
          </cell>
          <cell r="G692">
            <v>892.09</v>
          </cell>
        </row>
        <row r="693">
          <cell r="B693" t="str">
            <v>С111-233-3</v>
          </cell>
          <cell r="C693" t="str">
            <v>Грунтовка "Кнауф-Тифенгрунд"</v>
          </cell>
          <cell r="D693" t="str">
            <v>кг</v>
          </cell>
          <cell r="E693">
            <v>72.592500000000001</v>
          </cell>
          <cell r="F693">
            <v>34.61</v>
          </cell>
          <cell r="G693">
            <v>2512.4299999999998</v>
          </cell>
        </row>
        <row r="694">
          <cell r="B694" t="str">
            <v>С111-334</v>
          </cell>
          <cell r="C694" t="str">
            <v>Фарба водно-дисперсiйна акрiлатна  для
вологих приміщень " Wet rooms " TM Farbex</v>
          </cell>
          <cell r="D694" t="str">
            <v>т</v>
          </cell>
          <cell r="E694" t="str">
            <v>0,
0298334</v>
          </cell>
          <cell r="F694">
            <v>80366.679999999993</v>
          </cell>
          <cell r="G694">
            <v>2397.61</v>
          </cell>
        </row>
        <row r="695">
          <cell r="B695" t="str">
            <v>С111-1626-1</v>
          </cell>
          <cell r="C695" t="str">
            <v>Фарба водоемульсійна</v>
          </cell>
          <cell r="D695" t="str">
            <v>кг</v>
          </cell>
          <cell r="E695" t="str">
            <v>182,
8605075</v>
          </cell>
          <cell r="F695">
            <v>119.02</v>
          </cell>
          <cell r="G695">
            <v>21764.06</v>
          </cell>
        </row>
        <row r="696">
          <cell r="B696" t="str">
            <v>ЕН15-46-2</v>
          </cell>
          <cell r="C696" t="str">
            <v>Просте штукатурення цементно-
вапняним розчином по каменю i бетону
стін вручну</v>
          </cell>
          <cell r="D696" t="str">
            <v>100м2</v>
          </cell>
          <cell r="E696">
            <v>0.62450000000000006</v>
          </cell>
          <cell r="F696">
            <v>10289.19</v>
          </cell>
          <cell r="G696">
            <v>6425.6</v>
          </cell>
        </row>
        <row r="697">
          <cell r="B697" t="str">
            <v>ЕН15-25-3</v>
          </cell>
          <cell r="C697" t="str">
            <v>Облицювання поверхонь стін керамiчними
плитками на розчині із сухої клеючої суміші,
число плиток в 1 м2 понад 12 до 20 шт</v>
          </cell>
          <cell r="D697" t="str">
            <v>100м2</v>
          </cell>
          <cell r="E697">
            <v>0.62450000000000006</v>
          </cell>
          <cell r="F697">
            <v>19192</v>
          </cell>
          <cell r="G697">
            <v>11985.4</v>
          </cell>
        </row>
        <row r="698">
          <cell r="B698" t="str">
            <v>С111-233-4</v>
          </cell>
          <cell r="C698" t="str">
            <v>Грунтовка "Кнауф-Хафтемульсія"</v>
          </cell>
          <cell r="D698" t="str">
            <v>кг</v>
          </cell>
          <cell r="E698">
            <v>12.49</v>
          </cell>
          <cell r="F698">
            <v>130.59</v>
          </cell>
          <cell r="G698">
            <v>1631.07</v>
          </cell>
        </row>
        <row r="699">
          <cell r="B699" t="str">
            <v>С111-2000-5К</v>
          </cell>
          <cell r="C699" t="str">
            <v>Клеюча сумiш для плитки Кнауф
Флізенклебер</v>
          </cell>
          <cell r="D699" t="str">
            <v>кг</v>
          </cell>
          <cell r="E699">
            <v>243.55500000000001</v>
          </cell>
          <cell r="F699">
            <v>4.42</v>
          </cell>
          <cell r="G699">
            <v>1076.51</v>
          </cell>
        </row>
        <row r="700">
          <cell r="B700" t="str">
            <v>С111-258</v>
          </cell>
          <cell r="C700" t="str">
            <v>Плитки керамiчнi для внутрiшнього
облицювання стiн</v>
          </cell>
          <cell r="D700" t="str">
            <v>м2</v>
          </cell>
          <cell r="E700">
            <v>63.0745</v>
          </cell>
          <cell r="F700">
            <v>331.2</v>
          </cell>
          <cell r="G700">
            <v>20890.27</v>
          </cell>
        </row>
        <row r="701">
          <cell r="B701" t="str">
            <v>С111-2001-1</v>
          </cell>
          <cell r="C701" t="str">
            <v>Кольоровий шов 2-5мм Baumit PremiumFuge</v>
          </cell>
          <cell r="D701" t="str">
            <v>кг</v>
          </cell>
          <cell r="E701">
            <v>30.975200000000001</v>
          </cell>
          <cell r="F701">
            <v>119.53</v>
          </cell>
          <cell r="G701">
            <v>3702.47</v>
          </cell>
        </row>
        <row r="702">
          <cell r="B702" t="str">
            <v>С113-2088-1-2М</v>
          </cell>
          <cell r="C702" t="str">
            <v>Хрестики для плитки</v>
          </cell>
          <cell r="D702" t="str">
            <v>100шт</v>
          </cell>
          <cell r="E702">
            <v>6.41</v>
          </cell>
          <cell r="F702">
            <v>9.5399999999999991</v>
          </cell>
          <cell r="G702">
            <v>61.15</v>
          </cell>
        </row>
        <row r="703">
          <cell r="B703" t="str">
            <v>ЕН15-63-3</v>
          </cell>
          <cell r="C703" t="str">
            <v>Улаштування обшивки укосів
гіпсокартонними і гіпсоволокнистими
листами з кріпленням шурупами з
улаштуванням металевого каркасу з
утепленням мінераловатними плитами</v>
          </cell>
          <cell r="D703" t="str">
            <v>100м2</v>
          </cell>
          <cell r="E703">
            <v>0.14200000000000002</v>
          </cell>
          <cell r="F703">
            <v>31684.94</v>
          </cell>
          <cell r="G703">
            <v>4499.26</v>
          </cell>
        </row>
        <row r="704">
          <cell r="B704" t="str">
            <v>С114-21-У-1</v>
          </cell>
          <cell r="C704" t="str">
            <v>Утеплювач  "Termolife"  тип "ТЛ
Eколайт"товщина 50мм</v>
          </cell>
          <cell r="D704" t="str">
            <v>м2</v>
          </cell>
          <cell r="E704">
            <v>14.484</v>
          </cell>
          <cell r="F704">
            <v>135.38999999999999</v>
          </cell>
          <cell r="G704">
            <v>1960.99</v>
          </cell>
        </row>
        <row r="705">
          <cell r="B705" t="str">
            <v>С126-1300-1</v>
          </cell>
          <cell r="C705" t="str">
            <v>Профілі CD60/27</v>
          </cell>
          <cell r="D705" t="str">
            <v>м</v>
          </cell>
          <cell r="E705">
            <v>65</v>
          </cell>
          <cell r="F705">
            <v>24.96</v>
          </cell>
          <cell r="G705">
            <v>1622.4</v>
          </cell>
        </row>
        <row r="706">
          <cell r="B706" t="str">
            <v>С126-1300-1-В2</v>
          </cell>
          <cell r="C706" t="str">
            <v>Профілі UD28/27</v>
          </cell>
          <cell r="D706" t="str">
            <v>м</v>
          </cell>
          <cell r="E706">
            <v>47</v>
          </cell>
          <cell r="F706">
            <v>11.71</v>
          </cell>
          <cell r="G706">
            <v>550.37</v>
          </cell>
        </row>
        <row r="707">
          <cell r="B707" t="str">
            <v>С1545-42-1-М</v>
          </cell>
          <cell r="C707" t="str">
            <v>Дюбель 6х60</v>
          </cell>
          <cell r="D707" t="str">
            <v>шт</v>
          </cell>
          <cell r="E707">
            <v>39</v>
          </cell>
          <cell r="F707">
            <v>0.65</v>
          </cell>
          <cell r="G707">
            <v>25.35</v>
          </cell>
        </row>
        <row r="708">
          <cell r="B708" t="str">
            <v>С111-136-3-5Ц</v>
          </cell>
          <cell r="C708" t="str">
            <v>Дюбель 6х40</v>
          </cell>
          <cell r="D708" t="str">
            <v>шт</v>
          </cell>
          <cell r="E708">
            <v>170</v>
          </cell>
          <cell r="F708">
            <v>0.53</v>
          </cell>
          <cell r="G708">
            <v>90.1</v>
          </cell>
        </row>
        <row r="709">
          <cell r="B709" t="str">
            <v>С111-1479-1-24</v>
          </cell>
          <cell r="C709" t="str">
            <v>Саморез 3,5х25 мм</v>
          </cell>
          <cell r="D709" t="str">
            <v>шт.</v>
          </cell>
          <cell r="E709">
            <v>651</v>
          </cell>
          <cell r="F709">
            <v>0.19</v>
          </cell>
          <cell r="G709">
            <v>123.69</v>
          </cell>
        </row>
        <row r="710">
          <cell r="B710" t="str">
            <v>С111-1849-2</v>
          </cell>
          <cell r="C710" t="str">
            <v>Саморізи 3,5х9,5</v>
          </cell>
          <cell r="D710" t="str">
            <v>шт</v>
          </cell>
          <cell r="E710">
            <v>237</v>
          </cell>
          <cell r="F710">
            <v>0.16</v>
          </cell>
          <cell r="G710">
            <v>37.92</v>
          </cell>
        </row>
        <row r="711">
          <cell r="B711" t="str">
            <v>С1428-11867</v>
          </cell>
          <cell r="C711" t="str">
            <v>Листи гiпсокартоннi, товщина 12 мм</v>
          </cell>
          <cell r="D711" t="str">
            <v>м2</v>
          </cell>
          <cell r="E711">
            <v>14.91</v>
          </cell>
          <cell r="F711">
            <v>100.25</v>
          </cell>
          <cell r="G711">
            <v>1494.73</v>
          </cell>
        </row>
        <row r="712">
          <cell r="B712" t="str">
            <v>ЕН15-63-2</v>
          </cell>
          <cell r="C712" t="str">
            <v>Улаштування обшивки укосів
гіпсокартонними і гіпсоволокнистими
листами з кріпленням на клеї</v>
          </cell>
          <cell r="D712" t="str">
            <v>100м2</v>
          </cell>
          <cell r="E712">
            <v>8.2000000000000003E-2</v>
          </cell>
          <cell r="F712">
            <v>15933.89</v>
          </cell>
          <cell r="G712">
            <v>1306.58</v>
          </cell>
        </row>
        <row r="713">
          <cell r="B713" t="str">
            <v>С111-329-12</v>
          </cell>
          <cell r="C713" t="str">
            <v>Клей "Перфликс" KNAUF</v>
          </cell>
          <cell r="D713" t="str">
            <v>кг</v>
          </cell>
          <cell r="E713">
            <v>41</v>
          </cell>
          <cell r="F713">
            <v>8.19</v>
          </cell>
          <cell r="G713">
            <v>335.79</v>
          </cell>
        </row>
        <row r="714">
          <cell r="B714" t="str">
            <v>С1428-11867</v>
          </cell>
          <cell r="C714" t="str">
            <v>Листи гiпсокартоннi, товщина 12 мм</v>
          </cell>
          <cell r="D714" t="str">
            <v>м2</v>
          </cell>
          <cell r="E714">
            <v>8.61</v>
          </cell>
          <cell r="F714">
            <v>100.25</v>
          </cell>
          <cell r="G714">
            <v>863.15</v>
          </cell>
        </row>
        <row r="715">
          <cell r="B715" t="str">
            <v>ЕН15-182-4</v>
          </cell>
          <cell r="C715" t="str">
            <v>Шпаклювання укосів шпаклiвкою "Кнауф"</v>
          </cell>
          <cell r="D715" t="str">
            <v>100м2</v>
          </cell>
          <cell r="E715">
            <v>0.224</v>
          </cell>
          <cell r="F715">
            <v>4420.88</v>
          </cell>
          <cell r="G715">
            <v>990.28</v>
          </cell>
        </row>
        <row r="716">
          <cell r="B716" t="str">
            <v>С111-233-3</v>
          </cell>
          <cell r="C716" t="str">
            <v>Грунтовка "Кнауф-Тифенгрунд"</v>
          </cell>
          <cell r="D716" t="str">
            <v>кг</v>
          </cell>
          <cell r="E716">
            <v>5.6</v>
          </cell>
          <cell r="F716">
            <v>34.61</v>
          </cell>
          <cell r="G716">
            <v>193.82</v>
          </cell>
        </row>
        <row r="717">
          <cell r="B717" t="str">
            <v>С111-1896-1</v>
          </cell>
          <cell r="C717" t="str">
            <v>Шпаклiвка Кнауф САТЕНГИПС</v>
          </cell>
          <cell r="D717" t="str">
            <v>кг</v>
          </cell>
          <cell r="E717">
            <v>26.88</v>
          </cell>
          <cell r="F717">
            <v>6.66</v>
          </cell>
          <cell r="G717">
            <v>179.02</v>
          </cell>
        </row>
        <row r="718">
          <cell r="B718" t="str">
            <v>ЕН15-179-5</v>
          </cell>
          <cell r="C718" t="str">
            <v>Полiпшене фарбування стiн
полiвiнiлацетатними водоемульсiйними
сумiшами по збiрних конструкцiях,
пiдготовлених пiд фарбування</v>
          </cell>
          <cell r="D718" t="str">
            <v>100м2</v>
          </cell>
          <cell r="E718">
            <v>0.224</v>
          </cell>
          <cell r="F718">
            <v>2621.71</v>
          </cell>
          <cell r="G718">
            <v>587.26</v>
          </cell>
        </row>
        <row r="719">
          <cell r="B719" t="str">
            <v>С111-233-5</v>
          </cell>
          <cell r="C719" t="str">
            <v>Грунтовка Super Base концентрована
"Farbex"</v>
          </cell>
          <cell r="D719" t="str">
            <v>кг</v>
          </cell>
          <cell r="E719">
            <v>4.4800000000000004</v>
          </cell>
          <cell r="F719">
            <v>64.290000000000006</v>
          </cell>
          <cell r="G719">
            <v>288.02</v>
          </cell>
        </row>
        <row r="720">
          <cell r="B720" t="str">
            <v>С111-1626-1</v>
          </cell>
          <cell r="C720" t="str">
            <v>Фарба водоемульсійна</v>
          </cell>
          <cell r="D720" t="str">
            <v>кг</v>
          </cell>
          <cell r="E720">
            <v>9.6319999999999997</v>
          </cell>
          <cell r="F720">
            <v>119.02</v>
          </cell>
          <cell r="G720">
            <v>1146.4000000000001</v>
          </cell>
        </row>
        <row r="721">
          <cell r="B721" t="str">
            <v>ЕН15-51-1</v>
          </cell>
          <cell r="C721" t="str">
            <v>Штукатурення вiконних i дверних плоских
косякiв по каменю i бетону</v>
          </cell>
          <cell r="D721" t="str">
            <v>100м2</v>
          </cell>
          <cell r="E721">
            <v>8.500000000000002E-2</v>
          </cell>
          <cell r="F721">
            <v>30459.35</v>
          </cell>
          <cell r="G721">
            <v>2589.04</v>
          </cell>
        </row>
        <row r="722">
          <cell r="B722" t="str">
            <v>ЕН15-179-3</v>
          </cell>
          <cell r="C722" t="str">
            <v>Полiпшене фарбування стiн
полiвiнiлацетатними водоемульсiйними
сумiшами по штукатурцi</v>
          </cell>
          <cell r="D722" t="str">
            <v>100м2</v>
          </cell>
          <cell r="E722">
            <v>8.500000000000002E-2</v>
          </cell>
          <cell r="F722">
            <v>8024.09</v>
          </cell>
          <cell r="G722">
            <v>682.05</v>
          </cell>
        </row>
        <row r="723">
          <cell r="B723" t="str">
            <v>С111-233-5</v>
          </cell>
          <cell r="C723" t="str">
            <v>Грунтовка Super Base концентрована
"Farbex"</v>
          </cell>
          <cell r="D723" t="str">
            <v>кг</v>
          </cell>
          <cell r="E723">
            <v>1.7000000000000002</v>
          </cell>
          <cell r="F723">
            <v>64.290000000000006</v>
          </cell>
          <cell r="G723">
            <v>109.29</v>
          </cell>
        </row>
        <row r="724">
          <cell r="B724" t="str">
            <v>С111-1626-1</v>
          </cell>
          <cell r="C724" t="str">
            <v>Фарба водоемульсійна</v>
          </cell>
          <cell r="D724" t="str">
            <v>кг</v>
          </cell>
          <cell r="E724">
            <v>3.6550000000000002</v>
          </cell>
          <cell r="F724">
            <v>119.02</v>
          </cell>
          <cell r="G724">
            <v>435.02</v>
          </cell>
        </row>
        <row r="725">
          <cell r="B725" t="str">
            <v>Е12-20-3</v>
          </cell>
          <cell r="C725" t="str">
            <v>Улаштування пароiзоляцiї прокладної в
один шар</v>
          </cell>
          <cell r="D725" t="str">
            <v>100м2</v>
          </cell>
          <cell r="E725">
            <v>1.7810000000000001</v>
          </cell>
          <cell r="F725">
            <v>2819.69</v>
          </cell>
          <cell r="G725">
            <v>5021.87</v>
          </cell>
        </row>
        <row r="726">
          <cell r="B726" t="str">
            <v>С111-857</v>
          </cell>
          <cell r="C726" t="str">
            <v>Руберойд пiдкладний Біполь ЕПП 3,0</v>
          </cell>
          <cell r="D726" t="str">
            <v>м2</v>
          </cell>
          <cell r="E726">
            <v>195.91</v>
          </cell>
          <cell r="F726">
            <v>91.93</v>
          </cell>
          <cell r="G726">
            <v>18010.009999999998</v>
          </cell>
        </row>
        <row r="727">
          <cell r="B727" t="str">
            <v>Е9-40-1</v>
          </cell>
          <cell r="C727" t="str">
            <v>Монтаж стальних плiнтусiв iз гнутого
профiлю</v>
          </cell>
          <cell r="D727" t="str">
            <v>100м</v>
          </cell>
          <cell r="E727">
            <v>7.5140000000000002</v>
          </cell>
          <cell r="F727">
            <v>1395.51</v>
          </cell>
          <cell r="G727">
            <v>10485.86</v>
          </cell>
        </row>
        <row r="728">
          <cell r="B728" t="str">
            <v>С126-1300-1</v>
          </cell>
          <cell r="C728" t="str">
            <v>Профілі CW 50 ф. Кнауф</v>
          </cell>
          <cell r="D728" t="str">
            <v>м</v>
          </cell>
          <cell r="E728">
            <v>751.4</v>
          </cell>
          <cell r="F728">
            <v>25.63</v>
          </cell>
          <cell r="G728">
            <v>19258.38</v>
          </cell>
        </row>
        <row r="729">
          <cell r="B729" t="str">
            <v>ЕН11-9-1</v>
          </cell>
          <cell r="C729" t="str">
            <v>Улаштування тепло- i звукоiзоляцiї
суцiльної з плит або мат мiнераловатних
або скловолокнистих</v>
          </cell>
          <cell r="D729" t="str">
            <v>100м2</v>
          </cell>
          <cell r="E729">
            <v>1.7810000000000001</v>
          </cell>
          <cell r="F729">
            <v>2128.41</v>
          </cell>
          <cell r="G729">
            <v>3790.7</v>
          </cell>
        </row>
        <row r="730">
          <cell r="B730" t="str">
            <v>С114-4-У-2</v>
          </cell>
          <cell r="C730" t="str">
            <v>Плити "TERMOLIFE" тип "ТЛ КРОВЛЯ В"
товщ. 50мм</v>
          </cell>
          <cell r="D730" t="str">
            <v>м3</v>
          </cell>
          <cell r="E730">
            <v>9.0831</v>
          </cell>
          <cell r="F730">
            <v>1770.54</v>
          </cell>
          <cell r="G730">
            <v>16081.99</v>
          </cell>
        </row>
        <row r="731">
          <cell r="B731" t="str">
            <v>ЕН11-37-3</v>
          </cell>
          <cell r="C731" t="str">
            <v>Улаштування покриттів з плит
деревноволокнистих</v>
          </cell>
          <cell r="D731" t="str">
            <v>100м2</v>
          </cell>
          <cell r="E731">
            <v>1.7810000000000001</v>
          </cell>
          <cell r="F731">
            <v>3459.6</v>
          </cell>
          <cell r="G731">
            <v>6161.55</v>
          </cell>
        </row>
        <row r="732">
          <cell r="B732" t="str">
            <v>С111-741</v>
          </cell>
          <cell r="C732" t="str">
            <v>Плита AQUAPANEL ф.Кнауф</v>
          </cell>
          <cell r="D732" t="str">
            <v>м2</v>
          </cell>
          <cell r="E732">
            <v>181.66200000000001</v>
          </cell>
          <cell r="F732">
            <v>569.35</v>
          </cell>
          <cell r="G732">
            <v>103429.26</v>
          </cell>
        </row>
        <row r="733">
          <cell r="B733" t="str">
            <v>С111-1480-2</v>
          </cell>
          <cell r="C733" t="str">
            <v>Шуруп AQUAPANEL Maxi SN 25мм</v>
          </cell>
          <cell r="D733" t="str">
            <v>шт</v>
          </cell>
          <cell r="E733">
            <v>2672</v>
          </cell>
          <cell r="F733">
            <v>0.14000000000000001</v>
          </cell>
          <cell r="G733">
            <v>374.08</v>
          </cell>
        </row>
        <row r="734">
          <cell r="B734" t="str">
            <v>С111-2001-7Н</v>
          </cell>
          <cell r="C734" t="str">
            <v>Клей для швiв AQUAPANEL Fugenkleber
(PU) 310мл</v>
          </cell>
          <cell r="D734" t="str">
            <v>шт</v>
          </cell>
          <cell r="E734">
            <v>29</v>
          </cell>
          <cell r="F734">
            <v>362.44</v>
          </cell>
          <cell r="G734">
            <v>10510.76</v>
          </cell>
        </row>
        <row r="735">
          <cell r="B735" t="str">
            <v>С111-2015-Н</v>
          </cell>
          <cell r="C735" t="str">
            <v>Гідроізоляція Флехендихт ф.Кнауф</v>
          </cell>
          <cell r="D735" t="str">
            <v>кг</v>
          </cell>
          <cell r="E735">
            <v>8.67</v>
          </cell>
          <cell r="F735">
            <v>150.63999999999999</v>
          </cell>
          <cell r="G735">
            <v>1306.05</v>
          </cell>
        </row>
        <row r="736">
          <cell r="B736" t="str">
            <v>С111-1678-2-Х</v>
          </cell>
          <cell r="C736" t="str">
            <v>Стрiчка гідроізоляційна Флехендихтбанд
ф.Кнауф</v>
          </cell>
          <cell r="D736" t="str">
            <v>м</v>
          </cell>
          <cell r="E736">
            <v>86.7</v>
          </cell>
          <cell r="F736">
            <v>64.88</v>
          </cell>
          <cell r="G736">
            <v>5625.1</v>
          </cell>
        </row>
        <row r="737">
          <cell r="B737" t="str">
            <v>ЕН15-165-3</v>
          </cell>
          <cell r="C737" t="str">
            <v>Полiпшене фарбування плит перекриття</v>
          </cell>
          <cell r="D737" t="str">
            <v>100м2</v>
          </cell>
          <cell r="E737">
            <v>1.7810000000000001</v>
          </cell>
          <cell r="F737">
            <v>5385.47</v>
          </cell>
          <cell r="G737">
            <v>9591.52</v>
          </cell>
        </row>
        <row r="738">
          <cell r="B738" t="str">
            <v>С1113-246</v>
          </cell>
          <cell r="C738" t="str">
            <v>Емаль антикорозiйна ПФ-115 сiра</v>
          </cell>
          <cell r="D738" t="str">
            <v>т</v>
          </cell>
          <cell r="E738">
            <v>4.4524999999999995E-2</v>
          </cell>
          <cell r="F738">
            <v>83517.570000000007</v>
          </cell>
          <cell r="G738">
            <v>3718.62</v>
          </cell>
        </row>
        <row r="739">
          <cell r="B739" t="str">
            <v>ЕН26-33-1</v>
          </cell>
          <cell r="C739" t="str">
            <v>Теплоiзоляцiя покриттiв i перекриттiв
виробами з волокнистих i зернистих
матерiалiв "насухо"</v>
          </cell>
          <cell r="D739" t="str">
            <v>1 м3</v>
          </cell>
          <cell r="E739">
            <v>0.60000000000000009</v>
          </cell>
          <cell r="F739">
            <v>1153.6099999999999</v>
          </cell>
          <cell r="G739">
            <v>692.17</v>
          </cell>
        </row>
        <row r="740">
          <cell r="B740" t="str">
            <v>С114-4-У-2</v>
          </cell>
          <cell r="C740" t="str">
            <v>Плити "TERMOLIFE" тип "ТЛ КРОВЛЯ В"
товщ. 50мм</v>
          </cell>
          <cell r="D740" t="str">
            <v>м3</v>
          </cell>
          <cell r="E740">
            <v>0.60000000000000009</v>
          </cell>
          <cell r="F740">
            <v>1770.54</v>
          </cell>
          <cell r="G740">
            <v>1062.32</v>
          </cell>
        </row>
        <row r="741">
          <cell r="B741" t="str">
            <v>ЕН8-3-5</v>
          </cell>
          <cell r="C741" t="str">
            <v>Гiдроiзоляцiя стiн, фундаментiв бокова
обклеювальна по вирiвнянiй поверхнi
бутового мурування, цеглi й бетону в 2
шари</v>
          </cell>
          <cell r="D741" t="str">
            <v>100м2</v>
          </cell>
          <cell r="E741">
            <v>0.61199999999999999</v>
          </cell>
          <cell r="F741">
            <v>3473.85</v>
          </cell>
          <cell r="G741">
            <v>2126</v>
          </cell>
        </row>
        <row r="742">
          <cell r="B742" t="str">
            <v>С111-72-2</v>
          </cell>
          <cell r="C742" t="str">
            <v>Праймер бітумний готовий до застосування
"Технониколь-1"</v>
          </cell>
          <cell r="D742" t="str">
            <v>т</v>
          </cell>
          <cell r="E742">
            <v>0.26928000000000002</v>
          </cell>
          <cell r="F742">
            <v>78784.53</v>
          </cell>
          <cell r="G742">
            <v>21215.1</v>
          </cell>
        </row>
        <row r="743">
          <cell r="B743" t="str">
            <v>С111-861-1-15</v>
          </cell>
          <cell r="C743" t="str">
            <v>Техноеласт ЕПП</v>
          </cell>
          <cell r="D743" t="str">
            <v>м2</v>
          </cell>
          <cell r="E743">
            <v>140.76</v>
          </cell>
          <cell r="F743">
            <v>143.18</v>
          </cell>
          <cell r="G743">
            <v>20154.02</v>
          </cell>
        </row>
        <row r="744">
          <cell r="B744" t="str">
            <v>С111-72-2</v>
          </cell>
          <cell r="C744" t="str">
            <v>Праймер бітумний готовий до застосування
"Технониколь-1"</v>
          </cell>
          <cell r="D744" t="str">
            <v>т</v>
          </cell>
          <cell r="E744">
            <v>4.8960000000000004E-2</v>
          </cell>
          <cell r="F744">
            <v>78784.53</v>
          </cell>
          <cell r="G744">
            <v>3857.29</v>
          </cell>
        </row>
        <row r="745">
          <cell r="B745" t="str">
            <v>ПР15-4064</v>
          </cell>
          <cell r="C745" t="str">
            <v>Облицювання фасадів плитами з
пенополістиролу на розчинній суміші
"Ceresit-85" із пристроєм декоративних
елементів, облицювання з землі, лісів,
риштованнь (Теплоiзоляцiя виробами з
пiнопласту )</v>
          </cell>
          <cell r="D745" t="str">
            <v>100 м2</v>
          </cell>
          <cell r="E745">
            <v>0.61199999999999999</v>
          </cell>
          <cell r="F745">
            <v>6258.88</v>
          </cell>
          <cell r="G745">
            <v>3830.43</v>
          </cell>
        </row>
        <row r="746">
          <cell r="B746" t="str">
            <v>С114-97-Н</v>
          </cell>
          <cell r="C746" t="str">
            <v>Плити теплоiзоляцiйнi з екструзійного
пінополістиролу "XPS CARBON PROF 300
RF" "ТехноНІКОЛЬ" б=100мм</v>
          </cell>
          <cell r="D746" t="str">
            <v>м3</v>
          </cell>
          <cell r="E746">
            <v>0.63036000000000003</v>
          </cell>
          <cell r="F746">
            <v>2822.31</v>
          </cell>
          <cell r="G746">
            <v>1779.07</v>
          </cell>
        </row>
        <row r="747">
          <cell r="B747" t="str">
            <v>РН12-46-4</v>
          </cell>
          <cell r="C747" t="str">
            <v>Оклеювання стiн тканинами (Гiдроiзоляцiя
з Профільованоі мембрани Planter standart
ТехноНІКОЛЬ)</v>
          </cell>
          <cell r="D747" t="str">
            <v>100м2</v>
          </cell>
          <cell r="E747">
            <v>0.61199999999999999</v>
          </cell>
          <cell r="F747">
            <v>2420.7399999999998</v>
          </cell>
          <cell r="G747">
            <v>1481.49</v>
          </cell>
        </row>
        <row r="748">
          <cell r="B748" t="str">
            <v>С111-72-2</v>
          </cell>
          <cell r="C748" t="str">
            <v>Праймер бітумний готовий до застосування
"Технониколь-1"</v>
          </cell>
          <cell r="D748" t="str">
            <v>т</v>
          </cell>
          <cell r="E748">
            <v>0.14076000000000002</v>
          </cell>
          <cell r="F748">
            <v>78784.53</v>
          </cell>
          <cell r="G748">
            <v>11089.71</v>
          </cell>
        </row>
        <row r="749">
          <cell r="B749" t="str">
            <v>С1632-80-Н</v>
          </cell>
          <cell r="C749" t="str">
            <v>Профільована мембрана Planter standart
ф.ТехноНІКОЛЬ</v>
          </cell>
          <cell r="D749" t="str">
            <v>м2</v>
          </cell>
          <cell r="E749">
            <v>64.260000000000005</v>
          </cell>
          <cell r="F749">
            <v>48.46</v>
          </cell>
          <cell r="G749">
            <v>3114.04</v>
          </cell>
        </row>
        <row r="750">
          <cell r="B750" t="str">
            <v>С111-136-3Н</v>
          </cell>
          <cell r="C750" t="str">
            <v>Дюбелі фасадні LMX-10120 ф.Baumit</v>
          </cell>
          <cell r="D750" t="str">
            <v>шт</v>
          </cell>
          <cell r="E750">
            <v>367.2</v>
          </cell>
          <cell r="F750">
            <v>3.97</v>
          </cell>
          <cell r="G750">
            <v>1457.78</v>
          </cell>
        </row>
        <row r="751">
          <cell r="B751" t="str">
            <v>С111-1904-1Н</v>
          </cell>
          <cell r="C751" t="str">
            <v>Кріпеж Технониколь №1</v>
          </cell>
          <cell r="D751" t="str">
            <v>шт</v>
          </cell>
          <cell r="E751">
            <v>244.8</v>
          </cell>
          <cell r="F751">
            <v>4.53</v>
          </cell>
          <cell r="G751">
            <v>1108.94</v>
          </cell>
        </row>
        <row r="752">
          <cell r="B752" t="str">
            <v>ХБ2-1</v>
          </cell>
          <cell r="C752" t="str">
            <v>Улаштування теплоізоляції вертикальних
будівельних конструкцій з дрібноштучних
стінових матеріалів із застосуванням
системи утеплення CERESIT ППС при
товщині плити від 50 мм до 120 мм,
фінішний шар - штукатурка декоратина</v>
          </cell>
          <cell r="D752" t="str">
            <v>100м2</v>
          </cell>
          <cell r="E752">
            <v>0.36299999999999999</v>
          </cell>
          <cell r="F752">
            <v>35410.839999999997</v>
          </cell>
          <cell r="G752">
            <v>12854.13</v>
          </cell>
        </row>
        <row r="753">
          <cell r="B753" t="str">
            <v>С111-1624-2</v>
          </cell>
          <cell r="C753" t="str">
            <v>Глибокопроникна грунтувальна суміш
Baumin Grund</v>
          </cell>
          <cell r="D753" t="str">
            <v>л</v>
          </cell>
          <cell r="E753">
            <v>14.52</v>
          </cell>
          <cell r="F753">
            <v>36.049999999999997</v>
          </cell>
          <cell r="G753">
            <v>523.45000000000005</v>
          </cell>
        </row>
        <row r="754">
          <cell r="B754" t="str">
            <v>С111-2011-7Н</v>
          </cell>
          <cell r="C754" t="str">
            <v>Клейова сумiш Baumit NivoFix</v>
          </cell>
          <cell r="D754" t="str">
            <v>кг</v>
          </cell>
          <cell r="E754">
            <v>217.8</v>
          </cell>
          <cell r="F754">
            <v>9.57</v>
          </cell>
          <cell r="G754">
            <v>2084.35</v>
          </cell>
        </row>
        <row r="755">
          <cell r="B755" t="str">
            <v>С114-97-Н</v>
          </cell>
          <cell r="C755" t="str">
            <v>Плити теплоiзоляцiйнi з екструзійного
пінополістиролу "XPS CARBON PROF 300
RF" "ТехноНІКОЛЬ" б=100мм</v>
          </cell>
          <cell r="D755" t="str">
            <v>м3</v>
          </cell>
          <cell r="E755">
            <v>3.9929999999999999</v>
          </cell>
          <cell r="F755">
            <v>2822.31</v>
          </cell>
          <cell r="G755">
            <v>11269.48</v>
          </cell>
        </row>
        <row r="756">
          <cell r="B756" t="str">
            <v>С111-2011-7Н</v>
          </cell>
          <cell r="C756" t="str">
            <v>Клейова шпаклювальна сумiш Baumit
ProContact-1-1.5мм</v>
          </cell>
          <cell r="D756" t="str">
            <v>кг</v>
          </cell>
          <cell r="E756">
            <v>47.19</v>
          </cell>
          <cell r="F756">
            <v>15.37</v>
          </cell>
          <cell r="G756">
            <v>725.31</v>
          </cell>
        </row>
        <row r="757">
          <cell r="B757" t="str">
            <v>С111-1784-1Н</v>
          </cell>
          <cell r="C757" t="str">
            <v>Склосітка Baumit StarTex</v>
          </cell>
          <cell r="D757" t="str">
            <v>м2</v>
          </cell>
          <cell r="E757">
            <v>41.744999999999997</v>
          </cell>
          <cell r="F757">
            <v>50.6</v>
          </cell>
          <cell r="G757">
            <v>2112.3000000000002</v>
          </cell>
        </row>
        <row r="758">
          <cell r="B758" t="str">
            <v>С111-2011-7Н</v>
          </cell>
          <cell r="C758" t="str">
            <v>Клейова шпаклювальна сумiш Baumit
ProContact-1-1.5мм</v>
          </cell>
          <cell r="D758" t="str">
            <v>кг</v>
          </cell>
          <cell r="E758">
            <v>47.19</v>
          </cell>
          <cell r="F758">
            <v>15.37</v>
          </cell>
          <cell r="G758">
            <v>725.31</v>
          </cell>
        </row>
        <row r="759">
          <cell r="B759" t="str">
            <v>Е13-39-4</v>
          </cell>
          <cell r="C759" t="str">
            <v>Обклеювання склосіткою, доп. шар</v>
          </cell>
          <cell r="D759" t="str">
            <v>м2</v>
          </cell>
          <cell r="E759">
            <v>36.299999999999997</v>
          </cell>
          <cell r="F759">
            <v>48.73</v>
          </cell>
          <cell r="G759">
            <v>1768.9</v>
          </cell>
        </row>
        <row r="760">
          <cell r="B760" t="str">
            <v>С111-1784-1Н</v>
          </cell>
          <cell r="C760" t="str">
            <v>Склосітка Baumit StrongTex</v>
          </cell>
          <cell r="D760" t="str">
            <v>м2</v>
          </cell>
          <cell r="E760">
            <v>39.567</v>
          </cell>
          <cell r="F760">
            <v>153.91</v>
          </cell>
          <cell r="G760">
            <v>6089.76</v>
          </cell>
        </row>
        <row r="761">
          <cell r="B761" t="str">
            <v>С111-2011-7Н</v>
          </cell>
          <cell r="C761" t="str">
            <v>Клейова шпаклювальна сумiш Baumit
ProContact-2.5-3мм</v>
          </cell>
          <cell r="D761" t="str">
            <v>кг</v>
          </cell>
          <cell r="E761">
            <v>98.01</v>
          </cell>
          <cell r="F761">
            <v>15.37</v>
          </cell>
          <cell r="G761">
            <v>1506.41</v>
          </cell>
        </row>
        <row r="762">
          <cell r="B762" t="str">
            <v>С111-1624-2</v>
          </cell>
          <cell r="C762" t="str">
            <v>Грунтувальна суміш Baumit UniPrimer</v>
          </cell>
          <cell r="D762" t="str">
            <v>л</v>
          </cell>
          <cell r="E762">
            <v>6.1710000000000003</v>
          </cell>
          <cell r="F762">
            <v>58.93</v>
          </cell>
          <cell r="G762">
            <v>363.66</v>
          </cell>
        </row>
        <row r="763">
          <cell r="B763" t="str">
            <v>С111-2012-2Н</v>
          </cell>
          <cell r="C763" t="str">
            <v>Штукатурка Baumit MosaikTop</v>
          </cell>
          <cell r="D763" t="str">
            <v>кг</v>
          </cell>
          <cell r="E763">
            <v>98.01</v>
          </cell>
          <cell r="F763">
            <v>116.86</v>
          </cell>
          <cell r="G763">
            <v>11453.45</v>
          </cell>
        </row>
        <row r="764">
          <cell r="B764" t="str">
            <v>С111-203-2-Ц</v>
          </cell>
          <cell r="C764" t="str">
            <v>Цокольний профіль</v>
          </cell>
          <cell r="D764" t="str">
            <v>м</v>
          </cell>
          <cell r="E764">
            <v>1.1979</v>
          </cell>
          <cell r="F764">
            <v>82.01</v>
          </cell>
          <cell r="G764">
            <v>98.24</v>
          </cell>
        </row>
        <row r="765">
          <cell r="B765" t="str">
            <v>С111-136-3Н</v>
          </cell>
          <cell r="C765" t="str">
            <v>Дюбелі фасадні LMX-10120 ф.Baumit</v>
          </cell>
          <cell r="D765" t="str">
            <v>шт</v>
          </cell>
          <cell r="E765">
            <v>217.8</v>
          </cell>
          <cell r="F765">
            <v>3.97</v>
          </cell>
          <cell r="G765">
            <v>864.67</v>
          </cell>
        </row>
        <row r="766">
          <cell r="B766" t="str">
            <v>ЕН8-11-1</v>
          </cell>
          <cell r="C766" t="str">
            <v>Армування мурування стiн та iнших
конструкцiй</v>
          </cell>
          <cell r="D766" t="str">
            <v>1 т</v>
          </cell>
          <cell r="E766">
            <v>4.1460000000000004E-2</v>
          </cell>
          <cell r="F766">
            <v>4241.87</v>
          </cell>
          <cell r="G766">
            <v>175.87</v>
          </cell>
        </row>
        <row r="767">
          <cell r="B767" t="str">
            <v>С124-64</v>
          </cell>
          <cell r="C767" t="str">
            <v>Деталi закладнi МН-3, МН-4</v>
          </cell>
          <cell r="D767" t="str">
            <v>т</v>
          </cell>
          <cell r="E767">
            <v>4.1460000000000004E-2</v>
          </cell>
          <cell r="F767">
            <v>57862.53</v>
          </cell>
          <cell r="G767">
            <v>2398.98</v>
          </cell>
        </row>
        <row r="768">
          <cell r="B768" t="str">
            <v>Е9-29-1</v>
          </cell>
          <cell r="C768" t="str">
            <v>Монтаж сходiв пожежних з огорожею</v>
          </cell>
          <cell r="D768" t="str">
            <v>т</v>
          </cell>
          <cell r="E768">
            <v>0.32150000000000001</v>
          </cell>
          <cell r="F768">
            <v>7081.89</v>
          </cell>
          <cell r="G768">
            <v>2276.83</v>
          </cell>
        </row>
        <row r="769">
          <cell r="B769" t="str">
            <v>С121-650</v>
          </cell>
          <cell r="C769" t="str">
            <v>Пожежна драбина ДП1</v>
          </cell>
          <cell r="D769" t="str">
            <v>т</v>
          </cell>
          <cell r="E769">
            <v>9.1800000000000007E-2</v>
          </cell>
          <cell r="F769">
            <v>28344.31</v>
          </cell>
          <cell r="G769">
            <v>2602.0100000000002</v>
          </cell>
        </row>
        <row r="770">
          <cell r="B770" t="str">
            <v>С121-650</v>
          </cell>
          <cell r="C770" t="str">
            <v>Пожежна драбина ДП2</v>
          </cell>
          <cell r="D770" t="str">
            <v>т</v>
          </cell>
          <cell r="E770">
            <v>0.22970000000000002</v>
          </cell>
          <cell r="F770">
            <v>33033.089999999997</v>
          </cell>
          <cell r="G770">
            <v>7587.7</v>
          </cell>
        </row>
        <row r="771">
          <cell r="B771" t="str">
            <v>С111-1904-9Н</v>
          </cell>
          <cell r="C771" t="str">
            <v>Анкер ETKD M16x160 METALVIS 920E316A6</v>
          </cell>
          <cell r="D771" t="str">
            <v>шт</v>
          </cell>
          <cell r="E771">
            <v>6</v>
          </cell>
          <cell r="F771">
            <v>39.49</v>
          </cell>
          <cell r="G771">
            <v>236.94</v>
          </cell>
        </row>
        <row r="772">
          <cell r="B772" t="str">
            <v>С113-2122-1Н</v>
          </cell>
          <cell r="C772" t="str">
            <v>Болт М12х50 METALVIS 5М6Х250-2</v>
          </cell>
          <cell r="D772" t="str">
            <v>шт</v>
          </cell>
          <cell r="E772">
            <v>28</v>
          </cell>
          <cell r="F772">
            <v>5.7</v>
          </cell>
          <cell r="G772">
            <v>159.6</v>
          </cell>
        </row>
        <row r="773">
          <cell r="B773" t="str">
            <v>С113-2122-2Н</v>
          </cell>
          <cell r="C773" t="str">
            <v>Болт М16х50 METALVIS 5М6Х650-2</v>
          </cell>
          <cell r="D773" t="str">
            <v>шт</v>
          </cell>
          <cell r="E773">
            <v>4</v>
          </cell>
          <cell r="F773">
            <v>8.94</v>
          </cell>
          <cell r="G773">
            <v>35.76</v>
          </cell>
        </row>
        <row r="774">
          <cell r="B774" t="str">
            <v>ЕН15-171-4</v>
          </cell>
          <cell r="C774" t="str">
            <v>Олiйне фарбування бiлилами з додаванням
кольору грат, рам, труб дiаметром менше
50 мм тощо за два рази</v>
          </cell>
          <cell r="D774" t="str">
            <v>100м2</v>
          </cell>
          <cell r="E774">
            <v>2.2800000000000001E-2</v>
          </cell>
          <cell r="F774">
            <v>7076.82</v>
          </cell>
          <cell r="G774">
            <v>161.35</v>
          </cell>
        </row>
        <row r="775">
          <cell r="B775" t="str">
            <v>С111-1673-1</v>
          </cell>
          <cell r="C775" t="str">
            <v>Эмаль "ЗЕБРА" (3 в 1) антикорозійна</v>
          </cell>
          <cell r="D775" t="str">
            <v>л</v>
          </cell>
          <cell r="E775">
            <v>0.41040000000000004</v>
          </cell>
          <cell r="F775">
            <v>182.96</v>
          </cell>
          <cell r="G775">
            <v>75.09</v>
          </cell>
        </row>
        <row r="776">
          <cell r="B776" t="str">
            <v>ЕН6-1-20</v>
          </cell>
          <cell r="C776" t="str">
            <v>Улаштування стрiчкових фундаментiв
бетонних бетон важкий В 15 (М 200),
крупнiсть заповнювача 20-40мм</v>
          </cell>
          <cell r="D776" t="str">
            <v>100м3</v>
          </cell>
          <cell r="E776">
            <v>2.2000000000000001E-3</v>
          </cell>
          <cell r="F776">
            <v>349767.09</v>
          </cell>
          <cell r="G776">
            <v>769.49</v>
          </cell>
        </row>
        <row r="777">
          <cell r="B777" t="str">
            <v>Е9-29-1</v>
          </cell>
          <cell r="C777" t="str">
            <v>Монтаж металоконструкцій ганків</v>
          </cell>
          <cell r="D777" t="str">
            <v>т</v>
          </cell>
          <cell r="E777" t="str">
            <v>0,
1601808</v>
          </cell>
          <cell r="F777">
            <v>7081.89</v>
          </cell>
          <cell r="G777">
            <v>1134.3800000000001</v>
          </cell>
        </row>
        <row r="778">
          <cell r="B778" t="str">
            <v>С121-649</v>
          </cell>
          <cell r="C778" t="str">
            <v>Косоури, балки, кронштейни</v>
          </cell>
          <cell r="D778" t="str">
            <v>т</v>
          </cell>
          <cell r="E778" t="str">
            <v>0,
1601808</v>
          </cell>
          <cell r="F778">
            <v>33033.089999999997</v>
          </cell>
          <cell r="G778">
            <v>5291.27</v>
          </cell>
        </row>
        <row r="779">
          <cell r="B779" t="str">
            <v>С111-1904-18</v>
          </cell>
          <cell r="C779" t="str">
            <v>Анкерний болт ЕТКД 12х160 Metalvis
920Е312А6</v>
          </cell>
          <cell r="D779" t="str">
            <v>100шт</v>
          </cell>
          <cell r="E779">
            <v>0.02</v>
          </cell>
          <cell r="F779">
            <v>2186.12</v>
          </cell>
          <cell r="G779">
            <v>43.72</v>
          </cell>
        </row>
        <row r="780">
          <cell r="B780" t="str">
            <v>Е7-60-4</v>
          </cell>
          <cell r="C780" t="str">
            <v>Установлення металевої огорожi без
поручня</v>
          </cell>
          <cell r="D780" t="str">
            <v>100м</v>
          </cell>
          <cell r="E780">
            <v>3.6150000000000002E-2</v>
          </cell>
          <cell r="F780">
            <v>5275.84</v>
          </cell>
          <cell r="G780">
            <v>190.72</v>
          </cell>
        </row>
        <row r="781">
          <cell r="B781" t="str">
            <v>С121-650</v>
          </cell>
          <cell r="C781" t="str">
            <v>Огорожа сходових прорiзiв, сходовi маршi,
пожежнi сходи</v>
          </cell>
          <cell r="D781" t="str">
            <v>т</v>
          </cell>
          <cell r="E781">
            <v>5.33E-2</v>
          </cell>
          <cell r="F781">
            <v>28344.31</v>
          </cell>
          <cell r="G781">
            <v>1510.75</v>
          </cell>
        </row>
        <row r="782">
          <cell r="B782" t="str">
            <v>Е13-26-6к=2</v>
          </cell>
          <cell r="C782" t="str">
            <v>Фарбування металевих поґрунтованих
поверхонь емаллю ПФ-115</v>
          </cell>
          <cell r="D782" t="str">
            <v>100м2</v>
          </cell>
          <cell r="E782" t="str">
            <v>0,
0777575</v>
          </cell>
          <cell r="F782">
            <v>722.02</v>
          </cell>
          <cell r="G782">
            <v>56.14</v>
          </cell>
        </row>
        <row r="783">
          <cell r="B783" t="str">
            <v>С1113-246</v>
          </cell>
          <cell r="C783" t="str">
            <v>Емаль антикорозiйна "ЗЕБРА"  (3 в 1)</v>
          </cell>
          <cell r="D783" t="str">
            <v>т</v>
          </cell>
          <cell r="E783" t="str">
            <v>0,
0029564</v>
          </cell>
          <cell r="F783">
            <v>144077.91</v>
          </cell>
          <cell r="G783">
            <v>425.95</v>
          </cell>
        </row>
        <row r="784">
          <cell r="B784" t="str">
            <v>ЕН6-1-13</v>
          </cell>
          <cell r="C784" t="str">
            <v>Улаштування фундаментiв стовпiв
бетонних з бетону С8/10</v>
          </cell>
          <cell r="D784" t="str">
            <v>100м3</v>
          </cell>
          <cell r="E784">
            <v>6.0000000000000001E-3</v>
          </cell>
          <cell r="F784">
            <v>348450.06</v>
          </cell>
          <cell r="G784">
            <v>2090.6999999999998</v>
          </cell>
        </row>
        <row r="785">
          <cell r="B785" t="str">
            <v>ЕН27-66-4</v>
          </cell>
          <cell r="C785" t="str">
            <v>Установлення бетонних бортових каменів
на бетонну основу до 100 мм</v>
          </cell>
          <cell r="D785" t="str">
            <v>100 м</v>
          </cell>
          <cell r="E785">
            <v>3.1E-2</v>
          </cell>
          <cell r="F785">
            <v>7718.38</v>
          </cell>
          <cell r="G785">
            <v>239.27</v>
          </cell>
        </row>
        <row r="786">
          <cell r="B786" t="str">
            <v>К589921-А003_С1426-11709</v>
          </cell>
          <cell r="C786" t="str">
            <v>Бортовий камінь БР 100.20.6</v>
          </cell>
          <cell r="D786" t="str">
            <v>шт</v>
          </cell>
          <cell r="E786">
            <v>3</v>
          </cell>
          <cell r="F786">
            <v>69.709999999999994</v>
          </cell>
          <cell r="G786">
            <v>209.13</v>
          </cell>
        </row>
        <row r="787">
          <cell r="B787" t="str">
            <v>ЕН6-22-7</v>
          </cell>
          <cell r="C787" t="str">
            <v>Улаштування перекриттiв по стальних
балках i монолiтних дiлянок при збiрному
залiзобетонному перекриттi площею до 5
м2, приведеною товщиною до 100 мм з
бетону С12/15</v>
          </cell>
          <cell r="D787" t="str">
            <v>100м3</v>
          </cell>
          <cell r="E787">
            <v>1.2000000000000001E-3</v>
          </cell>
          <cell r="F787">
            <v>532215.56000000006</v>
          </cell>
          <cell r="G787">
            <v>638.66</v>
          </cell>
        </row>
        <row r="788">
          <cell r="B788" t="str">
            <v>С124-20</v>
          </cell>
          <cell r="C788" t="str">
            <v>Гарячекатана арматурна сталь
перiодичного профiлю, клас А-III, дiаметр 8
мм</v>
          </cell>
          <cell r="D788" t="str">
            <v>т</v>
          </cell>
          <cell r="E788">
            <v>1.7299999999999999E-2</v>
          </cell>
          <cell r="F788">
            <v>20153.68</v>
          </cell>
          <cell r="G788">
            <v>348.66</v>
          </cell>
        </row>
        <row r="789">
          <cell r="B789" t="str">
            <v>ЕН6-11-7</v>
          </cell>
          <cell r="C789" t="str">
            <v>Установлення закладних деталей вагою
до 5 кг</v>
          </cell>
          <cell r="D789" t="str">
            <v>т</v>
          </cell>
          <cell r="E789">
            <v>3.5200000000000001E-3</v>
          </cell>
          <cell r="F789">
            <v>73560.13</v>
          </cell>
          <cell r="G789">
            <v>258.93</v>
          </cell>
        </row>
        <row r="790">
          <cell r="B790" t="str">
            <v>Е7-59-1</v>
          </cell>
          <cell r="C790" t="str">
            <v>Укладання сходiв по готовiй основi з
окремих схiдцiв гладких</v>
          </cell>
          <cell r="D790" t="str">
            <v>100м</v>
          </cell>
          <cell r="E790">
            <v>4.2000000000000003E-2</v>
          </cell>
          <cell r="F790">
            <v>11102.23</v>
          </cell>
          <cell r="G790">
            <v>466.29</v>
          </cell>
        </row>
        <row r="791">
          <cell r="B791" t="str">
            <v>С1418-8851-1</v>
          </cell>
          <cell r="C791" t="str">
            <v>Сходовi схiдцi з лицьовими бетонними
поверхнями, що не потребують додаткового
опорядження СС11</v>
          </cell>
          <cell r="D791" t="str">
            <v>шт</v>
          </cell>
          <cell r="E791">
            <v>4</v>
          </cell>
          <cell r="F791">
            <v>440.55</v>
          </cell>
          <cell r="G791">
            <v>1762.2</v>
          </cell>
        </row>
        <row r="792">
          <cell r="B792" t="str">
            <v>ЕН11-11-5</v>
          </cell>
          <cell r="C792" t="str">
            <v>Улаштування стяжок бетонних
товщиною 20 мм</v>
          </cell>
          <cell r="D792" t="str">
            <v>100м2</v>
          </cell>
          <cell r="E792">
            <v>1.32E-2</v>
          </cell>
          <cell r="F792">
            <v>9172.49</v>
          </cell>
          <cell r="G792">
            <v>121.08</v>
          </cell>
        </row>
        <row r="793">
          <cell r="B793" t="str">
            <v>ЕН11-11-6к=8</v>
          </cell>
          <cell r="C793" t="str">
            <v>Додавати або виключати на кожнi 5 мм
змiни товщини бетонних стяжок</v>
          </cell>
          <cell r="D793" t="str">
            <v>100м2</v>
          </cell>
          <cell r="E793">
            <v>1.32E-2</v>
          </cell>
          <cell r="F793">
            <v>11790.26</v>
          </cell>
          <cell r="G793">
            <v>155.63</v>
          </cell>
        </row>
        <row r="794">
          <cell r="B794" t="str">
            <v>ЕН11-29-2</v>
          </cell>
          <cell r="C794" t="str">
            <v>Улаштування покриттів з керамічних
плиток на розчині із сухої клеючої суміші,
кількість плиток в 1 м2 понад 7 до 12 шт</v>
          </cell>
          <cell r="D794" t="str">
            <v>100м2</v>
          </cell>
          <cell r="E794">
            <v>1.32E-2</v>
          </cell>
          <cell r="F794">
            <v>11447.04</v>
          </cell>
          <cell r="G794">
            <v>151.1</v>
          </cell>
        </row>
        <row r="795">
          <cell r="B795" t="str">
            <v>С111-2014-6</v>
          </cell>
          <cell r="C795" t="str">
            <v>Грунтовка глибокопроникна Ceresit CT 17</v>
          </cell>
          <cell r="D795" t="str">
            <v>л</v>
          </cell>
          <cell r="E795">
            <v>0.26400000000000001</v>
          </cell>
          <cell r="F795">
            <v>41.77</v>
          </cell>
          <cell r="G795">
            <v>11.03</v>
          </cell>
        </row>
        <row r="796">
          <cell r="B796" t="str">
            <v>С111-2000-7</v>
          </cell>
          <cell r="C796" t="str">
            <v>Клеюча сумiш Ceresit СМ 17</v>
          </cell>
          <cell r="D796" t="str">
            <v>кг</v>
          </cell>
          <cell r="E796">
            <v>6.8639999999999999</v>
          </cell>
          <cell r="F796">
            <v>32.340000000000003</v>
          </cell>
          <cell r="G796">
            <v>221.98</v>
          </cell>
        </row>
        <row r="797">
          <cell r="B797" t="str">
            <v>С111-284</v>
          </cell>
          <cell r="C797" t="str">
            <v>Плитка керамiчна для ганків квадратна,
розмiр 300х300х13 мм</v>
          </cell>
          <cell r="D797" t="str">
            <v>м2</v>
          </cell>
          <cell r="E797">
            <v>1.3464</v>
          </cell>
          <cell r="F797">
            <v>298.26</v>
          </cell>
          <cell r="G797">
            <v>401.58</v>
          </cell>
        </row>
        <row r="798">
          <cell r="B798" t="str">
            <v>С111-2001-2</v>
          </cell>
          <cell r="C798" t="str">
            <v>Еластичний водостiйкий кольоровий шов до
5 мм Ceresit СЕ 40 aguastatic</v>
          </cell>
          <cell r="D798" t="str">
            <v>кг</v>
          </cell>
          <cell r="E798">
            <v>0.59928000000000003</v>
          </cell>
          <cell r="F798">
            <v>90.89</v>
          </cell>
          <cell r="G798">
            <v>54.47</v>
          </cell>
        </row>
        <row r="799">
          <cell r="B799" t="str">
            <v>Е9-29-1</v>
          </cell>
          <cell r="C799" t="str">
            <v>Монтаж металоконструкцій ганків</v>
          </cell>
          <cell r="D799" t="str">
            <v>т</v>
          </cell>
          <cell r="E799" t="str">
            <v>0,
2425488</v>
          </cell>
          <cell r="F799">
            <v>7097.76</v>
          </cell>
          <cell r="G799">
            <v>1721.55</v>
          </cell>
        </row>
        <row r="800">
          <cell r="B800" t="str">
            <v>С121-649</v>
          </cell>
          <cell r="C800" t="str">
            <v>Косоури, балки, кронштейни</v>
          </cell>
          <cell r="D800" t="str">
            <v>т</v>
          </cell>
          <cell r="E800" t="str">
            <v>0,
2425488</v>
          </cell>
          <cell r="F800">
            <v>33033.089999999997</v>
          </cell>
          <cell r="G800">
            <v>8012.14</v>
          </cell>
        </row>
        <row r="801">
          <cell r="B801" t="str">
            <v>С111-1904-18</v>
          </cell>
          <cell r="C801" t="str">
            <v>Анкерний болт ЕТКД 12х160 Metalvis
920Е312А6</v>
          </cell>
          <cell r="D801" t="str">
            <v>100шт</v>
          </cell>
          <cell r="E801">
            <v>0.02</v>
          </cell>
          <cell r="F801">
            <v>2186.12</v>
          </cell>
          <cell r="G801">
            <v>43.72</v>
          </cell>
        </row>
        <row r="802">
          <cell r="B802" t="str">
            <v>Е7-60-4</v>
          </cell>
          <cell r="C802" t="str">
            <v>Установлення металевої огорожi без
поручня</v>
          </cell>
          <cell r="D802" t="str">
            <v>100м</v>
          </cell>
          <cell r="E802">
            <v>3.6150000000000002E-2</v>
          </cell>
          <cell r="F802">
            <v>5275.84</v>
          </cell>
          <cell r="G802">
            <v>190.72</v>
          </cell>
        </row>
        <row r="803">
          <cell r="B803" t="str">
            <v>С121-650</v>
          </cell>
          <cell r="C803" t="str">
            <v>Огорожа сходових прорiзiв, сходовi маршi,
пожежнi сходи</v>
          </cell>
          <cell r="D803" t="str">
            <v>т</v>
          </cell>
          <cell r="E803">
            <v>5.4610000000000006E-2</v>
          </cell>
          <cell r="F803">
            <v>28344.31</v>
          </cell>
          <cell r="G803">
            <v>1547.88</v>
          </cell>
        </row>
        <row r="804">
          <cell r="B804" t="str">
            <v>Е13-26-6к=2</v>
          </cell>
          <cell r="C804" t="str">
            <v>Фарбування металевих поґрунтованих
поверхонь емаллю ПФ-115</v>
          </cell>
          <cell r="D804" t="str">
            <v>100м2</v>
          </cell>
          <cell r="E804" t="str">
            <v>0,
1113725</v>
          </cell>
          <cell r="F804">
            <v>722.02</v>
          </cell>
          <cell r="G804">
            <v>80.41</v>
          </cell>
        </row>
        <row r="805">
          <cell r="B805" t="str">
            <v>С1113-246</v>
          </cell>
          <cell r="C805" t="str">
            <v>Емаль антикорозiйна "ЗЕБРА"  (3 в 1)</v>
          </cell>
          <cell r="D805" t="str">
            <v>т</v>
          </cell>
          <cell r="E805" t="str">
            <v>0,
00423215
5</v>
          </cell>
          <cell r="F805">
            <v>144077.91</v>
          </cell>
          <cell r="G805">
            <v>609.76</v>
          </cell>
        </row>
        <row r="806">
          <cell r="B806" t="str">
            <v>ЕН6-1-13</v>
          </cell>
          <cell r="C806" t="str">
            <v>Улаштування фундаментiв стовпiв
бетонних з бетону С8/10</v>
          </cell>
          <cell r="D806" t="str">
            <v>100м3</v>
          </cell>
          <cell r="E806">
            <v>4.0000000000000001E-3</v>
          </cell>
          <cell r="F806">
            <v>348450.06</v>
          </cell>
          <cell r="G806">
            <v>1393.8</v>
          </cell>
        </row>
        <row r="807">
          <cell r="B807" t="str">
            <v>ЕН6-22-7</v>
          </cell>
          <cell r="C807" t="str">
            <v>Улаштування перекриттiв по стальних
балках i монолiтних дiлянок при збiрному
залiзобетонному перекриттi площею до 5
м2, приведеною товщиною до 100 мм з
бетону С12/15</v>
          </cell>
          <cell r="D807" t="str">
            <v>100м3</v>
          </cell>
          <cell r="E807">
            <v>1.5E-3</v>
          </cell>
          <cell r="F807">
            <v>532215.56000000006</v>
          </cell>
          <cell r="G807">
            <v>798.32</v>
          </cell>
        </row>
        <row r="808">
          <cell r="B808" t="str">
            <v>С124-20</v>
          </cell>
          <cell r="C808" t="str">
            <v>Гарячекатана арматурна сталь
перiодичного профiлю, клас А-III, дiаметр 8
мм</v>
          </cell>
          <cell r="D808" t="str">
            <v>т</v>
          </cell>
          <cell r="E808">
            <v>2.1000000000000001E-2</v>
          </cell>
          <cell r="F808">
            <v>20153.68</v>
          </cell>
          <cell r="G808">
            <v>423.23</v>
          </cell>
        </row>
        <row r="809">
          <cell r="B809" t="str">
            <v>ЕН6-11-7</v>
          </cell>
          <cell r="C809" t="str">
            <v>Установлення закладних деталей вагою
до 5 кг</v>
          </cell>
          <cell r="D809" t="str">
            <v>т</v>
          </cell>
          <cell r="E809">
            <v>3.5200000000000001E-3</v>
          </cell>
          <cell r="F809">
            <v>73560.13</v>
          </cell>
          <cell r="G809">
            <v>258.93</v>
          </cell>
        </row>
        <row r="810">
          <cell r="B810" t="str">
            <v>Е7-59-1</v>
          </cell>
          <cell r="C810" t="str">
            <v>Укладання сходiв по готовiй основi з
окремих схiдцiв гладких</v>
          </cell>
          <cell r="D810" t="str">
            <v>100м</v>
          </cell>
          <cell r="E810">
            <v>4.2000000000000003E-2</v>
          </cell>
          <cell r="F810">
            <v>11102.23</v>
          </cell>
          <cell r="G810">
            <v>466.29</v>
          </cell>
        </row>
        <row r="811">
          <cell r="B811" t="str">
            <v>С1418-8851-1</v>
          </cell>
          <cell r="C811" t="str">
            <v>Сходовi схiдцi з лицьовими бетонними
поверхнями, що не потребують додаткового
опорядження СС11</v>
          </cell>
          <cell r="D811" t="str">
            <v>шт</v>
          </cell>
          <cell r="E811">
            <v>4</v>
          </cell>
          <cell r="F811">
            <v>440.55</v>
          </cell>
          <cell r="G811">
            <v>1762.2</v>
          </cell>
        </row>
        <row r="812">
          <cell r="B812" t="str">
            <v>ЕН11-11-5</v>
          </cell>
          <cell r="C812" t="str">
            <v>Улаштування стяжок бетонних
товщиною 20 мм</v>
          </cell>
          <cell r="D812" t="str">
            <v>100м2</v>
          </cell>
          <cell r="E812">
            <v>1.7500000000000002E-2</v>
          </cell>
          <cell r="F812">
            <v>9172.49</v>
          </cell>
          <cell r="G812">
            <v>160.52000000000001</v>
          </cell>
        </row>
        <row r="813">
          <cell r="B813" t="str">
            <v>ЕН11-11-6к=8</v>
          </cell>
          <cell r="C813" t="str">
            <v>Додавати або виключати на кожнi 5 мм
змiни товщини бетонних стяжок</v>
          </cell>
          <cell r="D813" t="str">
            <v>100м2</v>
          </cell>
          <cell r="E813">
            <v>1.7500000000000002E-2</v>
          </cell>
          <cell r="F813">
            <v>11790.26</v>
          </cell>
          <cell r="G813">
            <v>206.33</v>
          </cell>
        </row>
        <row r="814">
          <cell r="B814" t="str">
            <v>ЕН11-29-2</v>
          </cell>
          <cell r="C814" t="str">
            <v>Улаштування покриттів з керамічних
плиток на розчині із сухої клеючої суміші,
кількість плиток в 1 м2 понад 7 до 12 шт</v>
          </cell>
          <cell r="D814" t="str">
            <v>100м2</v>
          </cell>
          <cell r="E814">
            <v>1.7500000000000002E-2</v>
          </cell>
          <cell r="F814">
            <v>11447.04</v>
          </cell>
          <cell r="G814">
            <v>200.32</v>
          </cell>
        </row>
        <row r="815">
          <cell r="B815" t="str">
            <v>С111-2014-6</v>
          </cell>
          <cell r="C815" t="str">
            <v>Грунтовка глибокопроникна Ceresit CT 17</v>
          </cell>
          <cell r="D815" t="str">
            <v>л</v>
          </cell>
          <cell r="E815">
            <v>0.35</v>
          </cell>
          <cell r="F815">
            <v>41.77</v>
          </cell>
          <cell r="G815">
            <v>14.62</v>
          </cell>
        </row>
        <row r="816">
          <cell r="B816" t="str">
            <v>С111-2000-7</v>
          </cell>
          <cell r="C816" t="str">
            <v>Клеюча сумiш Ceresit СМ 17</v>
          </cell>
          <cell r="D816" t="str">
            <v>кг</v>
          </cell>
          <cell r="E816">
            <v>9.1</v>
          </cell>
          <cell r="F816">
            <v>32.340000000000003</v>
          </cell>
          <cell r="G816">
            <v>294.29000000000002</v>
          </cell>
        </row>
        <row r="817">
          <cell r="B817" t="str">
            <v>С111-284</v>
          </cell>
          <cell r="C817" t="str">
            <v>Плитка керамiчна для ганків квадратна,
розмiр 300х300х13 мм</v>
          </cell>
          <cell r="D817" t="str">
            <v>м2</v>
          </cell>
          <cell r="E817">
            <v>1.7850000000000001</v>
          </cell>
          <cell r="F817">
            <v>298.26</v>
          </cell>
          <cell r="G817">
            <v>532.39</v>
          </cell>
        </row>
        <row r="818">
          <cell r="B818" t="str">
            <v>С111-2001-2</v>
          </cell>
          <cell r="C818" t="str">
            <v>Еластичний водостiйкий кольоровий шов до
5 мм Ceresit СЕ 40 aguastatic</v>
          </cell>
          <cell r="D818" t="str">
            <v>кг</v>
          </cell>
          <cell r="E818">
            <v>0.79449999999999998</v>
          </cell>
          <cell r="F818">
            <v>90.89</v>
          </cell>
          <cell r="G818">
            <v>72.209999999999994</v>
          </cell>
        </row>
        <row r="819">
          <cell r="B819" t="str">
            <v>Е9-29-1</v>
          </cell>
          <cell r="C819" t="str">
            <v>Монтаж металоконструкцій ганків</v>
          </cell>
          <cell r="D819" t="str">
            <v>т</v>
          </cell>
          <cell r="E819" t="str">
            <v>0,
1593488</v>
          </cell>
          <cell r="F819">
            <v>7097.76</v>
          </cell>
          <cell r="G819">
            <v>1131.02</v>
          </cell>
        </row>
        <row r="820">
          <cell r="B820" t="str">
            <v>С121-649</v>
          </cell>
          <cell r="C820" t="str">
            <v>Косоури, балки, кронштейни</v>
          </cell>
          <cell r="D820" t="str">
            <v>т</v>
          </cell>
          <cell r="E820" t="str">
            <v>0,
1593488</v>
          </cell>
          <cell r="F820">
            <v>33033.089999999997</v>
          </cell>
          <cell r="G820">
            <v>5263.78</v>
          </cell>
        </row>
        <row r="821">
          <cell r="B821" t="str">
            <v>С111-1904-18</v>
          </cell>
          <cell r="C821" t="str">
            <v>Анкерний болт ЕТКД 12х160 Metalvis
920Е312А6</v>
          </cell>
          <cell r="D821" t="str">
            <v>100шт</v>
          </cell>
          <cell r="E821">
            <v>0.02</v>
          </cell>
          <cell r="F821">
            <v>2186.12</v>
          </cell>
          <cell r="G821">
            <v>43.72</v>
          </cell>
        </row>
        <row r="822">
          <cell r="B822" t="str">
            <v>Е7-60-4</v>
          </cell>
          <cell r="C822" t="str">
            <v>Установлення металевої огорожi без
поручня</v>
          </cell>
          <cell r="D822" t="str">
            <v>100м</v>
          </cell>
          <cell r="E822">
            <v>3.3150000000000006E-2</v>
          </cell>
          <cell r="F822">
            <v>5275.84</v>
          </cell>
          <cell r="G822">
            <v>174.89</v>
          </cell>
        </row>
        <row r="823">
          <cell r="B823" t="str">
            <v>С121-650</v>
          </cell>
          <cell r="C823" t="str">
            <v>Огорожа сходових прорiзiв, сходовi маршi,
пожежнi сходи</v>
          </cell>
          <cell r="D823" t="str">
            <v>т</v>
          </cell>
          <cell r="E823">
            <v>5.3270000000000005E-2</v>
          </cell>
          <cell r="F823">
            <v>28344.31</v>
          </cell>
          <cell r="G823">
            <v>1509.9</v>
          </cell>
        </row>
        <row r="824">
          <cell r="B824" t="str">
            <v>Е13-26-6к=2</v>
          </cell>
          <cell r="C824" t="str">
            <v>Фарбування металевих погрунтованих
поверхонь емаллю</v>
          </cell>
          <cell r="D824" t="str">
            <v>100м2</v>
          </cell>
          <cell r="E824" t="str">
            <v>0,
07632525</v>
          </cell>
          <cell r="F824">
            <v>557.41</v>
          </cell>
          <cell r="G824">
            <v>42.54</v>
          </cell>
        </row>
        <row r="825">
          <cell r="B825" t="str">
            <v>С1113-246</v>
          </cell>
          <cell r="C825" t="str">
            <v>Емаль антикорозiйна "ЗЕБРА"  (3 в 1)</v>
          </cell>
          <cell r="D825" t="str">
            <v>т</v>
          </cell>
          <cell r="E825">
            <v>2.8879999999999999E-3</v>
          </cell>
          <cell r="F825">
            <v>144077.91</v>
          </cell>
          <cell r="G825">
            <v>416.1</v>
          </cell>
        </row>
        <row r="826">
          <cell r="B826" t="str">
            <v>ЕН6-1-13</v>
          </cell>
          <cell r="C826" t="str">
            <v>Улаштування фундаментiв стовпiв
бетонних з бетону С8/10</v>
          </cell>
          <cell r="D826" t="str">
            <v>100м3</v>
          </cell>
          <cell r="E826">
            <v>4.0000000000000001E-3</v>
          </cell>
          <cell r="F826">
            <v>348450.06</v>
          </cell>
          <cell r="G826">
            <v>1393.8</v>
          </cell>
        </row>
        <row r="827">
          <cell r="B827" t="str">
            <v>ЕН6-22-7</v>
          </cell>
          <cell r="C827" t="str">
            <v>Улаштування перекриттiв по стальних
балках i монолiтних дiлянок при збiрному
залiзобетонному перекриттi площею до 5
м2, приведеною товщиною до 100 мм з
бетону С12/15</v>
          </cell>
          <cell r="D827" t="str">
            <v>100м3</v>
          </cell>
          <cell r="E827">
            <v>1.5E-3</v>
          </cell>
          <cell r="F827">
            <v>532215.56000000006</v>
          </cell>
          <cell r="G827">
            <v>798.32</v>
          </cell>
        </row>
        <row r="828">
          <cell r="B828" t="str">
            <v>С124-20</v>
          </cell>
          <cell r="C828" t="str">
            <v>Гарячекатана арматурна сталь
перiодичного профiлю, клас А-III, дiаметр 8
мм</v>
          </cell>
          <cell r="D828" t="str">
            <v>т</v>
          </cell>
          <cell r="E828">
            <v>2.1000000000000001E-2</v>
          </cell>
          <cell r="F828">
            <v>20153.68</v>
          </cell>
          <cell r="G828">
            <v>423.23</v>
          </cell>
        </row>
        <row r="829">
          <cell r="B829" t="str">
            <v>ЕН6-11-7</v>
          </cell>
          <cell r="C829" t="str">
            <v>Установлення закладних деталей вагою
до 5 кг</v>
          </cell>
          <cell r="D829" t="str">
            <v>т</v>
          </cell>
          <cell r="E829">
            <v>3.5200000000000001E-3</v>
          </cell>
          <cell r="F829">
            <v>73560.13</v>
          </cell>
          <cell r="G829">
            <v>258.93</v>
          </cell>
        </row>
        <row r="830">
          <cell r="B830" t="str">
            <v>Е7-59-1</v>
          </cell>
          <cell r="C830" t="str">
            <v>Укладання сходiв по готовiй основi з
окремих схiдцiв гладких</v>
          </cell>
          <cell r="D830" t="str">
            <v>100м</v>
          </cell>
          <cell r="E830">
            <v>3.15E-2</v>
          </cell>
          <cell r="F830">
            <v>11102.23</v>
          </cell>
          <cell r="G830">
            <v>349.72</v>
          </cell>
        </row>
        <row r="831">
          <cell r="B831" t="str">
            <v>С1418-8851-1</v>
          </cell>
          <cell r="C831" t="str">
            <v>Сходовi схiдцi з лицьовими бетонними
поверхнями, що не потребують додаткового
опорядження СС11</v>
          </cell>
          <cell r="D831" t="str">
            <v>шт</v>
          </cell>
          <cell r="E831">
            <v>3</v>
          </cell>
          <cell r="F831">
            <v>440.55</v>
          </cell>
          <cell r="G831">
            <v>1321.65</v>
          </cell>
        </row>
        <row r="832">
          <cell r="B832" t="str">
            <v>ЕН11-11-5</v>
          </cell>
          <cell r="C832" t="str">
            <v>Улаштування стяжок бетонних
товщиною 20 мм</v>
          </cell>
          <cell r="D832" t="str">
            <v>100м2</v>
          </cell>
          <cell r="E832">
            <v>1.7500000000000002E-2</v>
          </cell>
          <cell r="F832">
            <v>9172.49</v>
          </cell>
          <cell r="G832">
            <v>160.52000000000001</v>
          </cell>
        </row>
        <row r="833">
          <cell r="B833" t="str">
            <v>ЕН11-11-6к=8</v>
          </cell>
          <cell r="C833" t="str">
            <v>Додавати або виключати на кожнi 5 мм
змiни товщини бетонних стяжок</v>
          </cell>
          <cell r="D833" t="str">
            <v>100м2</v>
          </cell>
          <cell r="E833">
            <v>1.7500000000000002E-2</v>
          </cell>
          <cell r="F833">
            <v>11790.26</v>
          </cell>
          <cell r="G833">
            <v>206.33</v>
          </cell>
        </row>
        <row r="834">
          <cell r="B834" t="str">
            <v>ЕН11-29-2</v>
          </cell>
          <cell r="C834" t="str">
            <v>Улаштування покриттів з керамічних
плиток на розчині із сухої клеючої суміші,
кількість плиток в 1 м2 понад 7 до 12 шт</v>
          </cell>
          <cell r="D834" t="str">
            <v>100м2</v>
          </cell>
          <cell r="E834">
            <v>1.7500000000000002E-2</v>
          </cell>
          <cell r="F834">
            <v>11447.04</v>
          </cell>
          <cell r="G834">
            <v>200.32</v>
          </cell>
        </row>
        <row r="835">
          <cell r="B835" t="str">
            <v>С111-2014-6</v>
          </cell>
          <cell r="C835" t="str">
            <v>Грунтовка глибокопроникна Ceresit CT 17</v>
          </cell>
          <cell r="D835" t="str">
            <v>л</v>
          </cell>
          <cell r="E835">
            <v>0.35</v>
          </cell>
          <cell r="F835">
            <v>41.77</v>
          </cell>
          <cell r="G835">
            <v>14.62</v>
          </cell>
        </row>
        <row r="836">
          <cell r="B836" t="str">
            <v>С111-2000-7</v>
          </cell>
          <cell r="C836" t="str">
            <v>Клеюча сумiш Ceresit СМ 17</v>
          </cell>
          <cell r="D836" t="str">
            <v>кг</v>
          </cell>
          <cell r="E836">
            <v>9.1</v>
          </cell>
          <cell r="F836">
            <v>32.340000000000003</v>
          </cell>
          <cell r="G836">
            <v>294.29000000000002</v>
          </cell>
        </row>
        <row r="837">
          <cell r="B837" t="str">
            <v>С111-284</v>
          </cell>
          <cell r="C837" t="str">
            <v>Плитка керамiчна для ганків квадратна,
розмiр 300х300х13 мм</v>
          </cell>
          <cell r="D837" t="str">
            <v>м2</v>
          </cell>
          <cell r="E837">
            <v>1.7850000000000001</v>
          </cell>
          <cell r="F837">
            <v>298.26</v>
          </cell>
          <cell r="G837">
            <v>532.39</v>
          </cell>
        </row>
        <row r="838">
          <cell r="B838" t="str">
            <v>С111-2001-2</v>
          </cell>
          <cell r="C838" t="str">
            <v>Еластичний водостiйкий кольоровий шов до
5 мм Ceresit СЕ 40 aguastatic</v>
          </cell>
          <cell r="D838" t="str">
            <v>кг</v>
          </cell>
          <cell r="E838">
            <v>0.79449999999999998</v>
          </cell>
          <cell r="F838">
            <v>90.89</v>
          </cell>
          <cell r="G838">
            <v>72.209999999999994</v>
          </cell>
        </row>
        <row r="840">
          <cell r="B840" t="str">
            <v>Е1-18-4</v>
          </cell>
          <cell r="C840" t="str">
            <v>Розроблення грунту з навантаженням на
автомобiлi-самоскиди екскаваторами
одноковшовими дизельними на
пневмоколісному ходу з ковшом мiсткiстю
0,25 м3, група грунтiв 1 (навантаження
грунту)</v>
          </cell>
          <cell r="D840" t="str">
            <v>1000м3</v>
          </cell>
          <cell r="E840">
            <v>1.11344</v>
          </cell>
          <cell r="F840">
            <v>95585.01</v>
          </cell>
          <cell r="G840">
            <v>106428.17</v>
          </cell>
        </row>
        <row r="841">
          <cell r="B841" t="str">
            <v>С311-30</v>
          </cell>
          <cell r="C841" t="str">
            <v>Перевезення грунту до 30 км</v>
          </cell>
          <cell r="D841" t="str">
            <v>т</v>
          </cell>
          <cell r="E841">
            <v>1892.848</v>
          </cell>
          <cell r="F841">
            <v>180</v>
          </cell>
          <cell r="G841">
            <v>340712.64</v>
          </cell>
        </row>
        <row r="842">
          <cell r="B842" t="str">
            <v>ЕН15-171-4</v>
          </cell>
          <cell r="C842" t="str">
            <v>Олiйне фарбування бiлилами з додаванням
кольору грат, рам, труб дiаметром менше
50 мм тощо за два рази</v>
          </cell>
          <cell r="D842" t="str">
            <v>100м2</v>
          </cell>
          <cell r="E842">
            <v>0.1</v>
          </cell>
          <cell r="F842">
            <v>9951.77</v>
          </cell>
          <cell r="G842">
            <v>995.18</v>
          </cell>
        </row>
        <row r="844">
          <cell r="B844" t="str">
            <v>Е9-43-1тех.ч._п.1.3.2_к=1,1т.ч.т.5 к=1,03</v>
          </cell>
          <cell r="C844" t="str">
            <v>Монтаж фахверка /по залiзобетонних i
кам'яних опорах/</v>
          </cell>
          <cell r="D844" t="str">
            <v>т</v>
          </cell>
          <cell r="E844">
            <v>9.2800000000000007E-2</v>
          </cell>
          <cell r="F844">
            <v>11859.53</v>
          </cell>
          <cell r="G844">
            <v>1100.56</v>
          </cell>
        </row>
        <row r="845">
          <cell r="B845" t="str">
            <v>Е9-22-1т.ч.т.5 к=1,03</v>
          </cell>
          <cell r="C845" t="str">
            <v>Монтаж кроквяних i пiдкроквяних ферм на
висотi до 25 м прогоном до 24 м, масою до
3 т</v>
          </cell>
          <cell r="D845" t="str">
            <v>т</v>
          </cell>
          <cell r="E845">
            <v>10.3064</v>
          </cell>
          <cell r="F845">
            <v>12360.59</v>
          </cell>
          <cell r="G845">
            <v>127393.18</v>
          </cell>
        </row>
        <row r="846">
          <cell r="B846" t="str">
            <v>Е9-22-1т.ч.т.5 к=1,03</v>
          </cell>
          <cell r="C846" t="str">
            <v>Монтаж кроквяних ферм (прогони) на
висотi до 25 м прогоном до 24 м, масою до
3 т</v>
          </cell>
          <cell r="D846" t="str">
            <v>т</v>
          </cell>
          <cell r="E846">
            <v>9.6800000000000011E-2</v>
          </cell>
          <cell r="F846">
            <v>12308.19</v>
          </cell>
          <cell r="G846">
            <v>1191.43</v>
          </cell>
        </row>
        <row r="847">
          <cell r="B847" t="str">
            <v>Е9-23-1т.ч.т.5 к=1,03</v>
          </cell>
          <cell r="C847" t="str">
            <v>Монтаж кронштейнів покриття складного
перерізу при висотi будiвлi до 25 м</v>
          </cell>
          <cell r="D847" t="str">
            <v>т</v>
          </cell>
          <cell r="E847">
            <v>0.79039999999999999</v>
          </cell>
          <cell r="F847">
            <v>11665.75</v>
          </cell>
          <cell r="G847">
            <v>9220.61</v>
          </cell>
        </row>
        <row r="848">
          <cell r="B848" t="str">
            <v>Е9-25-1т.ч.т.5 к=1,03</v>
          </cell>
          <cell r="C848" t="str">
            <v>Монтаж балок покриття при висотi
будiвлi до 25 м</v>
          </cell>
          <cell r="D848" t="str">
            <v>т</v>
          </cell>
          <cell r="E848">
            <v>9.3600000000000003E-2</v>
          </cell>
          <cell r="F848">
            <v>5261.6</v>
          </cell>
          <cell r="G848">
            <v>492.49</v>
          </cell>
        </row>
        <row r="849">
          <cell r="B849" t="str">
            <v>Е9-24-1т.ч.т.5 к=1,03</v>
          </cell>
          <cell r="C849" t="str">
            <v>Монтаж розпiрок прогоном до 24 м при
висотi будiвлi до 25 м</v>
          </cell>
          <cell r="D849" t="str">
            <v>т</v>
          </cell>
          <cell r="E849">
            <v>3.5775999999999999</v>
          </cell>
          <cell r="F849">
            <v>16080.91</v>
          </cell>
          <cell r="G849">
            <v>57531.06</v>
          </cell>
        </row>
        <row r="850">
          <cell r="B850" t="str">
            <v>Е9-24-1т.ч.т.5 к=1,03</v>
          </cell>
          <cell r="C850" t="str">
            <v>Монтаж ригелів повздовжніх рам (Б2,Б3)
для прогонiв до 24 м при висотi будiвлi до
25 м</v>
          </cell>
          <cell r="D850" t="str">
            <v>т</v>
          </cell>
          <cell r="E850">
            <v>9.8400000000000001E-2</v>
          </cell>
          <cell r="F850">
            <v>15853.84</v>
          </cell>
          <cell r="G850">
            <v>1560.02</v>
          </cell>
        </row>
        <row r="851">
          <cell r="B851" t="str">
            <v>Е9-25-1т.ч.т.5 к=1,03</v>
          </cell>
          <cell r="C851" t="str">
            <v>Монтаж балок перекриття кроком до 12 м
при висотi будiвлi до 25 м</v>
          </cell>
          <cell r="D851" t="str">
            <v>т</v>
          </cell>
          <cell r="E851">
            <v>27.9968</v>
          </cell>
          <cell r="F851">
            <v>5488.67</v>
          </cell>
          <cell r="G851">
            <v>153665.20000000001</v>
          </cell>
        </row>
        <row r="852">
          <cell r="B852" t="str">
            <v>Е9-25-1т.ч.т.5 к=1,03</v>
          </cell>
          <cell r="C852" t="str">
            <v>Монтаж кронштейнiв перекриття з
кроком до 12 м при висотi будiвлi до 25 м</v>
          </cell>
          <cell r="D852" t="str">
            <v>т</v>
          </cell>
          <cell r="E852">
            <v>3.0055999999999998</v>
          </cell>
          <cell r="F852">
            <v>5488.67</v>
          </cell>
          <cell r="G852">
            <v>16496.75</v>
          </cell>
        </row>
        <row r="853">
          <cell r="B853" t="str">
            <v>Е13-57-2</v>
          </cell>
          <cell r="C853" t="str">
            <v>Улаштування i розбирання засобiв
пiдмощування для фарбування
металоконструкцiй колон, з'єднань, балок,
фахверкiв та iнших елементiв будiвель i
споруд</v>
          </cell>
          <cell r="D853" t="str">
            <v>т</v>
          </cell>
          <cell r="E853">
            <v>75.69</v>
          </cell>
          <cell r="F853">
            <v>224.09</v>
          </cell>
          <cell r="G853">
            <v>16961.37</v>
          </cell>
        </row>
        <row r="854">
          <cell r="B854" t="str">
            <v>Е13-57-1</v>
          </cell>
          <cell r="C854" t="str">
            <v>Улаштування i розбирання засобiв
пiдмощування для фарбування
металоконструкцiй покриттiв будiвель i
споруд</v>
          </cell>
          <cell r="D854" t="str">
            <v>т</v>
          </cell>
          <cell r="E854">
            <v>40.36</v>
          </cell>
          <cell r="F854">
            <v>407.99</v>
          </cell>
          <cell r="G854">
            <v>16466.48</v>
          </cell>
        </row>
        <row r="855">
          <cell r="B855" t="str">
            <v>Е46-34-4</v>
          </cell>
          <cell r="C855" t="str">
            <v>Стесування пілястри цегляних стiн</v>
          </cell>
          <cell r="D855" t="str">
            <v>м3</v>
          </cell>
          <cell r="E855">
            <v>1.8</v>
          </cell>
          <cell r="F855">
            <v>1038.8599999999999</v>
          </cell>
          <cell r="G855">
            <v>1869.95</v>
          </cell>
        </row>
        <row r="856">
          <cell r="B856" t="str">
            <v>ЕН6-9-1</v>
          </cell>
          <cell r="C856" t="str">
            <v>Улаштування пiдливки пiд колони з бетону
товщиною 20 мм</v>
          </cell>
          <cell r="D856" t="str">
            <v>100м2</v>
          </cell>
          <cell r="E856">
            <v>8.43E-2</v>
          </cell>
          <cell r="F856">
            <v>5532.39</v>
          </cell>
          <cell r="G856">
            <v>466.38</v>
          </cell>
        </row>
        <row r="857">
          <cell r="B857" t="str">
            <v>ЕН6-9-2к=3</v>
          </cell>
          <cell r="C857" t="str">
            <v>На кожнi 10 мм змiни товщини пiдливки
додавати до норми 6-9-1 до товщини 50мм</v>
          </cell>
          <cell r="D857" t="str">
            <v>100м2</v>
          </cell>
          <cell r="E857">
            <v>8.43E-2</v>
          </cell>
          <cell r="F857">
            <v>4174.91</v>
          </cell>
          <cell r="G857">
            <v>351.94</v>
          </cell>
        </row>
        <row r="858">
          <cell r="B858" t="str">
            <v>С1424-11634</v>
          </cell>
          <cell r="C858" t="str">
            <v>Сумiшi бетоннi готовi важкi, клас бетону В20
[М250], крупнiсть заповнювача 10 мм i
менше</v>
          </cell>
          <cell r="D858" t="str">
            <v>м3</v>
          </cell>
          <cell r="E858">
            <v>0.42993000000000003</v>
          </cell>
          <cell r="F858">
            <v>2934.96</v>
          </cell>
          <cell r="G858">
            <v>1261.83</v>
          </cell>
        </row>
        <row r="859">
          <cell r="B859" t="str">
            <v>Е9-43-1т.ч.т.5 к=1,03</v>
          </cell>
          <cell r="C859" t="str">
            <v>Монтаж фахверка</v>
          </cell>
          <cell r="D859" t="str">
            <v>т</v>
          </cell>
          <cell r="E859">
            <v>0.12480000000000001</v>
          </cell>
          <cell r="F859">
            <v>11504.8</v>
          </cell>
          <cell r="G859">
            <v>1435.8</v>
          </cell>
        </row>
        <row r="860">
          <cell r="B860" t="str">
            <v>Е9-24-1т.ч.т.5 к=1,03</v>
          </cell>
          <cell r="C860" t="str">
            <v>Монтаж зв'язок по колонах ряда "И" з
гарячекатаних кутиків при висотi будiвлi
до 25 м</v>
          </cell>
          <cell r="D860" t="str">
            <v>т</v>
          </cell>
          <cell r="E860">
            <v>0.12480000000000001</v>
          </cell>
          <cell r="F860">
            <v>15853.84</v>
          </cell>
          <cell r="G860">
            <v>1978.56</v>
          </cell>
        </row>
        <row r="861">
          <cell r="B861" t="str">
            <v>С121-647</v>
          </cell>
          <cell r="C861" t="str">
            <v>Основнi несучi конструкцiї для будiвель
багатоповерхових, виробничого та
невиробничого призначення, висотою до
100 м: колони, опорнi плити, балки
перекриттiв пiд встановлення устаткування
та покриттiв, ферми покриттiв та
мiжповерхових перекриттiв, зв'язки,
фахверки стiн, при реконструкцiї будiвель</v>
          </cell>
          <cell r="D861" t="str">
            <v>т</v>
          </cell>
          <cell r="E861">
            <v>5.0856000000000003</v>
          </cell>
          <cell r="F861">
            <v>47003.54</v>
          </cell>
          <cell r="G861">
            <v>239041.2</v>
          </cell>
        </row>
        <row r="862">
          <cell r="B862" t="str">
            <v>Е9-48-1</v>
          </cell>
          <cell r="C862" t="str">
            <v>Електродугове зварювання при монтажi
каркасiв</v>
          </cell>
          <cell r="D862" t="str">
            <v>т</v>
          </cell>
          <cell r="E862">
            <v>4.9607999999999999</v>
          </cell>
          <cell r="F862">
            <v>902.14</v>
          </cell>
          <cell r="G862">
            <v>4475.34</v>
          </cell>
        </row>
        <row r="863">
          <cell r="B863" t="str">
            <v>Е9-49-1</v>
          </cell>
          <cell r="C863" t="str">
            <v>Ставлення болтiв будiвельних з гайками й
шайбами</v>
          </cell>
          <cell r="D863" t="str">
            <v>100шт</v>
          </cell>
          <cell r="E863">
            <v>2.8</v>
          </cell>
          <cell r="F863">
            <v>1394.03</v>
          </cell>
          <cell r="G863">
            <v>3903.28</v>
          </cell>
        </row>
        <row r="864">
          <cell r="B864" t="str">
            <v>С111-1848</v>
          </cell>
          <cell r="C864" t="str">
            <v>Болти будiвельнi з гайками та шайбами</v>
          </cell>
          <cell r="D864" t="str">
            <v>т</v>
          </cell>
          <cell r="E864">
            <v>3.6400000000000002E-2</v>
          </cell>
          <cell r="F864">
            <v>46210.81</v>
          </cell>
          <cell r="G864">
            <v>1682.07</v>
          </cell>
        </row>
        <row r="865">
          <cell r="B865" t="str">
            <v>ЕН11-11-1</v>
          </cell>
          <cell r="C865" t="str">
            <v>Улаштування стяжок цементних
товщиною 20 мм</v>
          </cell>
          <cell r="D865" t="str">
            <v>100м2</v>
          </cell>
          <cell r="E865">
            <v>8.0000000000000002E-3</v>
          </cell>
          <cell r="F865">
            <v>3966.08</v>
          </cell>
          <cell r="G865">
            <v>31.73</v>
          </cell>
        </row>
        <row r="866">
          <cell r="B866" t="str">
            <v>ЕН11-11-2к=6</v>
          </cell>
          <cell r="C866" t="str">
            <v>Додавати на кожнi 5 мм змiни товщини
стяжок цементних до товщини 50мм
(вузол 21)</v>
          </cell>
          <cell r="D866" t="str">
            <v>100м2</v>
          </cell>
          <cell r="E866">
            <v>8.0000000000000002E-3</v>
          </cell>
          <cell r="F866">
            <v>775.5</v>
          </cell>
          <cell r="G866">
            <v>6.2</v>
          </cell>
        </row>
        <row r="867">
          <cell r="B867" t="str">
            <v>С1425-11685</v>
          </cell>
          <cell r="C867" t="str">
            <v>Розчин готовий кладковий важкий
цементний, марка М200</v>
          </cell>
          <cell r="D867" t="str">
            <v>м3</v>
          </cell>
          <cell r="E867">
            <v>4.0800000000000003E-2</v>
          </cell>
          <cell r="F867">
            <v>2381.52</v>
          </cell>
          <cell r="G867">
            <v>97.17</v>
          </cell>
        </row>
        <row r="868">
          <cell r="B868" t="str">
            <v>ЕН11-11-1</v>
          </cell>
          <cell r="C868" t="str">
            <v>Улаштування стяжок цементних
товщиною 20 мм</v>
          </cell>
          <cell r="D868" t="str">
            <v>100м2</v>
          </cell>
          <cell r="E868">
            <v>1.8000000000000002E-3</v>
          </cell>
          <cell r="F868">
            <v>3966.08</v>
          </cell>
          <cell r="G868">
            <v>7.14</v>
          </cell>
        </row>
        <row r="869">
          <cell r="B869" t="str">
            <v>ЕН11-11-2к=2</v>
          </cell>
          <cell r="C869" t="str">
            <v>Додавати на кожнi 5 мм змiни товщини
стяжок цементних до товщини 30мм</v>
          </cell>
          <cell r="D869" t="str">
            <v>100м2</v>
          </cell>
          <cell r="E869">
            <v>1.8000000000000002E-3</v>
          </cell>
          <cell r="F869">
            <v>258.5</v>
          </cell>
          <cell r="G869">
            <v>0.47</v>
          </cell>
        </row>
        <row r="870">
          <cell r="B870" t="str">
            <v>С1425-11685</v>
          </cell>
          <cell r="C870" t="str">
            <v>Розчин готовий кладковий важкий
цементний, марка М200</v>
          </cell>
          <cell r="D870" t="str">
            <v>м3</v>
          </cell>
          <cell r="E870">
            <v>5.5079999999999999E-3</v>
          </cell>
          <cell r="F870">
            <v>2381.52</v>
          </cell>
          <cell r="G870">
            <v>13.12</v>
          </cell>
        </row>
        <row r="871">
          <cell r="B871" t="str">
            <v>Е9-42-1</v>
          </cell>
          <cell r="C871" t="str">
            <v>Монтаж настилу з профiльованого листа
при висотi будiвлi до 25 м</v>
          </cell>
          <cell r="D871" t="str">
            <v>100м2</v>
          </cell>
          <cell r="E871">
            <v>1.753744</v>
          </cell>
          <cell r="F871">
            <v>10060.549999999999</v>
          </cell>
          <cell r="G871">
            <v>17643.63</v>
          </cell>
        </row>
        <row r="872">
          <cell r="B872" t="str">
            <v>С111-1807-11-С</v>
          </cell>
          <cell r="C872" t="str">
            <v>Профнастил ТП 150-870-1,0А (позитив)</v>
          </cell>
          <cell r="D872" t="str">
            <v>м2</v>
          </cell>
          <cell r="E872" t="str">
            <v>182,
57382</v>
          </cell>
          <cell r="F872">
            <v>721.2</v>
          </cell>
          <cell r="G872">
            <v>131672.24</v>
          </cell>
        </row>
        <row r="873">
          <cell r="B873" t="str">
            <v>С111-1807-10-Р</v>
          </cell>
          <cell r="C873" t="str">
            <v>Профнастил ТП 150-580-1,0А (позитив)</v>
          </cell>
          <cell r="D873" t="str">
            <v>м2</v>
          </cell>
          <cell r="E873">
            <v>4.3680000000000003</v>
          </cell>
          <cell r="F873">
            <v>661.12</v>
          </cell>
          <cell r="G873">
            <v>2887.77</v>
          </cell>
        </row>
        <row r="874">
          <cell r="B874" t="str">
            <v>С111-1850-1</v>
          </cell>
          <cell r="C874" t="str">
            <v>Гвинти самонарiзнi для крiплення
профiльованого настилу 5,5х32</v>
          </cell>
          <cell r="D874" t="str">
            <v>100шт</v>
          </cell>
          <cell r="E874">
            <v>2.2400000000000002</v>
          </cell>
          <cell r="F874">
            <v>205.89</v>
          </cell>
          <cell r="G874">
            <v>461.19</v>
          </cell>
        </row>
        <row r="875">
          <cell r="B875" t="str">
            <v>С111-1850-2</v>
          </cell>
          <cell r="C875" t="str">
            <v>Гвинти самонарiзнi для крiплення
профiльованого настилу 4,2х19</v>
          </cell>
          <cell r="D875" t="str">
            <v>100шт</v>
          </cell>
          <cell r="E875">
            <v>2.77</v>
          </cell>
          <cell r="F875">
            <v>254.47</v>
          </cell>
          <cell r="G875">
            <v>704.88</v>
          </cell>
        </row>
        <row r="876">
          <cell r="B876" t="str">
            <v>Е9-42-1</v>
          </cell>
          <cell r="C876" t="str">
            <v>Монтаж покрiвельного покриття з
профiльованого листа при висотi будiвлi
до 25 м</v>
          </cell>
          <cell r="D876" t="str">
            <v>100м2</v>
          </cell>
          <cell r="E876">
            <v>14.472250000000001</v>
          </cell>
          <cell r="F876">
            <v>10145.35</v>
          </cell>
          <cell r="G876">
            <v>146826.04</v>
          </cell>
        </row>
        <row r="877">
          <cell r="B877" t="str">
            <v>С111-1807-11-С</v>
          </cell>
          <cell r="C877" t="str">
            <v>Профнастил ТП 150-870-1,0А (позитив)</v>
          </cell>
          <cell r="D877" t="str">
            <v>м2</v>
          </cell>
          <cell r="E877" t="str">
            <v>1474,
4994</v>
          </cell>
          <cell r="F877">
            <v>721.2</v>
          </cell>
          <cell r="G877" t="str">
            <v>1063408,
97</v>
          </cell>
        </row>
        <row r="878">
          <cell r="B878" t="str">
            <v>С111-1807-10-Р</v>
          </cell>
          <cell r="C878" t="str">
            <v>Профнастил ТП 150-580-1,0А (позитив)</v>
          </cell>
          <cell r="D878" t="str">
            <v>м2</v>
          </cell>
          <cell r="E878">
            <v>22.17</v>
          </cell>
          <cell r="F878">
            <v>661.12</v>
          </cell>
          <cell r="G878">
            <v>14657.03</v>
          </cell>
        </row>
        <row r="879">
          <cell r="B879" t="str">
            <v>С111-1807-9-П</v>
          </cell>
          <cell r="C879" t="str">
            <v>Профнастил ТП 92-915-1,0 (позитив)</v>
          </cell>
          <cell r="D879" t="str">
            <v>м2</v>
          </cell>
          <cell r="E879">
            <v>28.803999999999998</v>
          </cell>
          <cell r="F879">
            <v>583.6</v>
          </cell>
          <cell r="G879">
            <v>16810.009999999998</v>
          </cell>
        </row>
        <row r="880">
          <cell r="B880" t="str">
            <v>С111-1850-1</v>
          </cell>
          <cell r="C880" t="str">
            <v>Гвинти самонарiзнi для крiплення
профiльованого настилу 5,5х32</v>
          </cell>
          <cell r="D880" t="str">
            <v>100шт</v>
          </cell>
          <cell r="E880">
            <v>12.63</v>
          </cell>
          <cell r="F880">
            <v>205.89</v>
          </cell>
          <cell r="G880">
            <v>2600.39</v>
          </cell>
        </row>
        <row r="881">
          <cell r="B881" t="str">
            <v>С111-1850-2</v>
          </cell>
          <cell r="C881" t="str">
            <v>Гвинти самонарiзнi для крiплення
профiльованого настилу 4,2х19</v>
          </cell>
          <cell r="D881" t="str">
            <v>100шт</v>
          </cell>
          <cell r="E881">
            <v>34.31</v>
          </cell>
          <cell r="F881">
            <v>254.47</v>
          </cell>
          <cell r="G881">
            <v>8730.8700000000008</v>
          </cell>
        </row>
        <row r="882">
          <cell r="B882" t="str">
            <v>ЖР4-131-1</v>
          </cell>
          <cell r="C882" t="str">
            <v>Свердлення отворів в елементах
устаткування і конструкціях з вуглецевої
стали, діаметр до 15 мм. глибина
свердління до 10 мм</v>
          </cell>
          <cell r="D882" t="str">
            <v>100 отв.</v>
          </cell>
          <cell r="E882">
            <v>6.58</v>
          </cell>
          <cell r="F882">
            <v>332.79</v>
          </cell>
          <cell r="G882">
            <v>2189.7600000000002</v>
          </cell>
        </row>
        <row r="883">
          <cell r="B883" t="str">
            <v>Е9-34-4т.ч.т.5 к=1,03</v>
          </cell>
          <cell r="C883" t="str">
            <v>Монтаж пiдвiсок i хомутiв для крiплення
обладнання всерединi будiвель i споруд</v>
          </cell>
          <cell r="D883" t="str">
            <v>т</v>
          </cell>
          <cell r="E883">
            <v>0.52408999999999983</v>
          </cell>
          <cell r="F883">
            <v>12185.94</v>
          </cell>
          <cell r="G883">
            <v>6386.53</v>
          </cell>
        </row>
        <row r="884">
          <cell r="B884" t="str">
            <v>С121-784-1-Ц</v>
          </cell>
          <cell r="C884" t="str">
            <v>BIS підвіска-трапеція Vds "Walraven" арт.№
6785010</v>
          </cell>
          <cell r="D884" t="str">
            <v>шт</v>
          </cell>
          <cell r="E884">
            <v>329</v>
          </cell>
          <cell r="F884">
            <v>28.51</v>
          </cell>
          <cell r="G884">
            <v>9379.7900000000009</v>
          </cell>
        </row>
        <row r="885">
          <cell r="B885" t="str">
            <v>С121-784-2-У</v>
          </cell>
          <cell r="C885" t="str">
            <v>Шпилька 10х190 "Walraven" DIN 976-1 M10</v>
          </cell>
          <cell r="D885" t="str">
            <v>шт</v>
          </cell>
          <cell r="E885">
            <v>329</v>
          </cell>
          <cell r="F885">
            <v>6.36</v>
          </cell>
          <cell r="G885">
            <v>2092.44</v>
          </cell>
        </row>
        <row r="886">
          <cell r="B886" t="str">
            <v>С121-784-2Н</v>
          </cell>
          <cell r="C886" t="str">
            <v>Шпилька 10х2000 "Walraven" DIN 976-1 M10</v>
          </cell>
          <cell r="D886" t="str">
            <v>шт</v>
          </cell>
          <cell r="E886">
            <v>80</v>
          </cell>
          <cell r="F886">
            <v>67.16</v>
          </cell>
          <cell r="G886">
            <v>5372.8</v>
          </cell>
        </row>
        <row r="887">
          <cell r="B887" t="str">
            <v>С121-784-6</v>
          </cell>
          <cell r="C887" t="str">
            <v>Гвинт з кільцем 10х200 (гвинт-гак О з
метричною різьбою)</v>
          </cell>
          <cell r="D887" t="str">
            <v>шт</v>
          </cell>
          <cell r="E887">
            <v>249</v>
          </cell>
          <cell r="F887">
            <v>19.46</v>
          </cell>
          <cell r="G887">
            <v>4845.54</v>
          </cell>
        </row>
        <row r="888">
          <cell r="B888" t="str">
            <v>С111-124-2</v>
          </cell>
          <cell r="C888" t="str">
            <v>Гайка M10</v>
          </cell>
          <cell r="D888" t="str">
            <v>шт</v>
          </cell>
          <cell r="E888">
            <v>987</v>
          </cell>
          <cell r="F888">
            <v>0.43</v>
          </cell>
          <cell r="G888">
            <v>424.41</v>
          </cell>
        </row>
        <row r="889">
          <cell r="B889" t="str">
            <v>С111-1904-11</v>
          </cell>
          <cell r="C889" t="str">
            <v>Шайба М10</v>
          </cell>
          <cell r="D889" t="str">
            <v>шт</v>
          </cell>
          <cell r="E889">
            <v>987</v>
          </cell>
          <cell r="F889">
            <v>0.23</v>
          </cell>
          <cell r="G889">
            <v>227.01</v>
          </cell>
        </row>
        <row r="890">
          <cell r="B890" t="str">
            <v>С111-1861-1</v>
          </cell>
          <cell r="C890" t="str">
            <v>Ланцюг долголанк. 4.0мм цб. "METALVIS"
DIN 763</v>
          </cell>
          <cell r="D890" t="str">
            <v>м</v>
          </cell>
          <cell r="E890">
            <v>996</v>
          </cell>
          <cell r="F890">
            <v>21.38</v>
          </cell>
          <cell r="G890">
            <v>21294.48</v>
          </cell>
        </row>
        <row r="891">
          <cell r="B891" t="str">
            <v>С111-1861-2</v>
          </cell>
          <cell r="C891" t="str">
            <v>Карабін 4.0х40 пожежний цб."METALVIS"
DIN 5299С</v>
          </cell>
          <cell r="D891" t="str">
            <v>шт</v>
          </cell>
          <cell r="E891">
            <v>996</v>
          </cell>
          <cell r="F891">
            <v>6.19</v>
          </cell>
          <cell r="G891">
            <v>6165.24</v>
          </cell>
        </row>
        <row r="892">
          <cell r="B892" t="str">
            <v>Е9-25-1т.ч.т.5 к=1,03</v>
          </cell>
          <cell r="C892" t="str">
            <v>Монтаж балок під обладнання кроком до
12 м при висотi будiвлi до 25 м</v>
          </cell>
          <cell r="D892" t="str">
            <v>т</v>
          </cell>
          <cell r="E892">
            <v>5.6000000000000001E-2</v>
          </cell>
          <cell r="F892">
            <v>5261.6</v>
          </cell>
          <cell r="G892">
            <v>294.64999999999998</v>
          </cell>
        </row>
        <row r="893">
          <cell r="B893" t="str">
            <v>С121-545</v>
          </cell>
          <cell r="C893" t="str">
            <v>Балки під обладнання</v>
          </cell>
          <cell r="D893" t="str">
            <v>т</v>
          </cell>
          <cell r="E893">
            <v>5.6000000000000001E-2</v>
          </cell>
          <cell r="F893">
            <v>47003.54</v>
          </cell>
          <cell r="G893">
            <v>2632.2</v>
          </cell>
        </row>
        <row r="894">
          <cell r="B894" t="str">
            <v>Е9-62-4т.ч.т.5 к=1,03</v>
          </cell>
          <cell r="C894" t="str">
            <v>Опори пiд трубопроводи, опорнi частини,
сiдла, кронштейни, хомути</v>
          </cell>
          <cell r="D894" t="str">
            <v>т</v>
          </cell>
          <cell r="E894">
            <v>0.10400000000000001</v>
          </cell>
          <cell r="F894">
            <v>15192.71</v>
          </cell>
          <cell r="G894">
            <v>1580.04</v>
          </cell>
        </row>
        <row r="895">
          <cell r="B895" t="str">
            <v>С121-545</v>
          </cell>
          <cell r="C895" t="str">
            <v>Кронштейни</v>
          </cell>
          <cell r="D895" t="str">
            <v>т</v>
          </cell>
          <cell r="E895">
            <v>0.10400000000000001</v>
          </cell>
          <cell r="F895">
            <v>47003.54</v>
          </cell>
          <cell r="G895">
            <v>4888.37</v>
          </cell>
        </row>
        <row r="896">
          <cell r="B896" t="str">
            <v>Е9-34-1</v>
          </cell>
          <cell r="C896" t="str">
            <v>Монтаж опорних конструкцiй для
крiплення трубопроводiв всерединi
будiвель i споруд масою до 0,1 т</v>
          </cell>
          <cell r="D896" t="str">
            <v>т</v>
          </cell>
          <cell r="E896">
            <v>0.2288</v>
          </cell>
          <cell r="F896">
            <v>10929.5</v>
          </cell>
          <cell r="G896">
            <v>2500.67</v>
          </cell>
        </row>
        <row r="897">
          <cell r="B897" t="str">
            <v>С121-545</v>
          </cell>
          <cell r="C897" t="str">
            <v>Стійки під трубопроводи</v>
          </cell>
          <cell r="D897" t="str">
            <v>т</v>
          </cell>
          <cell r="E897">
            <v>0.2288</v>
          </cell>
          <cell r="F897">
            <v>47003.54</v>
          </cell>
          <cell r="G897">
            <v>10754.41</v>
          </cell>
        </row>
        <row r="898">
          <cell r="B898" t="str">
            <v>Е9-61-5т.ч.т.5 к=1,03</v>
          </cell>
          <cell r="C898" t="str">
            <v>Монтаж вентиляційних стаканів з
листової сталi</v>
          </cell>
          <cell r="D898" t="str">
            <v>т</v>
          </cell>
          <cell r="E898">
            <v>0.1673</v>
          </cell>
          <cell r="F898">
            <v>9057.06</v>
          </cell>
          <cell r="G898">
            <v>1515.25</v>
          </cell>
        </row>
        <row r="899">
          <cell r="B899" t="str">
            <v>С121-589</v>
          </cell>
          <cell r="C899" t="str">
            <v>Вентиляційні стакани з листової сталі</v>
          </cell>
          <cell r="D899" t="str">
            <v>т</v>
          </cell>
          <cell r="E899">
            <v>0.1673</v>
          </cell>
          <cell r="F899">
            <v>38762.35</v>
          </cell>
          <cell r="G899">
            <v>6484.94</v>
          </cell>
        </row>
        <row r="900">
          <cell r="B900" t="str">
            <v>Е9-48-2</v>
          </cell>
          <cell r="C900" t="str">
            <v>Електродугове зварювання при монтажi
опорних частин каркасiв [стійки, балки]
одноповерхових виробничих будiвель</v>
          </cell>
          <cell r="D900" t="str">
            <v>т</v>
          </cell>
          <cell r="E900">
            <v>3.43</v>
          </cell>
          <cell r="F900">
            <v>368.11</v>
          </cell>
          <cell r="G900">
            <v>1262.6199999999999</v>
          </cell>
        </row>
        <row r="901">
          <cell r="B901" t="str">
            <v>Е13-16-6</v>
          </cell>
          <cell r="C901" t="str">
            <v>Грунтування металевих поверхонь за
один раз грунтовкою ГФ-021 (монтажних
швів)</v>
          </cell>
          <cell r="D901" t="str">
            <v>100м2</v>
          </cell>
          <cell r="E901">
            <v>0.10100000000000001</v>
          </cell>
          <cell r="F901">
            <v>1107.73</v>
          </cell>
          <cell r="G901">
            <v>111.88</v>
          </cell>
        </row>
        <row r="902">
          <cell r="B902" t="str">
            <v>Е13-26-6к=2</v>
          </cell>
          <cell r="C902" t="str">
            <v>Фарбування металевих погрунтованих
поверхонь емаллю ПФ-115 за 2 рази</v>
          </cell>
          <cell r="D902" t="str">
            <v>100м2</v>
          </cell>
          <cell r="E902">
            <v>2.02</v>
          </cell>
          <cell r="F902">
            <v>4011.6</v>
          </cell>
          <cell r="G902">
            <v>8103.43</v>
          </cell>
        </row>
        <row r="904">
          <cell r="B904" t="str">
            <v>ЕН10-39-1</v>
          </cell>
          <cell r="C904" t="str">
            <v>Установлення шаф</v>
          </cell>
          <cell r="D904" t="str">
            <v>100шт</v>
          </cell>
          <cell r="E904">
            <v>0.05</v>
          </cell>
          <cell r="F904">
            <v>22470.12</v>
          </cell>
          <cell r="G904">
            <v>1123.51</v>
          </cell>
        </row>
        <row r="905">
          <cell r="B905" t="str">
            <v>С130-1200-11</v>
          </cell>
          <cell r="C905" t="str">
            <v>Кран-комплект пожежний HW-52NKV для
одного пожежного крана Ду-50 у складі:
Шафа навісна HW-52NKV (600х1500х220
мм)-1шт..     Котушка для плоскоскладаного
рукава-1шт. Муфта з'єднувальна Ду-50-1шт.
Вентиль пожежний кутовий бронзовий Ду-50
з датчиком  положення     пожежного крану
(ДППК)-1шт. Головка з'єднувальна муфтова
ГМ-50 (ГМН-50)-1шт. Рукав пожежний
латексний Д-51мм L-20м-1шт.  Головка  
з'єднувальна    рукава ГМ-50 (ГРН-50)-2шт.
Ствол пожежний перекривний PWH-52 Ду-
50 зі сприском 16мм-1шт. Головка
з'єднувальна  цапкова  ГЦ-50-1шт. 
Вогнегасник порошковий (ВП-6)-2шт.</v>
          </cell>
          <cell r="D905" t="str">
            <v>шт</v>
          </cell>
          <cell r="E905">
            <v>4</v>
          </cell>
          <cell r="F905">
            <v>3686.45</v>
          </cell>
          <cell r="G905">
            <v>14745.8</v>
          </cell>
        </row>
        <row r="906">
          <cell r="B906" t="str">
            <v>С130-1200-11</v>
          </cell>
          <cell r="C906" t="str">
            <v>Кран-комплект пожежний HW-52NKS для
одного пожежного крана Ду-50 у складі:
Шафа навісна HW-52NKS (900х700х200
мм)-1шт.        Котушка для
плоскоскладаного рукава-1шт. Муфта
з'єднувальна Ду-50-1шт. Вентиль пожежний
кутовий бронзовий Ду-50 з датчиком   
положення     пожежного    крану (ДППК)-
1шт. Головка з'єднувальна муфтова ГМ-50
(ГМН-50)-1шт. Рукав пожежний латексний Д-
51мм L-20м-1шт.    Головка   з'єднувальна    
рукава ГМ-50 (ГРН-50)-2шт. Ствол
пожежний перекривний PWH-52 Ду-50 зі
сприском 16мм-1шт. Головка    з'єднувальна
цапкова ГЦ-50-1шт.     Вогнегасник
порошковий (ВП-6)-2шт.</v>
          </cell>
          <cell r="D906" t="str">
            <v>шт</v>
          </cell>
          <cell r="E906">
            <v>1</v>
          </cell>
          <cell r="F906">
            <v>3494.95</v>
          </cell>
          <cell r="G906">
            <v>3494.95</v>
          </cell>
        </row>
        <row r="907">
          <cell r="B907" t="str">
            <v>2402-3018</v>
          </cell>
          <cell r="C907" t="str">
            <v>Вогнегасник порошковий ВП-6</v>
          </cell>
          <cell r="D907" t="str">
            <v>шт</v>
          </cell>
          <cell r="E907">
            <v>10</v>
          </cell>
          <cell r="F907">
            <v>114</v>
          </cell>
          <cell r="G907">
            <v>1140</v>
          </cell>
        </row>
        <row r="908">
          <cell r="B908" t="str">
            <v>Е16-20-1</v>
          </cell>
          <cell r="C908" t="str">
            <v>Установлення кранiв пожежних дiаметром
50 мм</v>
          </cell>
          <cell r="D908" t="str">
            <v>шт</v>
          </cell>
          <cell r="E908">
            <v>5</v>
          </cell>
          <cell r="F908">
            <v>105.67</v>
          </cell>
          <cell r="G908">
            <v>528.35</v>
          </cell>
        </row>
        <row r="909">
          <cell r="B909" t="str">
            <v>Е16-15-2</v>
          </cell>
          <cell r="C909" t="str">
            <v>Установлення вентилiв, засувок, затворiв,
клапанiв зворотних, кранiв прохiдних на
трубопроводах iз стальних труб
дiаметром до 50 мм</v>
          </cell>
          <cell r="D909" t="str">
            <v>шт</v>
          </cell>
          <cell r="E909">
            <v>1</v>
          </cell>
          <cell r="F909">
            <v>270.73</v>
          </cell>
          <cell r="G909">
            <v>270.73</v>
          </cell>
        </row>
        <row r="910">
          <cell r="B910" t="str">
            <v>С1630-65</v>
          </cell>
          <cell r="C910" t="str">
            <v>Засувки паралельнi фланцевi з висувним
шпiнделем 30ч6бр для води та пари, тиск 1
МПа [10 кгс/см2], дiаметр 50 мм</v>
          </cell>
          <cell r="D910" t="str">
            <v>шт</v>
          </cell>
          <cell r="E910">
            <v>1</v>
          </cell>
          <cell r="F910">
            <v>795.03</v>
          </cell>
          <cell r="G910">
            <v>795.03</v>
          </cell>
        </row>
        <row r="911">
          <cell r="B911" t="str">
            <v>С130-966</v>
          </cell>
          <cell r="C911" t="str">
            <v>Фланцi плоскi приварнi iз сталi ВСт3сп2,
ВСт3сп3, тиск 1,0 МПа [10 кгс/см2], дiаметр
50 мм</v>
          </cell>
          <cell r="D911" t="str">
            <v>шт</v>
          </cell>
          <cell r="E911">
            <v>2</v>
          </cell>
          <cell r="F911">
            <v>254.44</v>
          </cell>
          <cell r="G911">
            <v>508.88</v>
          </cell>
        </row>
        <row r="912">
          <cell r="B912" t="str">
            <v>С1630-1432</v>
          </cell>
          <cell r="C912" t="str">
            <v>Кран кульовий муфтовий для води Ру до 1,6
МПа та Т до 150_С, DN 15 мм</v>
          </cell>
          <cell r="D912" t="str">
            <v>шт</v>
          </cell>
          <cell r="E912">
            <v>19</v>
          </cell>
          <cell r="F912">
            <v>96.9</v>
          </cell>
          <cell r="G912">
            <v>1841.1</v>
          </cell>
        </row>
        <row r="913">
          <cell r="B913" t="str">
            <v>С1630-1433</v>
          </cell>
          <cell r="C913" t="str">
            <v>Кран кульовий муфтовий для води Ру до 1,6
МПа та Т до 150_С, DN 20 мм</v>
          </cell>
          <cell r="D913" t="str">
            <v>шт</v>
          </cell>
          <cell r="E913">
            <v>3</v>
          </cell>
          <cell r="F913">
            <v>137.15</v>
          </cell>
          <cell r="G913">
            <v>411.45</v>
          </cell>
        </row>
        <row r="914">
          <cell r="B914" t="str">
            <v>С1630-670</v>
          </cell>
          <cell r="C914" t="str">
            <v>Кран кульовий муфтовий для води Ру до 1,6
МПа та Т до 150_С, DN 25 мм</v>
          </cell>
          <cell r="D914" t="str">
            <v>шт</v>
          </cell>
          <cell r="E914">
            <v>4</v>
          </cell>
          <cell r="F914">
            <v>214.24</v>
          </cell>
          <cell r="G914">
            <v>856.96</v>
          </cell>
        </row>
        <row r="915">
          <cell r="B915" t="str">
            <v>С1630-671</v>
          </cell>
          <cell r="C915" t="str">
            <v>Кран кульовий муфтовий для води Ру до 1,6
МПа та Т до 150_С, DN 32 мм</v>
          </cell>
          <cell r="D915" t="str">
            <v>шт</v>
          </cell>
          <cell r="E915">
            <v>3</v>
          </cell>
          <cell r="F915">
            <v>311.68</v>
          </cell>
          <cell r="G915">
            <v>935.04</v>
          </cell>
        </row>
        <row r="916">
          <cell r="B916" t="str">
            <v>С1630-536</v>
          </cell>
          <cell r="C916" t="str">
            <v>Клапан зворотний на Ру 1,0 МПа та Т до
90_С D 15 мм</v>
          </cell>
          <cell r="D916" t="str">
            <v>шт</v>
          </cell>
          <cell r="E916">
            <v>1</v>
          </cell>
          <cell r="F916">
            <v>169.29</v>
          </cell>
          <cell r="G916">
            <v>169.29</v>
          </cell>
        </row>
        <row r="917">
          <cell r="B917" t="str">
            <v>Е16-20-2</v>
          </cell>
          <cell r="C917" t="str">
            <v>Установлення кранiв поливальних
дiаметром 25 мм</v>
          </cell>
          <cell r="D917" t="str">
            <v>шт</v>
          </cell>
          <cell r="E917">
            <v>8</v>
          </cell>
          <cell r="F917">
            <v>35.44</v>
          </cell>
          <cell r="G917">
            <v>283.52</v>
          </cell>
        </row>
        <row r="918">
          <cell r="B918" t="str">
            <v>С130-465</v>
          </cell>
          <cell r="C918" t="str">
            <v>Кран різьбовий водорозбiрний на Ру до
1.0МПа та Т до 100_С DN 3/4"x1"  UKSPAR</v>
          </cell>
          <cell r="D918" t="str">
            <v>шт</v>
          </cell>
          <cell r="E918">
            <v>8</v>
          </cell>
          <cell r="F918">
            <v>175.53</v>
          </cell>
          <cell r="G918">
            <v>1404.24</v>
          </cell>
        </row>
        <row r="919">
          <cell r="B919" t="str">
            <v>С130-608</v>
          </cell>
          <cell r="C919" t="str">
            <v>Рукав гумовий напірний з текстильним
каркасом, з комбінованою тканиною для
внутрішнього поливального крану, Ру до 1,0
МПа,   L=5м, дiаметр 25 мм</v>
          </cell>
          <cell r="D919" t="str">
            <v>м</v>
          </cell>
          <cell r="E919">
            <v>15</v>
          </cell>
          <cell r="F919">
            <v>124.98</v>
          </cell>
          <cell r="G919">
            <v>1874.7</v>
          </cell>
        </row>
        <row r="920">
          <cell r="B920" t="str">
            <v>С130-608</v>
          </cell>
          <cell r="C920" t="str">
            <v>Рукав гумовий напірний з текстильним
каркасом, з комбінованою тканиною для
внутрішнього поливального крану, Ру до 1,0
МПа,    L=20м, дiаметр 25 мм</v>
          </cell>
          <cell r="D920" t="str">
            <v>м</v>
          </cell>
          <cell r="E920">
            <v>20</v>
          </cell>
          <cell r="F920">
            <v>124.98</v>
          </cell>
          <cell r="G920">
            <v>2499.6</v>
          </cell>
        </row>
        <row r="921">
          <cell r="B921" t="str">
            <v>Е16-7-2</v>
          </cell>
          <cell r="C921" t="str">
            <v>Прокладання трубопроводiв
водопостачання зi стальних
водогазопровiдних оцинкованих труб
дiаметром 20 мм</v>
          </cell>
          <cell r="D921" t="str">
            <v>100м</v>
          </cell>
          <cell r="E921">
            <v>0.33</v>
          </cell>
          <cell r="F921">
            <v>33153.5</v>
          </cell>
          <cell r="G921">
            <v>10940.66</v>
          </cell>
        </row>
        <row r="922">
          <cell r="B922" t="str">
            <v>Е16-7-2</v>
          </cell>
          <cell r="C922" t="str">
            <v>Прокладання трубопроводiв
водопостачання зi стальних
водогазопровiдних оцинкованих труб
дiаметром 20 мм (з отворами для
перфорації)</v>
          </cell>
          <cell r="D922" t="str">
            <v>100м</v>
          </cell>
          <cell r="E922">
            <v>0.21</v>
          </cell>
          <cell r="F922">
            <v>33153.5</v>
          </cell>
          <cell r="G922">
            <v>6962.24</v>
          </cell>
        </row>
        <row r="923">
          <cell r="B923" t="str">
            <v>Е16-7-3</v>
          </cell>
          <cell r="C923" t="str">
            <v>Прокладання трубопроводiв
водопостачання зi стальних
водогазопровiдних оцинкованих труб
дiаметром 25 мм</v>
          </cell>
          <cell r="D923" t="str">
            <v>100м</v>
          </cell>
          <cell r="E923">
            <v>1.7000000000000001E-2</v>
          </cell>
          <cell r="F923">
            <v>37048.559999999998</v>
          </cell>
          <cell r="G923">
            <v>629.83000000000004</v>
          </cell>
        </row>
        <row r="924">
          <cell r="B924" t="str">
            <v>Е16-7-4</v>
          </cell>
          <cell r="C924" t="str">
            <v>Прокладання трубопроводiв
водопостачання зi стальних
водогазопровiдних оцинкованих труб
дiаметром 32 мм</v>
          </cell>
          <cell r="D924" t="str">
            <v>100м</v>
          </cell>
          <cell r="E924">
            <v>1.4999999999999999E-2</v>
          </cell>
          <cell r="F924">
            <v>40608.370000000003</v>
          </cell>
          <cell r="G924">
            <v>609.13</v>
          </cell>
        </row>
        <row r="925">
          <cell r="B925" t="str">
            <v>Е16-10-2</v>
          </cell>
          <cell r="C925" t="str">
            <v>Прокладання трубопроводiв опалення i
водопостачання зi стальних
електрозварних труб дiаметром 50 мм</v>
          </cell>
          <cell r="D925" t="str">
            <v>100м</v>
          </cell>
          <cell r="E925">
            <v>0.94</v>
          </cell>
          <cell r="F925">
            <v>48123.92</v>
          </cell>
          <cell r="G925">
            <v>45236.480000000003</v>
          </cell>
        </row>
        <row r="926">
          <cell r="B926" t="str">
            <v>Е16-29-1</v>
          </cell>
          <cell r="C926" t="str">
            <v>Гiдравлiчне випробування трубопроводiв
систем опалення, водопроводу i гарячого
водопостачання дiаметром до 50 мм</v>
          </cell>
          <cell r="D926" t="str">
            <v>100м</v>
          </cell>
          <cell r="E926">
            <v>1.302</v>
          </cell>
          <cell r="F926">
            <v>753.69</v>
          </cell>
          <cell r="G926">
            <v>981.3</v>
          </cell>
        </row>
        <row r="927">
          <cell r="B927" t="str">
            <v>Е16-14-12</v>
          </cell>
          <cell r="C927" t="str">
            <v>Прокладання трубопроводiв
водопостачання з напiрних
полiетиленових труб високого тиску
зовнiшнiм дiаметром 20 мм зі з'єднанням
терморезисторним зварюванням</v>
          </cell>
          <cell r="D927" t="str">
            <v>100м</v>
          </cell>
          <cell r="E927">
            <v>0.55000000000000004</v>
          </cell>
          <cell r="F927">
            <v>8749.2099999999991</v>
          </cell>
          <cell r="G927">
            <v>4812.07</v>
          </cell>
        </row>
        <row r="928">
          <cell r="B928" t="str">
            <v>С113-1681</v>
          </cell>
          <cell r="C928" t="str">
            <v>Труби полiпропiленовi PN 16 для теплої i
холодної води дiам. 20х2,8 мм</v>
          </cell>
          <cell r="D928" t="str">
            <v>м</v>
          </cell>
          <cell r="E928">
            <v>49.445</v>
          </cell>
          <cell r="F928">
            <v>25.92</v>
          </cell>
          <cell r="G928">
            <v>1281.6099999999999</v>
          </cell>
        </row>
        <row r="929">
          <cell r="B929" t="str">
            <v>С1530-175</v>
          </cell>
          <cell r="C929" t="str">
            <v>Угольник 90_ внутрішній/зовнішній D 20</v>
          </cell>
          <cell r="D929" t="str">
            <v>10шт</v>
          </cell>
          <cell r="E929">
            <v>0.60000000000000009</v>
          </cell>
          <cell r="F929">
            <v>90.39</v>
          </cell>
          <cell r="G929">
            <v>54.23</v>
          </cell>
        </row>
        <row r="930">
          <cell r="B930" t="str">
            <v>С1530-150</v>
          </cell>
          <cell r="C930" t="str">
            <v>Муфта перехідна внутрішня/зовнішня
D25x20 Wavin</v>
          </cell>
          <cell r="D930" t="str">
            <v>10шт</v>
          </cell>
          <cell r="E930">
            <v>0.60000000000000009</v>
          </cell>
          <cell r="F930">
            <v>70.67</v>
          </cell>
          <cell r="G930">
            <v>42.4</v>
          </cell>
        </row>
        <row r="931">
          <cell r="B931" t="str">
            <v>С113-1559</v>
          </cell>
          <cell r="C931" t="str">
            <v>Муфта протипожежна РТМК для труби D25</v>
          </cell>
          <cell r="D931" t="str">
            <v>шт</v>
          </cell>
          <cell r="E931">
            <v>2</v>
          </cell>
          <cell r="F931">
            <v>289.66000000000003</v>
          </cell>
          <cell r="G931">
            <v>579.32000000000005</v>
          </cell>
        </row>
        <row r="932">
          <cell r="B932" t="str">
            <v>С113-1879</v>
          </cell>
          <cell r="C932" t="str">
            <v>Опора дiам. 20 мм Wavin</v>
          </cell>
          <cell r="D932" t="str">
            <v>шт</v>
          </cell>
          <cell r="E932">
            <v>105</v>
          </cell>
          <cell r="F932">
            <v>4.25</v>
          </cell>
          <cell r="G932">
            <v>446.25</v>
          </cell>
        </row>
        <row r="933">
          <cell r="B933" t="str">
            <v>С1545-13-7-1Ж</v>
          </cell>
          <cell r="C933" t="str">
            <v>Шланг гнучкий в оплітці з алюмінієвого
сплаву l=40см, діам.15мм</v>
          </cell>
          <cell r="D933" t="str">
            <v>шт</v>
          </cell>
          <cell r="E933">
            <v>8</v>
          </cell>
          <cell r="F933">
            <v>137.34</v>
          </cell>
          <cell r="G933">
            <v>1098.72</v>
          </cell>
        </row>
        <row r="934">
          <cell r="B934" t="str">
            <v>С1545-13-7-1Ж</v>
          </cell>
          <cell r="C934" t="str">
            <v>Шланг гнучкий в оплітці з алюмінієвого
сплаву l=70см, діам.15мм</v>
          </cell>
          <cell r="D934" t="str">
            <v>шт</v>
          </cell>
          <cell r="E934">
            <v>6</v>
          </cell>
          <cell r="F934">
            <v>151.83000000000001</v>
          </cell>
          <cell r="G934">
            <v>910.98</v>
          </cell>
        </row>
        <row r="935">
          <cell r="B935" t="str">
            <v>Е16-14-14</v>
          </cell>
          <cell r="C935" t="str">
            <v>Прокладання трубопроводiв
водопостачання з напiрних
полiетиленових труб високого тиску
зовнiшнiм дiаметром 32 мм зі з'єднанням
терморезисторним зварюванням</v>
          </cell>
          <cell r="D935" t="str">
            <v>100м</v>
          </cell>
          <cell r="E935">
            <v>0.26</v>
          </cell>
          <cell r="F935">
            <v>8498.68</v>
          </cell>
          <cell r="G935">
            <v>2209.66</v>
          </cell>
        </row>
        <row r="936">
          <cell r="B936" t="str">
            <v>С113-1683</v>
          </cell>
          <cell r="C936" t="str">
            <v>Труби полiпропiленовi PN 16 для теплої i
холодної води дiам. 32х4,4 мм</v>
          </cell>
          <cell r="D936" t="str">
            <v>м</v>
          </cell>
          <cell r="E936">
            <v>24.388000000000002</v>
          </cell>
          <cell r="F936">
            <v>63.29</v>
          </cell>
          <cell r="G936">
            <v>1543.52</v>
          </cell>
        </row>
        <row r="937">
          <cell r="B937" t="str">
            <v>С1530-151</v>
          </cell>
          <cell r="C937" t="str">
            <v>Муфта перехідна D32x20 Wavin</v>
          </cell>
          <cell r="D937" t="str">
            <v>10шт</v>
          </cell>
          <cell r="E937">
            <v>0.4</v>
          </cell>
          <cell r="F937">
            <v>117.76</v>
          </cell>
          <cell r="G937">
            <v>47.1</v>
          </cell>
        </row>
        <row r="938">
          <cell r="B938" t="str">
            <v>С1530-157</v>
          </cell>
          <cell r="C938" t="str">
            <v>Перехiд поліпропіленовий з металевою
внутрішньою різьбою D32x1" Wavin</v>
          </cell>
          <cell r="D938" t="str">
            <v>10шт</v>
          </cell>
          <cell r="E938">
            <v>0.1</v>
          </cell>
          <cell r="F938">
            <v>821.77</v>
          </cell>
          <cell r="G938">
            <v>82.18</v>
          </cell>
        </row>
        <row r="939">
          <cell r="B939" t="str">
            <v>С113-1559</v>
          </cell>
          <cell r="C939" t="str">
            <v>Муфта протипожежна РТМК для труби D32</v>
          </cell>
          <cell r="D939" t="str">
            <v>шт</v>
          </cell>
          <cell r="E939">
            <v>2</v>
          </cell>
          <cell r="F939">
            <v>357.69</v>
          </cell>
          <cell r="G939">
            <v>715.38</v>
          </cell>
        </row>
        <row r="940">
          <cell r="B940" t="str">
            <v>С113-1881</v>
          </cell>
          <cell r="C940" t="str">
            <v>Опора дiам. 32 мм Wavin</v>
          </cell>
          <cell r="D940" t="str">
            <v>шт</v>
          </cell>
          <cell r="E940">
            <v>55</v>
          </cell>
          <cell r="F940">
            <v>7.55</v>
          </cell>
          <cell r="G940">
            <v>415.25</v>
          </cell>
        </row>
        <row r="941">
          <cell r="B941" t="str">
            <v>Е16-14-15</v>
          </cell>
          <cell r="C941" t="str">
            <v>Прокладання трубопроводiв
водопостачання з напiрних
полiетиленових труб високого тиску
зовнiшнiм дiаметром 40 мм зі з'єднанням
терморезисторним зварюванням</v>
          </cell>
          <cell r="D941" t="str">
            <v>100м</v>
          </cell>
          <cell r="E941">
            <v>0.15</v>
          </cell>
          <cell r="F941">
            <v>9357.65</v>
          </cell>
          <cell r="G941">
            <v>1403.65</v>
          </cell>
        </row>
        <row r="942">
          <cell r="B942" t="str">
            <v>С113-1684</v>
          </cell>
          <cell r="C942" t="str">
            <v>Труби полiпропiленовi PN 16 для теплої i
холодної води дiам. 40х5,5 мм</v>
          </cell>
          <cell r="D942" t="str">
            <v>м</v>
          </cell>
          <cell r="E942">
            <v>14.055</v>
          </cell>
          <cell r="F942">
            <v>97.91</v>
          </cell>
          <cell r="G942">
            <v>1376.13</v>
          </cell>
        </row>
        <row r="943">
          <cell r="B943" t="str">
            <v>С1530-152</v>
          </cell>
          <cell r="C943" t="str">
            <v>Муфта перехідна D40x20 Wavin</v>
          </cell>
          <cell r="D943" t="str">
            <v>10шт</v>
          </cell>
          <cell r="E943">
            <v>0.2</v>
          </cell>
          <cell r="F943">
            <v>157.04</v>
          </cell>
          <cell r="G943">
            <v>31.41</v>
          </cell>
        </row>
        <row r="944">
          <cell r="B944" t="str">
            <v>С1530-152</v>
          </cell>
          <cell r="C944" t="str">
            <v>Муфта перехідна D40x32 Wavin</v>
          </cell>
          <cell r="D944" t="str">
            <v>10шт</v>
          </cell>
          <cell r="E944">
            <v>0.1</v>
          </cell>
          <cell r="F944">
            <v>184.51</v>
          </cell>
          <cell r="G944">
            <v>18.45</v>
          </cell>
        </row>
        <row r="945">
          <cell r="B945" t="str">
            <v>С1530-158</v>
          </cell>
          <cell r="C945" t="str">
            <v>Перехiд поліпропіленовий з металевою
внутрішньою різьбою D40x5/4" Wavin</v>
          </cell>
          <cell r="D945" t="str">
            <v>10шт</v>
          </cell>
          <cell r="E945">
            <v>0.2</v>
          </cell>
          <cell r="F945">
            <v>2002.72</v>
          </cell>
          <cell r="G945">
            <v>400.54</v>
          </cell>
        </row>
        <row r="946">
          <cell r="B946" t="str">
            <v>С113-1882</v>
          </cell>
          <cell r="C946" t="str">
            <v>Опора дiам. 40 мм Wavin</v>
          </cell>
          <cell r="D946" t="str">
            <v>шт</v>
          </cell>
          <cell r="E946">
            <v>28</v>
          </cell>
          <cell r="F946">
            <v>8.93</v>
          </cell>
          <cell r="G946">
            <v>250.04</v>
          </cell>
        </row>
        <row r="947">
          <cell r="B947" t="str">
            <v>С113-138</v>
          </cell>
          <cell r="C947" t="str">
            <v>Труби сталевi електрозварнi прямошовнi iз
сталi марки 20, зовнiшнiй дiаметр 57 мм,
товщина стiнки 3 мм (для гільз)</v>
          </cell>
          <cell r="D947" t="str">
            <v>м</v>
          </cell>
          <cell r="E947">
            <v>2</v>
          </cell>
          <cell r="F947">
            <v>141.81</v>
          </cell>
          <cell r="G947">
            <v>283.62</v>
          </cell>
        </row>
        <row r="948">
          <cell r="B948" t="str">
            <v>ЕН26-11-1</v>
          </cell>
          <cell r="C948" t="str">
            <v>Ізоляція трубопроводів трубками із
спіненого каучуку, поліетилену</v>
          </cell>
          <cell r="D948" t="str">
            <v>10 м</v>
          </cell>
          <cell r="E948">
            <v>9.6</v>
          </cell>
          <cell r="F948">
            <v>234.29</v>
          </cell>
          <cell r="G948">
            <v>2249.1799999999998</v>
          </cell>
        </row>
        <row r="949">
          <cell r="B949" t="str">
            <v>С114-98-Л</v>
          </cell>
          <cell r="C949" t="str">
            <v>Ізоляція із вспіненого поліетилену K-FLEX
PE 9х22</v>
          </cell>
          <cell r="D949" t="str">
            <v>м</v>
          </cell>
          <cell r="E949">
            <v>56.1</v>
          </cell>
          <cell r="F949">
            <v>23.22</v>
          </cell>
          <cell r="G949">
            <v>1302.6400000000001</v>
          </cell>
        </row>
        <row r="950">
          <cell r="B950" t="str">
            <v>С114-98-Л</v>
          </cell>
          <cell r="C950" t="str">
            <v>Ізоляція із вспіненого поліетилену K-FLEX
PE 9х35</v>
          </cell>
          <cell r="D950" t="str">
            <v>м</v>
          </cell>
          <cell r="E950">
            <v>26.52</v>
          </cell>
          <cell r="F950">
            <v>36.979999999999997</v>
          </cell>
          <cell r="G950">
            <v>980.71</v>
          </cell>
        </row>
        <row r="951">
          <cell r="B951" t="str">
            <v>С114-98-Л</v>
          </cell>
          <cell r="C951" t="str">
            <v>Ізоляція із вспіненого поліетилену K-FLEX
PE 9х42</v>
          </cell>
          <cell r="D951" t="str">
            <v>м</v>
          </cell>
          <cell r="E951">
            <v>15.3</v>
          </cell>
          <cell r="F951">
            <v>42.72</v>
          </cell>
          <cell r="G951">
            <v>653.62</v>
          </cell>
        </row>
        <row r="952">
          <cell r="B952" t="str">
            <v>С1630-85-У</v>
          </cell>
          <cell r="C952" t="str">
            <v>Кліпса монтажна, діам.20мм</v>
          </cell>
          <cell r="D952" t="str">
            <v>шт</v>
          </cell>
          <cell r="E952">
            <v>165</v>
          </cell>
          <cell r="F952">
            <v>3.42</v>
          </cell>
          <cell r="G952">
            <v>564.29999999999995</v>
          </cell>
        </row>
        <row r="953">
          <cell r="B953" t="str">
            <v>С1630-85-У</v>
          </cell>
          <cell r="C953" t="str">
            <v>Кліпса монтажна, діам.32мм</v>
          </cell>
          <cell r="D953" t="str">
            <v>шт</v>
          </cell>
          <cell r="E953">
            <v>78</v>
          </cell>
          <cell r="F953">
            <v>4.67</v>
          </cell>
          <cell r="G953">
            <v>364.26</v>
          </cell>
        </row>
        <row r="954">
          <cell r="B954" t="str">
            <v>С1630-85-У</v>
          </cell>
          <cell r="C954" t="str">
            <v>Кліпса монтажна, діам.40мм</v>
          </cell>
          <cell r="D954" t="str">
            <v>шт</v>
          </cell>
          <cell r="E954">
            <v>45</v>
          </cell>
          <cell r="F954">
            <v>8.4</v>
          </cell>
          <cell r="G954">
            <v>378</v>
          </cell>
        </row>
        <row r="955">
          <cell r="B955" t="str">
            <v>С111-1678-1-Я</v>
          </cell>
          <cell r="C955" t="str">
            <v>Стрiчка самоклеюча для спінених
теплоізоляційних матеріалів 3х50мм</v>
          </cell>
          <cell r="D955" t="str">
            <v>м</v>
          </cell>
          <cell r="E955">
            <v>132.61439999999999</v>
          </cell>
          <cell r="F955">
            <v>7.78</v>
          </cell>
          <cell r="G955">
            <v>1031.74</v>
          </cell>
        </row>
        <row r="956">
          <cell r="B956" t="str">
            <v>С111-1641-1-Э</v>
          </cell>
          <cell r="C956" t="str">
            <v>Клей монтажний для теплоізоляційних
матеріалів</v>
          </cell>
          <cell r="D956" t="str">
            <v>л</v>
          </cell>
          <cell r="E956">
            <v>1.3632</v>
          </cell>
          <cell r="F956">
            <v>478.23</v>
          </cell>
          <cell r="G956">
            <v>651.91999999999996</v>
          </cell>
        </row>
        <row r="957">
          <cell r="B957" t="str">
            <v>С111-838-1-Ю</v>
          </cell>
          <cell r="C957" t="str">
            <v>Очищувач клею</v>
          </cell>
          <cell r="D957" t="str">
            <v>л</v>
          </cell>
          <cell r="E957">
            <v>0.29760000000000003</v>
          </cell>
          <cell r="F957">
            <v>311.02</v>
          </cell>
          <cell r="G957">
            <v>92.56</v>
          </cell>
        </row>
        <row r="958">
          <cell r="B958" t="str">
            <v>ЕН15-171-4</v>
          </cell>
          <cell r="C958" t="str">
            <v>Олiйне фарбування бiлилами з додаванням
кольору грат, рам, труб дiаметром менше
50 мм тощо за два рази</v>
          </cell>
          <cell r="D958" t="str">
            <v>100м2</v>
          </cell>
          <cell r="E958">
            <v>0.222</v>
          </cell>
          <cell r="F958">
            <v>9244.51</v>
          </cell>
          <cell r="G958">
            <v>2052.2800000000002</v>
          </cell>
        </row>
        <row r="959">
          <cell r="B959" t="str">
            <v>С1630-114</v>
          </cell>
          <cell r="C959" t="str">
            <v>Метал для крiплення труб</v>
          </cell>
          <cell r="D959" t="str">
            <v>кг</v>
          </cell>
          <cell r="E959">
            <v>100</v>
          </cell>
          <cell r="F959">
            <v>42.15</v>
          </cell>
          <cell r="G959">
            <v>4215</v>
          </cell>
        </row>
        <row r="960">
          <cell r="B960" t="str">
            <v>С130-627</v>
          </cell>
          <cell r="C960" t="str">
            <v>Змiшувач для умивальника,
однорукояточний центральний набортний,
злив з аератором Зм-УмОЦБА</v>
          </cell>
          <cell r="D960" t="str">
            <v>комплект</v>
          </cell>
          <cell r="E960">
            <v>8</v>
          </cell>
          <cell r="F960">
            <v>1451.1</v>
          </cell>
          <cell r="G960">
            <v>11608.8</v>
          </cell>
        </row>
        <row r="961">
          <cell r="B961" t="str">
            <v>С130-624</v>
          </cell>
          <cell r="C961" t="str">
            <v>Змiшувач для душу двухрукояточний з
підводками в роздільних отворах настінний,
з душовою сiткою на гнучкому шлангу  Зм-
ДшДРНШл</v>
          </cell>
          <cell r="D961" t="str">
            <v>комплект</v>
          </cell>
          <cell r="E961">
            <v>16</v>
          </cell>
          <cell r="F961">
            <v>762.24</v>
          </cell>
          <cell r="G961">
            <v>12195.84</v>
          </cell>
        </row>
        <row r="962">
          <cell r="B962" t="str">
            <v>С1630-1432</v>
          </cell>
          <cell r="C962" t="str">
            <v>Кран кульовий муфтовий для води Ру до 1,6
МПа та Т до 150_С, DN 15 мм</v>
          </cell>
          <cell r="D962" t="str">
            <v>шт</v>
          </cell>
          <cell r="E962">
            <v>12</v>
          </cell>
          <cell r="F962">
            <v>96.9</v>
          </cell>
          <cell r="G962">
            <v>1162.8</v>
          </cell>
        </row>
        <row r="963">
          <cell r="B963" t="str">
            <v>С1630-670</v>
          </cell>
          <cell r="C963" t="str">
            <v>Кран кульовий муфтовий для води Ру до 1,6
МПа та Т до 150_С, DN 25 мм</v>
          </cell>
          <cell r="D963" t="str">
            <v>шт</v>
          </cell>
          <cell r="E963">
            <v>4</v>
          </cell>
          <cell r="F963">
            <v>214.24</v>
          </cell>
          <cell r="G963">
            <v>856.96</v>
          </cell>
        </row>
        <row r="964">
          <cell r="B964" t="str">
            <v>С1630-671</v>
          </cell>
          <cell r="C964" t="str">
            <v>Кран кульовий муфтовий для води Ру до 1,6
МПа та Т до 150_С, DN 32 мм</v>
          </cell>
          <cell r="D964" t="str">
            <v>шт</v>
          </cell>
          <cell r="E964">
            <v>3</v>
          </cell>
          <cell r="F964">
            <v>311.68</v>
          </cell>
          <cell r="G964">
            <v>935.04</v>
          </cell>
        </row>
        <row r="965">
          <cell r="B965" t="str">
            <v>С1630-673</v>
          </cell>
          <cell r="C965" t="str">
            <v>Кран кульовий муфтовий для води Ру до 1,6
МПа та Т до 150_С, DN 50 мм</v>
          </cell>
          <cell r="D965" t="str">
            <v>шт</v>
          </cell>
          <cell r="E965">
            <v>1</v>
          </cell>
          <cell r="F965">
            <v>663.17</v>
          </cell>
          <cell r="G965">
            <v>663.17</v>
          </cell>
        </row>
        <row r="966">
          <cell r="B966" t="str">
            <v>С1630-536</v>
          </cell>
          <cell r="C966" t="str">
            <v>Клапан зворотний на Ру 1,0 МПа та Т до
90_С D 15 мм</v>
          </cell>
          <cell r="D966" t="str">
            <v>шт</v>
          </cell>
          <cell r="E966">
            <v>1</v>
          </cell>
          <cell r="F966">
            <v>169.29</v>
          </cell>
          <cell r="G966">
            <v>169.29</v>
          </cell>
        </row>
        <row r="967">
          <cell r="B967" t="str">
            <v>Е16-14-12</v>
          </cell>
          <cell r="C967" t="str">
            <v>Прокладання трубопроводiв
водопостачання з напiрних
полiетиленових труб високого тиску
зовнiшнiм дiаметром 20 мм зі з'єднанням
терморезисторним зварюванням</v>
          </cell>
          <cell r="D967" t="str">
            <v>100м</v>
          </cell>
          <cell r="E967">
            <v>0.93</v>
          </cell>
          <cell r="F967">
            <v>8749.2099999999991</v>
          </cell>
          <cell r="G967">
            <v>8136.77</v>
          </cell>
        </row>
        <row r="968">
          <cell r="B968" t="str">
            <v>С113-1697</v>
          </cell>
          <cell r="C968" t="str">
            <v>Труба полiпропiленова водопровідна PN 28
"STABI PLUS" S 3,2/SDR 7,4 D 20х2,8 мм
Wavin</v>
          </cell>
          <cell r="D968" t="str">
            <v>м</v>
          </cell>
          <cell r="E968">
            <v>83.606999999999999</v>
          </cell>
          <cell r="F968">
            <v>57.72</v>
          </cell>
          <cell r="G968">
            <v>4825.8</v>
          </cell>
        </row>
        <row r="969">
          <cell r="B969" t="str">
            <v>С1530-175</v>
          </cell>
          <cell r="C969" t="str">
            <v>Угольник 90_ внутрішній/зовнішній D 20</v>
          </cell>
          <cell r="D969" t="str">
            <v>10шт</v>
          </cell>
          <cell r="E969">
            <v>0.60000000000000009</v>
          </cell>
          <cell r="F969">
            <v>90.39</v>
          </cell>
          <cell r="G969">
            <v>54.23</v>
          </cell>
        </row>
        <row r="970">
          <cell r="B970" t="str">
            <v>С1530-150</v>
          </cell>
          <cell r="C970" t="str">
            <v>Муфта перехідна внутрішня/зовнішня
D25x20 Wavin</v>
          </cell>
          <cell r="D970" t="str">
            <v>10шт</v>
          </cell>
          <cell r="E970">
            <v>0.60000000000000009</v>
          </cell>
          <cell r="F970">
            <v>70.67</v>
          </cell>
          <cell r="G970">
            <v>42.4</v>
          </cell>
        </row>
        <row r="971">
          <cell r="B971" t="str">
            <v>С113-1879</v>
          </cell>
          <cell r="C971" t="str">
            <v>Опора дiам. 20 мм Wavin</v>
          </cell>
          <cell r="D971" t="str">
            <v>шт</v>
          </cell>
          <cell r="E971">
            <v>150</v>
          </cell>
          <cell r="F971">
            <v>4.25</v>
          </cell>
          <cell r="G971">
            <v>637.5</v>
          </cell>
        </row>
        <row r="972">
          <cell r="B972" t="str">
            <v>Е16-14-14</v>
          </cell>
          <cell r="C972" t="str">
            <v>Прокладання трубопроводiв
водопостачання з напiрних
полiетиленових труб високого тиску
зовнiшнiм дiаметром 32 мм зі з'єднанням
терморезисторним зварюванням</v>
          </cell>
          <cell r="D972" t="str">
            <v>100м</v>
          </cell>
          <cell r="E972">
            <v>0.44</v>
          </cell>
          <cell r="F972">
            <v>8498.68</v>
          </cell>
          <cell r="G972">
            <v>3739.42</v>
          </cell>
        </row>
        <row r="973">
          <cell r="B973" t="str">
            <v>С113-1699</v>
          </cell>
          <cell r="C973" t="str">
            <v>Труба полiпропiленова водопровідна PN 28
"STABI PLUS" S 3,2/SDR 7,4 D 32х4,4 мм
Wavin</v>
          </cell>
          <cell r="D973" t="str">
            <v>м</v>
          </cell>
          <cell r="E973">
            <v>41.271999999999998</v>
          </cell>
          <cell r="F973">
            <v>126.89</v>
          </cell>
          <cell r="G973">
            <v>5237</v>
          </cell>
        </row>
        <row r="974">
          <cell r="B974" t="str">
            <v>С1530-151</v>
          </cell>
          <cell r="C974" t="str">
            <v>Муфта перехідна D32x20 Wavin</v>
          </cell>
          <cell r="D974" t="str">
            <v>10шт</v>
          </cell>
          <cell r="E974">
            <v>0.4</v>
          </cell>
          <cell r="F974">
            <v>117.76</v>
          </cell>
          <cell r="G974">
            <v>47.1</v>
          </cell>
        </row>
        <row r="975">
          <cell r="B975" t="str">
            <v>С111-956</v>
          </cell>
          <cell r="C975" t="str">
            <v>Компенсуюча петля поліпропіленова D 32
Wavin</v>
          </cell>
          <cell r="D975" t="str">
            <v>шт</v>
          </cell>
          <cell r="E975">
            <v>1</v>
          </cell>
          <cell r="F975">
            <v>134.29</v>
          </cell>
          <cell r="G975">
            <v>134.29</v>
          </cell>
        </row>
        <row r="976">
          <cell r="B976" t="str">
            <v>С113-1881</v>
          </cell>
          <cell r="C976" t="str">
            <v>Опора дiам. 32 мм Wavin</v>
          </cell>
          <cell r="D976" t="str">
            <v>шт</v>
          </cell>
          <cell r="E976">
            <v>55</v>
          </cell>
          <cell r="F976">
            <v>7.55</v>
          </cell>
          <cell r="G976">
            <v>415.25</v>
          </cell>
        </row>
        <row r="977">
          <cell r="B977" t="str">
            <v>Е16-14-15</v>
          </cell>
          <cell r="C977" t="str">
            <v>Прокладання трубопроводiв
водопостачання з напiрних
полiетиленових труб високого тиску
зовнiшнiм дiаметром 40 мм зі з'єднанням
терморезисторним зварюванням</v>
          </cell>
          <cell r="D977" t="str">
            <v>100м</v>
          </cell>
          <cell r="E977">
            <v>0.15</v>
          </cell>
          <cell r="F977">
            <v>9357.65</v>
          </cell>
          <cell r="G977">
            <v>1403.65</v>
          </cell>
        </row>
        <row r="978">
          <cell r="B978" t="str">
            <v>С113-1700</v>
          </cell>
          <cell r="C978" t="str">
            <v>Труба полiпропiленова водопровідна PN 28
"STABI PLUS" S 3,2/SDR 7,4 D 40х5,5 мм
Wavin</v>
          </cell>
          <cell r="D978" t="str">
            <v>м</v>
          </cell>
          <cell r="E978">
            <v>14.055</v>
          </cell>
          <cell r="F978">
            <v>182.3</v>
          </cell>
          <cell r="G978">
            <v>2562.23</v>
          </cell>
        </row>
        <row r="979">
          <cell r="B979" t="str">
            <v>С113-1882</v>
          </cell>
          <cell r="C979" t="str">
            <v>Опора дiам. 40 мм Wavin</v>
          </cell>
          <cell r="D979" t="str">
            <v>шт</v>
          </cell>
          <cell r="E979">
            <v>28</v>
          </cell>
          <cell r="F979">
            <v>8.93</v>
          </cell>
          <cell r="G979">
            <v>250.04</v>
          </cell>
        </row>
        <row r="980">
          <cell r="B980" t="str">
            <v>С1545-13-7-1Ж</v>
          </cell>
          <cell r="C980" t="str">
            <v>Шланг гнучкий в оплітці з алюмінієвого
сплаву l=40см, діам.15мм</v>
          </cell>
          <cell r="D980" t="str">
            <v>шт</v>
          </cell>
          <cell r="E980">
            <v>8</v>
          </cell>
          <cell r="F980">
            <v>137.34</v>
          </cell>
          <cell r="G980">
            <v>1098.72</v>
          </cell>
        </row>
        <row r="981">
          <cell r="B981" t="str">
            <v>С1530-152</v>
          </cell>
          <cell r="C981" t="str">
            <v>Муфта перехідна D40x20 Wavin</v>
          </cell>
          <cell r="D981" t="str">
            <v>10шт</v>
          </cell>
          <cell r="E981">
            <v>0.1</v>
          </cell>
          <cell r="F981">
            <v>157.04</v>
          </cell>
          <cell r="G981">
            <v>15.7</v>
          </cell>
        </row>
        <row r="982">
          <cell r="B982" t="str">
            <v>С1530-152</v>
          </cell>
          <cell r="C982" t="str">
            <v>Муфта перехідна D40x32 Wavin</v>
          </cell>
          <cell r="D982" t="str">
            <v>10шт</v>
          </cell>
          <cell r="E982">
            <v>0.2</v>
          </cell>
          <cell r="F982">
            <v>184.51</v>
          </cell>
          <cell r="G982">
            <v>36.9</v>
          </cell>
        </row>
        <row r="983">
          <cell r="B983" t="str">
            <v>Е16-14-17</v>
          </cell>
          <cell r="C983" t="str">
            <v>Прокладання трубопроводiв
водопостачання з напiрних
полiетиленових труб високого тиску
зовнiшнiм дiаметром 63 мм зі з'єднанням
терморезисторним зварюванням</v>
          </cell>
          <cell r="D983" t="str">
            <v>100м</v>
          </cell>
          <cell r="E983">
            <v>0.43</v>
          </cell>
          <cell r="F983">
            <v>11255.19</v>
          </cell>
          <cell r="G983">
            <v>4839.7299999999996</v>
          </cell>
        </row>
        <row r="984">
          <cell r="B984" t="str">
            <v>С113-1702</v>
          </cell>
          <cell r="C984" t="str">
            <v>Труба полiпропiленова водопровідна PN 28
"STABI PLUS" S 3,2/SDR 7,4 D 63х8,6 мм
Wavin</v>
          </cell>
          <cell r="D984" t="str">
            <v>м</v>
          </cell>
          <cell r="E984">
            <v>40.677999999999997</v>
          </cell>
          <cell r="F984">
            <v>412.31</v>
          </cell>
          <cell r="G984">
            <v>16771.95</v>
          </cell>
        </row>
        <row r="985">
          <cell r="B985" t="str">
            <v>С1530-154</v>
          </cell>
          <cell r="C985" t="str">
            <v>Муфта перехідна D63x32 Wavin</v>
          </cell>
          <cell r="D985" t="str">
            <v>10шт</v>
          </cell>
          <cell r="E985">
            <v>0.1</v>
          </cell>
          <cell r="F985">
            <v>361.23</v>
          </cell>
          <cell r="G985">
            <v>36.119999999999997</v>
          </cell>
        </row>
        <row r="986">
          <cell r="B986" t="str">
            <v>ЕН26-11-1</v>
          </cell>
          <cell r="C986" t="str">
            <v>Ізоляція трубопроводів трубками із
спіненого каучуку, поліетилену</v>
          </cell>
          <cell r="D986" t="str">
            <v>10 м</v>
          </cell>
          <cell r="E986">
            <v>19.5</v>
          </cell>
          <cell r="F986">
            <v>234.29</v>
          </cell>
          <cell r="G986">
            <v>4568.66</v>
          </cell>
        </row>
        <row r="987">
          <cell r="B987" t="str">
            <v>С114-98-Л</v>
          </cell>
          <cell r="C987" t="str">
            <v>Ізоляція із вспіненого поліетилену K-FLEX
PE 13х22</v>
          </cell>
          <cell r="D987" t="str">
            <v>м</v>
          </cell>
          <cell r="E987">
            <v>94.86</v>
          </cell>
          <cell r="F987">
            <v>34.1</v>
          </cell>
          <cell r="G987">
            <v>3234.73</v>
          </cell>
        </row>
        <row r="988">
          <cell r="B988" t="str">
            <v>С114-98-Л</v>
          </cell>
          <cell r="C988" t="str">
            <v>Ізоляція із вспіненого поліетилену K-FLEX
PE 13х35</v>
          </cell>
          <cell r="D988" t="str">
            <v>м</v>
          </cell>
          <cell r="E988">
            <v>44.88</v>
          </cell>
          <cell r="F988">
            <v>48.45</v>
          </cell>
          <cell r="G988">
            <v>2174.44</v>
          </cell>
        </row>
        <row r="989">
          <cell r="B989" t="str">
            <v>С114-98-Л</v>
          </cell>
          <cell r="C989" t="str">
            <v>Ізоляція із вспіненого поліетилену K-FLEX
PE 13х42</v>
          </cell>
          <cell r="D989" t="str">
            <v>м</v>
          </cell>
          <cell r="E989">
            <v>15.3</v>
          </cell>
          <cell r="F989">
            <v>57.61</v>
          </cell>
          <cell r="G989">
            <v>881.43</v>
          </cell>
        </row>
        <row r="990">
          <cell r="B990" t="str">
            <v>С114-98-Л</v>
          </cell>
          <cell r="C990" t="str">
            <v>Ізоляція із вспіненого поліетилену K-FLEX
PE 13х64</v>
          </cell>
          <cell r="D990" t="str">
            <v>м</v>
          </cell>
          <cell r="E990">
            <v>43.86</v>
          </cell>
          <cell r="F990">
            <v>88.59</v>
          </cell>
          <cell r="G990">
            <v>3885.56</v>
          </cell>
        </row>
        <row r="991">
          <cell r="B991" t="str">
            <v>С1630-85-У</v>
          </cell>
          <cell r="C991" t="str">
            <v>Кліпса монтажна, діам.20мм</v>
          </cell>
          <cell r="D991" t="str">
            <v>шт</v>
          </cell>
          <cell r="E991">
            <v>159</v>
          </cell>
          <cell r="F991">
            <v>3.42</v>
          </cell>
          <cell r="G991">
            <v>543.78</v>
          </cell>
        </row>
        <row r="992">
          <cell r="B992" t="str">
            <v>С1630-85-У</v>
          </cell>
          <cell r="C992" t="str">
            <v>Кліпса монтажна, діам.32мм</v>
          </cell>
          <cell r="D992" t="str">
            <v>шт</v>
          </cell>
          <cell r="E992">
            <v>132</v>
          </cell>
          <cell r="F992">
            <v>4.67</v>
          </cell>
          <cell r="G992">
            <v>616.44000000000005</v>
          </cell>
        </row>
        <row r="993">
          <cell r="B993" t="str">
            <v>С1630-85-У</v>
          </cell>
          <cell r="C993" t="str">
            <v>Кліпса монтажна, діам.40мм</v>
          </cell>
          <cell r="D993" t="str">
            <v>шт</v>
          </cell>
          <cell r="E993">
            <v>45</v>
          </cell>
          <cell r="F993">
            <v>8.4</v>
          </cell>
          <cell r="G993">
            <v>378</v>
          </cell>
        </row>
        <row r="994">
          <cell r="B994" t="str">
            <v>С1630-85-У</v>
          </cell>
          <cell r="C994" t="str">
            <v>Кліпса монтажна, діам.65мм</v>
          </cell>
          <cell r="D994" t="str">
            <v>шт</v>
          </cell>
          <cell r="E994">
            <v>129</v>
          </cell>
          <cell r="F994">
            <v>12.13</v>
          </cell>
          <cell r="G994">
            <v>1564.77</v>
          </cell>
        </row>
        <row r="995">
          <cell r="B995" t="str">
            <v>С111-1678-1-Я</v>
          </cell>
          <cell r="C995" t="str">
            <v>Стрiчка самоклеюча для спінених
теплоізоляційних матеріалів 3х50мм</v>
          </cell>
          <cell r="D995" t="str">
            <v>м</v>
          </cell>
          <cell r="E995">
            <v>269.37299999999999</v>
          </cell>
          <cell r="F995">
            <v>7.78</v>
          </cell>
          <cell r="G995">
            <v>2095.7199999999998</v>
          </cell>
        </row>
        <row r="996">
          <cell r="B996" t="str">
            <v>С111-1641-1-Э</v>
          </cell>
          <cell r="C996" t="str">
            <v>Клей монтажний для теплоізоляційних
матеріалів</v>
          </cell>
          <cell r="D996" t="str">
            <v>л</v>
          </cell>
          <cell r="E996">
            <v>2.7690000000000001</v>
          </cell>
          <cell r="F996">
            <v>478.23</v>
          </cell>
          <cell r="G996">
            <v>1324.22</v>
          </cell>
        </row>
        <row r="997">
          <cell r="B997" t="str">
            <v>С111-838-1-Ю</v>
          </cell>
          <cell r="C997" t="str">
            <v>Очищувач клею</v>
          </cell>
          <cell r="D997" t="str">
            <v>л</v>
          </cell>
          <cell r="E997">
            <v>0.60450000000000004</v>
          </cell>
          <cell r="F997">
            <v>311.02</v>
          </cell>
          <cell r="G997">
            <v>188.01</v>
          </cell>
        </row>
        <row r="998">
          <cell r="B998" t="str">
            <v>С113-1882</v>
          </cell>
          <cell r="C998" t="str">
            <v>Хомут металевий з шурупом D50-63 Wavin</v>
          </cell>
          <cell r="D998" t="str">
            <v>шт</v>
          </cell>
          <cell r="E998">
            <v>28</v>
          </cell>
          <cell r="F998">
            <v>93.39</v>
          </cell>
          <cell r="G998">
            <v>2614.92</v>
          </cell>
        </row>
        <row r="999">
          <cell r="B999" t="str">
            <v>С113-1882</v>
          </cell>
          <cell r="C999" t="str">
            <v>Хомут металевий (болт/гайка) D87-92 Wavin</v>
          </cell>
          <cell r="D999" t="str">
            <v>шт</v>
          </cell>
          <cell r="E999">
            <v>35</v>
          </cell>
          <cell r="F999">
            <v>72</v>
          </cell>
          <cell r="G999">
            <v>2520</v>
          </cell>
        </row>
        <row r="1000">
          <cell r="B1000" t="str">
            <v>С1630-114</v>
          </cell>
          <cell r="C1000" t="str">
            <v>Метал для крiплення труб</v>
          </cell>
          <cell r="D1000" t="str">
            <v>кг</v>
          </cell>
          <cell r="E1000">
            <v>150</v>
          </cell>
          <cell r="F1000">
            <v>42.15</v>
          </cell>
          <cell r="G1000">
            <v>6322.5</v>
          </cell>
        </row>
        <row r="1001">
          <cell r="B1001" t="str">
            <v>С113-138</v>
          </cell>
          <cell r="C1001" t="str">
            <v>Труби сталевi електрозварнi прямошовнi iз
сталi марки 20, зовнiшнiй дiаметр 57 мм,
товщина стiнки 3 мм (для гільз)</v>
          </cell>
          <cell r="D1001" t="str">
            <v>м</v>
          </cell>
          <cell r="E1001">
            <v>2</v>
          </cell>
          <cell r="F1001">
            <v>141.81</v>
          </cell>
          <cell r="G1001">
            <v>283.62</v>
          </cell>
        </row>
        <row r="1002">
          <cell r="B1002" t="str">
            <v>С113-155</v>
          </cell>
          <cell r="C1002" t="str">
            <v>Труби сталевi електрозварнi прямошовнi iз
сталi марки 20, зовнiшнiй дiаметр 89 мм,
товщина стiнки 4 мм (для гільз)</v>
          </cell>
          <cell r="D1002" t="str">
            <v>м</v>
          </cell>
          <cell r="E1002">
            <v>0.5</v>
          </cell>
          <cell r="F1002">
            <v>297.37</v>
          </cell>
          <cell r="G1002">
            <v>148.69</v>
          </cell>
        </row>
        <row r="1003">
          <cell r="B1003" t="str">
            <v>Е17-1-6</v>
          </cell>
          <cell r="C1003" t="str">
            <v>Установлення умивальникiв одиночних з
пiдведеннямю холодної i гарячої води</v>
          </cell>
          <cell r="D1003" t="str">
            <v>10компл.</v>
          </cell>
          <cell r="E1003">
            <v>0.8</v>
          </cell>
          <cell r="F1003">
            <v>2565.38</v>
          </cell>
          <cell r="G1003">
            <v>2052.3000000000002</v>
          </cell>
        </row>
        <row r="1004">
          <cell r="B1004" t="str">
            <v>С130-648</v>
          </cell>
          <cell r="C1004" t="str">
            <v>Умивальник керамічний овальний другої
величини в комплекті з сифоном пляшковим
пластмасовим Ум Ов 2 вп бС</v>
          </cell>
          <cell r="D1004" t="str">
            <v>комплект</v>
          </cell>
          <cell r="E1004">
            <v>8</v>
          </cell>
          <cell r="F1004">
            <v>1455.02</v>
          </cell>
          <cell r="G1004">
            <v>11640.16</v>
          </cell>
        </row>
        <row r="1005">
          <cell r="B1005" t="str">
            <v>Е17-3-1</v>
          </cell>
          <cell r="C1005" t="str">
            <v>Установлення унiтазiв iз бачком
безпосередньо приєднаним</v>
          </cell>
          <cell r="D1005" t="str">
            <v>10компл.</v>
          </cell>
          <cell r="E1005">
            <v>0.60000000000000009</v>
          </cell>
          <cell r="F1005">
            <v>4123.3900000000003</v>
          </cell>
          <cell r="G1005">
            <v>2474.0300000000002</v>
          </cell>
        </row>
        <row r="1006">
          <cell r="B1006" t="str">
            <v>С130-908</v>
          </cell>
          <cell r="C1006" t="str">
            <v>Унiтаз тарілчастий із суцiльновiдлитою
поличкою з косим випуском з 4-мя отворами
для кріплення до підлоги (у комплекті із  
змивним   керамічним бачком, гумовою
манжетою, арматурою кріплення) Ун ТС 2</v>
          </cell>
          <cell r="D1006" t="str">
            <v>шт</v>
          </cell>
          <cell r="E1006">
            <v>6</v>
          </cell>
          <cell r="F1006">
            <v>2673.04</v>
          </cell>
          <cell r="G1006">
            <v>16038.24</v>
          </cell>
        </row>
        <row r="1007">
          <cell r="B1007" t="str">
            <v>Е16-13-1</v>
          </cell>
          <cell r="C1007" t="str">
            <v>Прокладання трубопроводiв каналiзацiї з
полiетиленових труб низького тиску
дiаметром 50 мм</v>
          </cell>
          <cell r="D1007" t="str">
            <v>100м</v>
          </cell>
          <cell r="E1007">
            <v>0.19</v>
          </cell>
          <cell r="F1007">
            <v>7069.98</v>
          </cell>
          <cell r="G1007">
            <v>1343.3</v>
          </cell>
        </row>
        <row r="1008">
          <cell r="B1008" t="str">
            <v>С113-2226</v>
          </cell>
          <cell r="C1008" t="str">
            <v>Труба каналізаційна полівінілхлоридна для
внутрішньоі каналізаціі Dy50 "Wavin"</v>
          </cell>
          <cell r="D1008" t="str">
            <v>м</v>
          </cell>
          <cell r="E1008">
            <v>18.962</v>
          </cell>
          <cell r="F1008">
            <v>95.85</v>
          </cell>
          <cell r="G1008">
            <v>1817.51</v>
          </cell>
        </row>
        <row r="1009">
          <cell r="B1009" t="str">
            <v>С113-2301</v>
          </cell>
          <cell r="C1009" t="str">
            <v>Каналізаційний затвор (зворотний клапан)
дiам. 50 мм</v>
          </cell>
          <cell r="D1009" t="str">
            <v>шт</v>
          </cell>
          <cell r="E1009">
            <v>1</v>
          </cell>
          <cell r="F1009">
            <v>797.81</v>
          </cell>
          <cell r="G1009">
            <v>797.81</v>
          </cell>
        </row>
        <row r="1010">
          <cell r="B1010" t="str">
            <v>С113-2235</v>
          </cell>
          <cell r="C1010" t="str">
            <v>Відвід 45град. Dy 50 мм Wavin</v>
          </cell>
          <cell r="D1010" t="str">
            <v>шт</v>
          </cell>
          <cell r="E1010">
            <v>7</v>
          </cell>
          <cell r="F1010">
            <v>34.68</v>
          </cell>
          <cell r="G1010">
            <v>242.76</v>
          </cell>
        </row>
        <row r="1011">
          <cell r="B1011" t="str">
            <v>С113-2243</v>
          </cell>
          <cell r="C1011" t="str">
            <v>Відвід 87'30 град. Dy 50 мм Wavin</v>
          </cell>
          <cell r="D1011" t="str">
            <v>шт</v>
          </cell>
          <cell r="E1011">
            <v>8</v>
          </cell>
          <cell r="F1011">
            <v>46.19</v>
          </cell>
          <cell r="G1011">
            <v>369.52</v>
          </cell>
        </row>
        <row r="1012">
          <cell r="B1012" t="str">
            <v>С130-1097-2</v>
          </cell>
          <cell r="C1012" t="str">
            <v>Хомут сталевий, дiаметр 50 мм</v>
          </cell>
          <cell r="D1012" t="str">
            <v>шт</v>
          </cell>
          <cell r="E1012">
            <v>22</v>
          </cell>
          <cell r="F1012">
            <v>39.159999999999997</v>
          </cell>
          <cell r="G1012">
            <v>861.52</v>
          </cell>
        </row>
        <row r="1013">
          <cell r="B1013" t="str">
            <v>Е16-13-2</v>
          </cell>
          <cell r="C1013" t="str">
            <v>Прокладання трубопроводiв каналiзацiї з
полiетиленових труб низького тиску
дiаметром 100 мм</v>
          </cell>
          <cell r="D1013" t="str">
            <v>100м</v>
          </cell>
          <cell r="E1013">
            <v>1</v>
          </cell>
          <cell r="F1013">
            <v>6917.42</v>
          </cell>
          <cell r="G1013">
            <v>6917.42</v>
          </cell>
        </row>
        <row r="1014">
          <cell r="B1014" t="str">
            <v>С113-2227</v>
          </cell>
          <cell r="C1014" t="str">
            <v>Труба каналізаційна полівінілхлоридна для
внутрішньоі каналізаціі Dy110 "Wavin"</v>
          </cell>
          <cell r="D1014" t="str">
            <v>м</v>
          </cell>
          <cell r="E1014">
            <v>99.8</v>
          </cell>
          <cell r="F1014">
            <v>291.24</v>
          </cell>
          <cell r="G1014">
            <v>29065.75</v>
          </cell>
        </row>
        <row r="1015">
          <cell r="B1015" t="str">
            <v>С130-1097-2</v>
          </cell>
          <cell r="C1015" t="str">
            <v>Хомут сталевий, дiаметр 110 мм</v>
          </cell>
          <cell r="D1015" t="str">
            <v>шт</v>
          </cell>
          <cell r="E1015">
            <v>80</v>
          </cell>
          <cell r="F1015">
            <v>155.26</v>
          </cell>
          <cell r="G1015">
            <v>12420.8</v>
          </cell>
        </row>
        <row r="1016">
          <cell r="B1016" t="str">
            <v>С113-2236</v>
          </cell>
          <cell r="C1016" t="str">
            <v>Відвід 45град. Dy 110 мм Wavin</v>
          </cell>
          <cell r="D1016" t="str">
            <v>шт</v>
          </cell>
          <cell r="E1016">
            <v>24</v>
          </cell>
          <cell r="F1016">
            <v>107.61</v>
          </cell>
          <cell r="G1016">
            <v>2582.64</v>
          </cell>
        </row>
        <row r="1017">
          <cell r="B1017" t="str">
            <v>С113-2244</v>
          </cell>
          <cell r="C1017" t="str">
            <v>Відвід 22'30 град.Dy110 мм Wavin</v>
          </cell>
          <cell r="D1017" t="str">
            <v>шт</v>
          </cell>
          <cell r="E1017">
            <v>4</v>
          </cell>
          <cell r="F1017">
            <v>97.01</v>
          </cell>
          <cell r="G1017">
            <v>388.04</v>
          </cell>
        </row>
        <row r="1018">
          <cell r="B1018" t="str">
            <v>С113-2244</v>
          </cell>
          <cell r="C1018" t="str">
            <v>Відвід 87'30 град. Dy110 мм Wavin</v>
          </cell>
          <cell r="D1018" t="str">
            <v>шт</v>
          </cell>
          <cell r="E1018">
            <v>5</v>
          </cell>
          <cell r="F1018">
            <v>122.39</v>
          </cell>
          <cell r="G1018">
            <v>611.95000000000005</v>
          </cell>
        </row>
        <row r="1019">
          <cell r="B1019" t="str">
            <v>С113-2256</v>
          </cell>
          <cell r="C1019" t="str">
            <v>Трiйник 45град. Dy110/Dy50 Wavin</v>
          </cell>
          <cell r="D1019" t="str">
            <v>шт</v>
          </cell>
          <cell r="E1019">
            <v>1</v>
          </cell>
          <cell r="F1019">
            <v>133.97</v>
          </cell>
          <cell r="G1019">
            <v>133.97</v>
          </cell>
        </row>
        <row r="1020">
          <cell r="B1020" t="str">
            <v>С113-2257</v>
          </cell>
          <cell r="C1020" t="str">
            <v>Трiйник 45град. Dy110/Dy110 Wavin</v>
          </cell>
          <cell r="D1020" t="str">
            <v>шт</v>
          </cell>
          <cell r="E1020">
            <v>13</v>
          </cell>
          <cell r="F1020">
            <v>191.72</v>
          </cell>
          <cell r="G1020">
            <v>2492.36</v>
          </cell>
        </row>
        <row r="1021">
          <cell r="B1021" t="str">
            <v>С113-2263</v>
          </cell>
          <cell r="C1021" t="str">
            <v>Трiйник 87'30 град. Dy110/Dy50 Wavin</v>
          </cell>
          <cell r="D1021" t="str">
            <v>шт</v>
          </cell>
          <cell r="E1021">
            <v>2</v>
          </cell>
          <cell r="F1021">
            <v>133.86000000000001</v>
          </cell>
          <cell r="G1021">
            <v>267.72000000000003</v>
          </cell>
        </row>
        <row r="1022">
          <cell r="B1022" t="str">
            <v>С113-2266</v>
          </cell>
          <cell r="C1022" t="str">
            <v>Трiйник 87'30 град. Dy110/Dy110 Wavin</v>
          </cell>
          <cell r="D1022" t="str">
            <v>шт</v>
          </cell>
          <cell r="E1022">
            <v>15</v>
          </cell>
          <cell r="F1022">
            <v>196.83</v>
          </cell>
          <cell r="G1022">
            <v>2952.45</v>
          </cell>
        </row>
        <row r="1023">
          <cell r="B1023" t="str">
            <v>С113-2268</v>
          </cell>
          <cell r="C1023" t="str">
            <v>Хрестовина одноплоскісна 67_30
110/110/110 Wavin</v>
          </cell>
          <cell r="D1023" t="str">
            <v>шт</v>
          </cell>
          <cell r="E1023">
            <v>2</v>
          </cell>
          <cell r="F1023">
            <v>309.47000000000003</v>
          </cell>
          <cell r="G1023">
            <v>618.94000000000005</v>
          </cell>
        </row>
        <row r="1024">
          <cell r="B1024" t="str">
            <v>С113-2280</v>
          </cell>
          <cell r="C1024" t="str">
            <v>Перехiд Dy110/Dy50 Wavin</v>
          </cell>
          <cell r="D1024" t="str">
            <v>шт</v>
          </cell>
          <cell r="E1024">
            <v>7</v>
          </cell>
          <cell r="F1024">
            <v>69.33</v>
          </cell>
          <cell r="G1024">
            <v>485.31</v>
          </cell>
        </row>
        <row r="1025">
          <cell r="B1025" t="str">
            <v>С113-2293</v>
          </cell>
          <cell r="C1025" t="str">
            <v>Заглушка iз ПВХ дiам. 110 мм Wavin</v>
          </cell>
          <cell r="D1025" t="str">
            <v>шт</v>
          </cell>
          <cell r="E1025">
            <v>8</v>
          </cell>
          <cell r="F1025">
            <v>48.54</v>
          </cell>
          <cell r="G1025">
            <v>388.32</v>
          </cell>
        </row>
        <row r="1026">
          <cell r="B1026" t="str">
            <v>С113-2302</v>
          </cell>
          <cell r="C1026" t="str">
            <v>Клапан повітряний «Maxi Vent» 110 Wavin</v>
          </cell>
          <cell r="D1026" t="str">
            <v>шт</v>
          </cell>
          <cell r="E1026">
            <v>6</v>
          </cell>
          <cell r="F1026">
            <v>2835.99</v>
          </cell>
          <cell r="G1026">
            <v>17015.939999999999</v>
          </cell>
        </row>
        <row r="1027">
          <cell r="B1027" t="str">
            <v>С1630-114</v>
          </cell>
          <cell r="C1027" t="str">
            <v>Метал для крiплення труб</v>
          </cell>
          <cell r="D1027" t="str">
            <v>кг</v>
          </cell>
          <cell r="E1027">
            <v>20</v>
          </cell>
          <cell r="F1027">
            <v>42.15</v>
          </cell>
          <cell r="G1027">
            <v>843</v>
          </cell>
        </row>
        <row r="1028">
          <cell r="B1028" t="str">
            <v>С113-2291</v>
          </cell>
          <cell r="C1028" t="str">
            <v>Ревiзiя Dy 110 Wavin</v>
          </cell>
          <cell r="D1028" t="str">
            <v>шт</v>
          </cell>
          <cell r="E1028">
            <v>8</v>
          </cell>
          <cell r="F1028">
            <v>240.55</v>
          </cell>
          <cell r="G1028">
            <v>1924.4</v>
          </cell>
        </row>
        <row r="1029">
          <cell r="B1029" t="str">
            <v>Е17-1-11</v>
          </cell>
          <cell r="C1029" t="str">
            <v>Установлення трапiв дiаметром 50 мм</v>
          </cell>
          <cell r="D1029" t="str">
            <v>10компл.</v>
          </cell>
          <cell r="E1029">
            <v>0.2</v>
          </cell>
          <cell r="F1029">
            <v>615.49</v>
          </cell>
          <cell r="G1029">
            <v>123.1</v>
          </cell>
        </row>
        <row r="1030">
          <cell r="B1030" t="str">
            <v>С113-2294</v>
          </cell>
          <cell r="C1030" t="str">
            <v>Трап до каналiзацiйних труб iз
полiпропiлену дiам. 50 мм</v>
          </cell>
          <cell r="D1030" t="str">
            <v>шт</v>
          </cell>
          <cell r="E1030">
            <v>2</v>
          </cell>
          <cell r="F1030">
            <v>116.04</v>
          </cell>
          <cell r="G1030">
            <v>232.08</v>
          </cell>
        </row>
        <row r="1031">
          <cell r="B1031" t="str">
            <v>Е17-1-12</v>
          </cell>
          <cell r="C1031" t="str">
            <v>Установлення трапiв дiаметром 100 мм</v>
          </cell>
          <cell r="D1031" t="str">
            <v>10компл.</v>
          </cell>
          <cell r="E1031">
            <v>0.5</v>
          </cell>
          <cell r="F1031">
            <v>1054.8399999999999</v>
          </cell>
          <cell r="G1031">
            <v>527.41999999999996</v>
          </cell>
        </row>
        <row r="1032">
          <cell r="B1032" t="str">
            <v>С113-2295</v>
          </cell>
          <cell r="C1032" t="str">
            <v>Трап до каналiзацiйних труб iз
полiпропiлену дiам. 110 мм</v>
          </cell>
          <cell r="D1032" t="str">
            <v>шт</v>
          </cell>
          <cell r="E1032">
            <v>5</v>
          </cell>
          <cell r="F1032">
            <v>217.62</v>
          </cell>
          <cell r="G1032">
            <v>1088.0999999999999</v>
          </cell>
        </row>
        <row r="1033">
          <cell r="B1033" t="str">
            <v>С113-1559</v>
          </cell>
          <cell r="C1033" t="str">
            <v>Муфта протипожежна РТМК для труби Dу110</v>
          </cell>
          <cell r="D1033" t="str">
            <v>шт</v>
          </cell>
          <cell r="E1033">
            <v>1</v>
          </cell>
          <cell r="F1033">
            <v>508.5</v>
          </cell>
          <cell r="G1033">
            <v>508.5</v>
          </cell>
        </row>
        <row r="1034">
          <cell r="B1034" t="str">
            <v>Е16-13-2</v>
          </cell>
          <cell r="C1034" t="str">
            <v>Прокладання трубопроводiв каналiзацiї з
полiетиленових труб низького тиску
дiаметром 100 мм</v>
          </cell>
          <cell r="D1034" t="str">
            <v>100м</v>
          </cell>
          <cell r="E1034">
            <v>0.08</v>
          </cell>
          <cell r="F1034">
            <v>80568.820000000007</v>
          </cell>
          <cell r="G1034">
            <v>6445.51</v>
          </cell>
        </row>
        <row r="1035">
          <cell r="B1035" t="str">
            <v>С113-1451</v>
          </cell>
          <cell r="C1035" t="str">
            <v>Труба каналізаційна із ПВХ з ущільнюючим
кільцем SN8, SDR34 для зовнішньої
каналізації DN 110х3,2 Wavin</v>
          </cell>
          <cell r="D1035" t="str">
            <v>м</v>
          </cell>
          <cell r="E1035">
            <v>7.944</v>
          </cell>
          <cell r="F1035">
            <v>257.64</v>
          </cell>
          <cell r="G1035">
            <v>2046.69</v>
          </cell>
        </row>
        <row r="1036">
          <cell r="B1036" t="str">
            <v>С113-2291</v>
          </cell>
          <cell r="C1036" t="str">
            <v>Ревiзiя з ущільнюючим кільцем SN4 для
зовнішньої каналізації Dу 110 Wavin</v>
          </cell>
          <cell r="D1036" t="str">
            <v>шт</v>
          </cell>
          <cell r="E1036">
            <v>1</v>
          </cell>
          <cell r="F1036">
            <v>849.74</v>
          </cell>
          <cell r="G1036">
            <v>849.74</v>
          </cell>
        </row>
        <row r="1037">
          <cell r="B1037" t="str">
            <v>ЕН6-1-1прист</v>
          </cell>
          <cell r="C1037" t="str">
            <v>Улаштування бетоних опор розміром
200х300х90(h) з кроком 1,5м під
трубопровід діам.110мм у каналі</v>
          </cell>
          <cell r="D1037" t="str">
            <v>100м3</v>
          </cell>
          <cell r="E1037">
            <v>2.4000000000000002E-3</v>
          </cell>
          <cell r="F1037">
            <v>29213.87</v>
          </cell>
          <cell r="G1037">
            <v>70.11</v>
          </cell>
        </row>
        <row r="1038">
          <cell r="B1038" t="str">
            <v>С1424-11620</v>
          </cell>
          <cell r="C1038" t="str">
            <v>Сумiшi бетоннi готовi важкi, клас бетону В10
[М150], крупнiсть заповнювача бiльше 10 до
20 мм</v>
          </cell>
          <cell r="D1038" t="str">
            <v>м3</v>
          </cell>
          <cell r="E1038">
            <v>0.24480000000000002</v>
          </cell>
          <cell r="F1038">
            <v>2675.31</v>
          </cell>
          <cell r="G1038">
            <v>654.91999999999996</v>
          </cell>
        </row>
        <row r="1039">
          <cell r="B1039" t="str">
            <v>Е16-21-1</v>
          </cell>
          <cell r="C1039" t="str">
            <v>Установлення воронок водостiчних</v>
          </cell>
          <cell r="D1039" t="str">
            <v>шт</v>
          </cell>
          <cell r="E1039">
            <v>6</v>
          </cell>
          <cell r="F1039">
            <v>498.12</v>
          </cell>
          <cell r="G1039">
            <v>2988.72</v>
          </cell>
        </row>
        <row r="1040">
          <cell r="B1040" t="str">
            <v>С130-1156</v>
          </cell>
          <cell r="C1040" t="str">
            <v>Воронка  водостiчна чавунна (з крiпильними
деталями) Q=20л/с Dy100 ВР 100</v>
          </cell>
          <cell r="D1040" t="str">
            <v>шт</v>
          </cell>
          <cell r="E1040">
            <v>6</v>
          </cell>
          <cell r="F1040">
            <v>931.95</v>
          </cell>
          <cell r="G1040">
            <v>5591.7</v>
          </cell>
        </row>
        <row r="1041">
          <cell r="B1041" t="str">
            <v>С1630-163</v>
          </cell>
          <cell r="C1041" t="str">
            <v>Компенсаційний патрубок сталевий, дiаметр
100 мм</v>
          </cell>
          <cell r="D1041" t="str">
            <v>шт</v>
          </cell>
          <cell r="E1041">
            <v>6</v>
          </cell>
          <cell r="F1041">
            <v>358.29</v>
          </cell>
          <cell r="G1041">
            <v>2149.7399999999998</v>
          </cell>
        </row>
        <row r="1042">
          <cell r="B1042" t="str">
            <v>Е16-10-5</v>
          </cell>
          <cell r="C1042" t="str">
            <v>Прокладання трубопроводiв опалення i
водопостачання зi стальних
електрозварних труб дiаметром 100 мм</v>
          </cell>
          <cell r="D1042" t="str">
            <v>100м</v>
          </cell>
          <cell r="E1042">
            <v>0.12</v>
          </cell>
          <cell r="F1042">
            <v>89112.6</v>
          </cell>
          <cell r="G1042">
            <v>10693.51</v>
          </cell>
        </row>
        <row r="1043">
          <cell r="B1043" t="str">
            <v>Е16-10-7</v>
          </cell>
          <cell r="C1043" t="str">
            <v>Прокладання трубопроводiв опалення i
водопостачання зi стальних
електрозварних труб дiаметром 150 мм</v>
          </cell>
          <cell r="D1043" t="str">
            <v>100м</v>
          </cell>
          <cell r="E1043">
            <v>0.05</v>
          </cell>
          <cell r="F1043">
            <v>131219.79999999999</v>
          </cell>
          <cell r="G1043">
            <v>6560.99</v>
          </cell>
        </row>
        <row r="1044">
          <cell r="B1044" t="str">
            <v>Е16-10-8</v>
          </cell>
          <cell r="C1044" t="str">
            <v>Прокладання трубопроводiв опалення i
водопостачання зi стальних
електрозварних труб дiаметром 200 мм</v>
          </cell>
          <cell r="D1044" t="str">
            <v>100м</v>
          </cell>
          <cell r="E1044">
            <v>0.4</v>
          </cell>
          <cell r="F1044">
            <v>135807.82</v>
          </cell>
          <cell r="G1044">
            <v>54323.13</v>
          </cell>
        </row>
        <row r="1045">
          <cell r="B1045" t="str">
            <v>С1534-241</v>
          </cell>
          <cell r="C1045" t="str">
            <v>Трiйник сталевий безшовний приварний
перехідний,  D219х108</v>
          </cell>
          <cell r="D1045" t="str">
            <v>шт</v>
          </cell>
          <cell r="E1045">
            <v>4</v>
          </cell>
          <cell r="F1045">
            <v>5496.88</v>
          </cell>
          <cell r="G1045">
            <v>21987.52</v>
          </cell>
        </row>
        <row r="1046">
          <cell r="B1046" t="str">
            <v>С1534-243</v>
          </cell>
          <cell r="C1046" t="str">
            <v>Трiйник сталевий безшовний приварний
перехідний,  D219х6,0-159х6,0</v>
          </cell>
          <cell r="D1046" t="str">
            <v>шт</v>
          </cell>
          <cell r="E1046">
            <v>3</v>
          </cell>
          <cell r="F1046">
            <v>8524.2199999999993</v>
          </cell>
          <cell r="G1046">
            <v>25572.66</v>
          </cell>
        </row>
        <row r="1047">
          <cell r="B1047" t="str">
            <v>С1534-154</v>
          </cell>
          <cell r="C1047" t="str">
            <v>Трiйник сталевий безшовний приварний
равнопрохідний,  D219х6,0</v>
          </cell>
          <cell r="D1047" t="str">
            <v>шт</v>
          </cell>
          <cell r="E1047">
            <v>3</v>
          </cell>
          <cell r="F1047">
            <v>1243.79</v>
          </cell>
          <cell r="G1047">
            <v>3731.37</v>
          </cell>
        </row>
        <row r="1048">
          <cell r="B1048" t="str">
            <v>С1534-373</v>
          </cell>
          <cell r="C1048" t="str">
            <v>Заглушка сталева безшовна приварна
елiптична, виконання 2, D 219х8,0</v>
          </cell>
          <cell r="D1048" t="str">
            <v>шт</v>
          </cell>
          <cell r="E1048">
            <v>4</v>
          </cell>
          <cell r="F1048">
            <v>261.58999999999997</v>
          </cell>
          <cell r="G1048">
            <v>1046.3599999999999</v>
          </cell>
        </row>
        <row r="1049">
          <cell r="B1049" t="str">
            <v>ЕН15-171-3</v>
          </cell>
          <cell r="C1049" t="str">
            <v>Олiйне фарбування бiлилами з додаванням
кольору сталевих балок, труб дiаметром
понад 50 мм тощо за два рази</v>
          </cell>
          <cell r="D1049" t="str">
            <v>100м2</v>
          </cell>
          <cell r="E1049">
            <v>0.37859999999999999</v>
          </cell>
          <cell r="F1049">
            <v>6202.05</v>
          </cell>
          <cell r="G1049">
            <v>2348.1</v>
          </cell>
        </row>
        <row r="1050">
          <cell r="B1050" t="str">
            <v>Е16-12-6</v>
          </cell>
          <cell r="C1050" t="str">
            <v>Установлення фланцевих з'єднань на
стальних трубопроводах дiаметром 150
мм</v>
          </cell>
          <cell r="D1050" t="str">
            <v>шт</v>
          </cell>
          <cell r="E1050">
            <v>3</v>
          </cell>
          <cell r="F1050">
            <v>1909.73</v>
          </cell>
          <cell r="G1050">
            <v>5729.19</v>
          </cell>
        </row>
        <row r="1051">
          <cell r="B1051" t="str">
            <v>Е16-12-7</v>
          </cell>
          <cell r="C1051" t="str">
            <v>Установлення фланцевих з'єднань на
стальних трубопроводах дiаметром 200
мм</v>
          </cell>
          <cell r="D1051" t="str">
            <v>шт</v>
          </cell>
          <cell r="E1051">
            <v>4</v>
          </cell>
          <cell r="F1051">
            <v>2660.81</v>
          </cell>
          <cell r="G1051">
            <v>10643.24</v>
          </cell>
        </row>
        <row r="1052">
          <cell r="B1052" t="str">
            <v>С1630-114</v>
          </cell>
          <cell r="C1052" t="str">
            <v>Метал для крiплення труб</v>
          </cell>
          <cell r="D1052" t="str">
            <v>кг</v>
          </cell>
          <cell r="E1052">
            <v>220</v>
          </cell>
          <cell r="F1052">
            <v>42.15</v>
          </cell>
          <cell r="G1052">
            <v>9273</v>
          </cell>
        </row>
        <row r="1053">
          <cell r="B1053" t="str">
            <v>Е16-14-22прист</v>
          </cell>
          <cell r="C1053" t="str">
            <v>Прокладання трубопроводiв
водопостачання з напiрних
полiетиленових труб високого тиску
зовнiшнiм дiаметром 160 мм зі з'єднанням
терморезисторним зварюванням</v>
          </cell>
          <cell r="D1053" t="str">
            <v>100м</v>
          </cell>
          <cell r="E1053">
            <v>0.19</v>
          </cell>
          <cell r="F1053">
            <v>13946.3</v>
          </cell>
          <cell r="G1053">
            <v>2649.8</v>
          </cell>
        </row>
        <row r="1054">
          <cell r="B1054" t="str">
            <v>С113-1455</v>
          </cell>
          <cell r="C1054" t="str">
            <v>Труба для зовнішньої каналізації із
раструбом ПВХ з ущільнюючим кільцем,
клас S (SN8, SDR34), Dу 250х7,3  Wavin</v>
          </cell>
          <cell r="D1054" t="str">
            <v>м</v>
          </cell>
          <cell r="E1054">
            <v>19</v>
          </cell>
          <cell r="F1054">
            <v>960.42</v>
          </cell>
          <cell r="G1054">
            <v>18247.98</v>
          </cell>
        </row>
        <row r="1055">
          <cell r="B1055" t="str">
            <v>ЕН6-1-1прист</v>
          </cell>
          <cell r="C1055" t="str">
            <v>Улаштування бетоних опор розмір
400х830х90(h) з кроком 2,0м під
трубопроводи систем К2 діам.250мм, і К14
діам.160мм у каналі на випуску</v>
          </cell>
          <cell r="D1055" t="str">
            <v>100м3</v>
          </cell>
          <cell r="E1055">
            <v>1E-3</v>
          </cell>
          <cell r="F1055">
            <v>29213.87</v>
          </cell>
          <cell r="G1055">
            <v>29.21</v>
          </cell>
        </row>
        <row r="1056">
          <cell r="B1056" t="str">
            <v>С1424-11620</v>
          </cell>
          <cell r="C1056" t="str">
            <v>Сумiшi бетоннi готовi важкi, клас бетону В10
[М150], крупнiсть заповнювача бiльше 10 до
20 мм</v>
          </cell>
          <cell r="D1056" t="str">
            <v>м3</v>
          </cell>
          <cell r="E1056">
            <v>0.10200000000000001</v>
          </cell>
          <cell r="F1056">
            <v>2675.31</v>
          </cell>
          <cell r="G1056">
            <v>272.88</v>
          </cell>
        </row>
        <row r="1057">
          <cell r="B1057" t="str">
            <v>С113-2291</v>
          </cell>
          <cell r="C1057" t="str">
            <v>Ревiзiя з ущільнюючим кільцем SN4 для
зовнішньої каналізації Dу 250 Wavin</v>
          </cell>
          <cell r="D1057" t="str">
            <v>шт</v>
          </cell>
          <cell r="E1057">
            <v>1</v>
          </cell>
          <cell r="F1057">
            <v>1069.57</v>
          </cell>
          <cell r="G1057">
            <v>1069.57</v>
          </cell>
        </row>
        <row r="1058">
          <cell r="B1058" t="str">
            <v>С113-1463</v>
          </cell>
          <cell r="C1058" t="str">
            <v>Трійник 87_ клас S (SN8) для зовнішньоі
каналізаціі Dy250/Dy200х87 Wavin</v>
          </cell>
          <cell r="D1058" t="str">
            <v>шт</v>
          </cell>
          <cell r="E1058">
            <v>1</v>
          </cell>
          <cell r="F1058">
            <v>7472.86</v>
          </cell>
          <cell r="G1058">
            <v>7472.86</v>
          </cell>
        </row>
        <row r="1059">
          <cell r="B1059" t="str">
            <v>С113-1464</v>
          </cell>
          <cell r="C1059" t="str">
            <v>Трійник 87_ клас S (SN8) для зовнішньоі
каналізаціі Dy250/Dy250х87 Wavin</v>
          </cell>
          <cell r="D1059" t="str">
            <v>шт</v>
          </cell>
          <cell r="E1059">
            <v>1</v>
          </cell>
          <cell r="F1059">
            <v>8716.4699999999993</v>
          </cell>
          <cell r="G1059">
            <v>8716.4699999999993</v>
          </cell>
        </row>
        <row r="1060">
          <cell r="B1060" t="str">
            <v>С113-1464-1</v>
          </cell>
          <cell r="C1060" t="str">
            <v>Трійник 45_ клас S (SN8) для зовнішньоі
каналізаціі Dy250/Dy200х45 Wavin</v>
          </cell>
          <cell r="D1060" t="str">
            <v>шт</v>
          </cell>
          <cell r="E1060">
            <v>1</v>
          </cell>
          <cell r="F1060">
            <v>13937.19</v>
          </cell>
          <cell r="G1060">
            <v>13937.19</v>
          </cell>
        </row>
        <row r="1061">
          <cell r="B1061" t="str">
            <v>С113-1470</v>
          </cell>
          <cell r="C1061" t="str">
            <v>Відвід 45_ з ущільнюючим кільцем клас S
(SN8) для зовнішньоі каналізаціі Dy250х45
Wavin</v>
          </cell>
          <cell r="D1061" t="str">
            <v>шт</v>
          </cell>
          <cell r="E1061">
            <v>3</v>
          </cell>
          <cell r="F1061">
            <v>5164.49</v>
          </cell>
          <cell r="G1061">
            <v>15493.47</v>
          </cell>
        </row>
        <row r="1062">
          <cell r="B1062" t="str">
            <v>С113-1493</v>
          </cell>
          <cell r="C1062" t="str">
            <v>Заглушка внутрішня SN4 для зовнішньоі
каналізаціі Dy250 Wavin</v>
          </cell>
          <cell r="D1062" t="str">
            <v>шт</v>
          </cell>
          <cell r="E1062">
            <v>3</v>
          </cell>
          <cell r="F1062">
            <v>1432.9</v>
          </cell>
          <cell r="G1062">
            <v>4298.7</v>
          </cell>
        </row>
        <row r="1063">
          <cell r="B1063" t="str">
            <v>Е16-15-5</v>
          </cell>
          <cell r="C1063" t="str">
            <v>Установлення вентилiв, засувок, затворiв,
клапанiв зворотних, кранiв прохiдних на
трубопроводах iз стальних труб
дiаметром до 150 мм</v>
          </cell>
          <cell r="D1063" t="str">
            <v>шт</v>
          </cell>
          <cell r="E1063">
            <v>4</v>
          </cell>
          <cell r="F1063">
            <v>1006</v>
          </cell>
          <cell r="G1063">
            <v>4024</v>
          </cell>
        </row>
        <row r="1064">
          <cell r="B1064" t="str">
            <v>С1630-69</v>
          </cell>
          <cell r="C1064" t="str">
            <v>Засувки паралельнi фланцевi з висувним
шпiнделем 30ч6бр для води та пари, тиск 1
МПа [10 кгс/см2], дiаметр 150 мм</v>
          </cell>
          <cell r="D1064" t="str">
            <v>шт</v>
          </cell>
          <cell r="E1064">
            <v>2</v>
          </cell>
          <cell r="F1064">
            <v>5069.9399999999996</v>
          </cell>
          <cell r="G1064">
            <v>10139.879999999999</v>
          </cell>
        </row>
        <row r="1065">
          <cell r="B1065" t="str">
            <v>С1630-1413</v>
          </cell>
          <cell r="C1065" t="str">
            <v>Каналізаційний затвор (зворотний клапан)
Dy 150</v>
          </cell>
          <cell r="D1065" t="str">
            <v>шт</v>
          </cell>
          <cell r="E1065">
            <v>2</v>
          </cell>
          <cell r="F1065">
            <v>6072.09</v>
          </cell>
          <cell r="G1065">
            <v>12144.18</v>
          </cell>
        </row>
        <row r="1066">
          <cell r="B1066" t="str">
            <v>Е16-13-2</v>
          </cell>
          <cell r="C1066" t="str">
            <v>Прокладання трубопроводiв каналiзацiї з
полiетиленових труб низького тиску
дiаметром 100 мм</v>
          </cell>
          <cell r="D1066" t="str">
            <v>100м</v>
          </cell>
          <cell r="E1066">
            <v>0.25</v>
          </cell>
          <cell r="F1066">
            <v>6917.42</v>
          </cell>
          <cell r="G1066">
            <v>1729.36</v>
          </cell>
        </row>
        <row r="1067">
          <cell r="B1067" t="str">
            <v>С113-1451</v>
          </cell>
          <cell r="C1067" t="str">
            <v>Труба каналізаційна із ПВХ з ущільнюючим
кільцем SN8, SDR34 для зовнішньої
каналізації DN 110х3,2 Wavin</v>
          </cell>
          <cell r="D1067" t="str">
            <v>м</v>
          </cell>
          <cell r="E1067">
            <v>24.824999999999999</v>
          </cell>
          <cell r="F1067">
            <v>257.64</v>
          </cell>
          <cell r="G1067">
            <v>6395.91</v>
          </cell>
        </row>
        <row r="1068">
          <cell r="B1068" t="str">
            <v>С113-1457</v>
          </cell>
          <cell r="C1068" t="str">
            <v>Трійник 88_ клас S (SN8) для зовнішньоі
каналізаціі Dy100/Dy100x88 Wavin</v>
          </cell>
          <cell r="D1068" t="str">
            <v>шт</v>
          </cell>
          <cell r="E1068">
            <v>4</v>
          </cell>
          <cell r="F1068">
            <v>184.68</v>
          </cell>
          <cell r="G1068">
            <v>738.72</v>
          </cell>
        </row>
        <row r="1069">
          <cell r="B1069" t="str">
            <v>С113-1466</v>
          </cell>
          <cell r="C1069" t="str">
            <v>Відвід 45_ з ущільнюючим кільцем клас S
(SN8) для зовнішньоі каналізаціі Dy110x45
Wavin</v>
          </cell>
          <cell r="D1069" t="str">
            <v>шт</v>
          </cell>
          <cell r="E1069">
            <v>2</v>
          </cell>
          <cell r="F1069">
            <v>131.47</v>
          </cell>
          <cell r="G1069">
            <v>262.94</v>
          </cell>
        </row>
        <row r="1070">
          <cell r="B1070" t="str">
            <v>С113-1466-1</v>
          </cell>
          <cell r="C1070" t="str">
            <v>Відвід 88_ з ущільнюючим кільцем клас S
(SN8) для зовнішньоі каналізаціі Dy110x88
Wavin</v>
          </cell>
          <cell r="D1070" t="str">
            <v>шт</v>
          </cell>
          <cell r="E1070">
            <v>1</v>
          </cell>
          <cell r="F1070">
            <v>124.79</v>
          </cell>
          <cell r="G1070">
            <v>124.79</v>
          </cell>
        </row>
        <row r="1071">
          <cell r="B1071" t="str">
            <v>С113-1489</v>
          </cell>
          <cell r="C1071" t="str">
            <v>Заглушка внутрішня SN4 для зовнішньоі
каналізаціі Dy110 Wavin</v>
          </cell>
          <cell r="D1071" t="str">
            <v>шт</v>
          </cell>
          <cell r="E1071">
            <v>4</v>
          </cell>
          <cell r="F1071">
            <v>13.46</v>
          </cell>
          <cell r="G1071">
            <v>53.84</v>
          </cell>
        </row>
        <row r="1072">
          <cell r="B1072" t="str">
            <v>С1630-1412</v>
          </cell>
          <cell r="C1072" t="str">
            <v>Каналізаційний затвор (зворотний клапан)
Dy 100</v>
          </cell>
          <cell r="D1072" t="str">
            <v>шт</v>
          </cell>
          <cell r="E1072">
            <v>2</v>
          </cell>
          <cell r="F1072">
            <v>2797.98</v>
          </cell>
          <cell r="G1072">
            <v>5595.96</v>
          </cell>
        </row>
        <row r="1073">
          <cell r="B1073" t="str">
            <v>Е16-14-22</v>
          </cell>
          <cell r="C1073" t="str">
            <v>Прокладання трубопроводiв
водопостачання з напiрних
полiетиленових труб високого тиску
зовнiшнiм дiаметром 160 мм зі з'єднанням
терморезисторним зварюванням</v>
          </cell>
          <cell r="D1073" t="str">
            <v>100м</v>
          </cell>
          <cell r="E1073">
            <v>0.22</v>
          </cell>
          <cell r="F1073">
            <v>13946.3</v>
          </cell>
          <cell r="G1073">
            <v>3068.19</v>
          </cell>
        </row>
        <row r="1074">
          <cell r="B1074" t="str">
            <v>С113-1453-2</v>
          </cell>
          <cell r="C1074" t="str">
            <v>Труба для зовнішньої каналізації із
раструбом ПВХ з ущільнюючим кільцем,
клас S (SN8, SDR34), Dу 160х4,7  Wavin</v>
          </cell>
          <cell r="D1074" t="str">
            <v>м</v>
          </cell>
          <cell r="E1074">
            <v>21.824000000000002</v>
          </cell>
          <cell r="F1074">
            <v>417.92</v>
          </cell>
          <cell r="G1074">
            <v>9120.69</v>
          </cell>
        </row>
        <row r="1075">
          <cell r="B1075" t="str">
            <v>С113-1460-1</v>
          </cell>
          <cell r="C1075" t="str">
            <v>Трійник 45_ клас S (SN8) для зовнішньоі
каналізаціі Dy160/Dy110x45 Wavin</v>
          </cell>
          <cell r="D1075" t="str">
            <v>шт</v>
          </cell>
          <cell r="E1075">
            <v>2</v>
          </cell>
          <cell r="F1075">
            <v>422.57</v>
          </cell>
          <cell r="G1075">
            <v>845.14</v>
          </cell>
        </row>
        <row r="1076">
          <cell r="B1076" t="str">
            <v>С113-1462-1</v>
          </cell>
          <cell r="C1076" t="str">
            <v>Трійник 45_ клас S (SN8) для зовнішньоі
каналізаціі Dy160/Dy160x45 Wavin</v>
          </cell>
          <cell r="D1076" t="str">
            <v>шт</v>
          </cell>
          <cell r="E1076">
            <v>1</v>
          </cell>
          <cell r="F1076">
            <v>644.79</v>
          </cell>
          <cell r="G1076">
            <v>644.79</v>
          </cell>
        </row>
        <row r="1077">
          <cell r="B1077" t="str">
            <v>С113-1462</v>
          </cell>
          <cell r="C1077" t="str">
            <v>Трійник 88_ клас S (SN8) для зовнішньоі
каналізаціі Dy160/Dy160x88 Wavin</v>
          </cell>
          <cell r="D1077" t="str">
            <v>шт</v>
          </cell>
          <cell r="E1077">
            <v>1</v>
          </cell>
          <cell r="F1077">
            <v>496.32</v>
          </cell>
          <cell r="G1077">
            <v>496.32</v>
          </cell>
        </row>
        <row r="1078">
          <cell r="B1078" t="str">
            <v>С113-1468</v>
          </cell>
          <cell r="C1078" t="str">
            <v>Відвід 45_ з ущільнюючим кільцем клас S
(SN8) для зовнішньоі каналізаціі Dy160x45
Wavin</v>
          </cell>
          <cell r="D1078" t="str">
            <v>шт</v>
          </cell>
          <cell r="E1078">
            <v>1</v>
          </cell>
          <cell r="F1078">
            <v>279.89</v>
          </cell>
          <cell r="G1078">
            <v>279.89</v>
          </cell>
        </row>
        <row r="1079">
          <cell r="B1079" t="str">
            <v>С113-1468-1</v>
          </cell>
          <cell r="C1079" t="str">
            <v>Відвід 88_ з ущільнюючим кільцем клас S
(SN8) для зовнішньоі каналізаціі Dy160x88
Wavin</v>
          </cell>
          <cell r="D1079" t="str">
            <v>шт</v>
          </cell>
          <cell r="E1079">
            <v>1</v>
          </cell>
          <cell r="F1079">
            <v>362.61</v>
          </cell>
          <cell r="G1079">
            <v>362.61</v>
          </cell>
        </row>
        <row r="1080">
          <cell r="B1080" t="str">
            <v>С113-1491</v>
          </cell>
          <cell r="C1080" t="str">
            <v>Заглушка внутрішня SN4 для зовнішньоі
каналізаціі Dy160 Wavin</v>
          </cell>
          <cell r="D1080" t="str">
            <v>шт</v>
          </cell>
          <cell r="E1080">
            <v>2</v>
          </cell>
          <cell r="F1080">
            <v>48.78</v>
          </cell>
          <cell r="G1080">
            <v>97.56</v>
          </cell>
        </row>
        <row r="1081">
          <cell r="B1081" t="str">
            <v>С113-1474</v>
          </cell>
          <cell r="C1081" t="str">
            <v>Муфта -фланец для ПВХ труб DN150</v>
          </cell>
          <cell r="D1081" t="str">
            <v>шт</v>
          </cell>
          <cell r="E1081">
            <v>4</v>
          </cell>
          <cell r="F1081">
            <v>3528.99</v>
          </cell>
          <cell r="G1081">
            <v>14115.96</v>
          </cell>
        </row>
        <row r="1082">
          <cell r="B1082" t="str">
            <v>С1630-114</v>
          </cell>
          <cell r="C1082" t="str">
            <v>Метал для крiплення труб</v>
          </cell>
          <cell r="D1082" t="str">
            <v>кг</v>
          </cell>
          <cell r="E1082">
            <v>50</v>
          </cell>
          <cell r="F1082">
            <v>42.15</v>
          </cell>
          <cell r="G1082">
            <v>2107.5</v>
          </cell>
        </row>
        <row r="1083">
          <cell r="B1083" t="str">
            <v>С113-2291</v>
          </cell>
          <cell r="C1083" t="str">
            <v>Ревiзiя з ущільнюючим кільцем SN4 для
зовнішньої каналізації Dу 160 Wavin</v>
          </cell>
          <cell r="D1083" t="str">
            <v>шт</v>
          </cell>
          <cell r="E1083">
            <v>1</v>
          </cell>
          <cell r="F1083">
            <v>333.59</v>
          </cell>
          <cell r="G1083">
            <v>333.59</v>
          </cell>
        </row>
        <row r="1084">
          <cell r="B1084" t="str">
            <v>ЕН6-1-1прист</v>
          </cell>
          <cell r="C1084" t="str">
            <v>Улаштування бетоних опор розмір
200х300х90(h) з кроком 1,5м під
трубопроводи у каналах</v>
          </cell>
          <cell r="D1084" t="str">
            <v>100м3</v>
          </cell>
          <cell r="E1084">
            <v>1E-3</v>
          </cell>
          <cell r="F1084">
            <v>29213.87</v>
          </cell>
          <cell r="G1084">
            <v>29.21</v>
          </cell>
        </row>
        <row r="1085">
          <cell r="B1085" t="str">
            <v>С1424-11620</v>
          </cell>
          <cell r="C1085" t="str">
            <v>Сумiшi бетоннi готовi важкi, клас бетону В10
[М150], крупнiсть заповнювача бiльше 10 до
20 мм</v>
          </cell>
          <cell r="D1085" t="str">
            <v>м3</v>
          </cell>
          <cell r="E1085">
            <v>0.10200000000000001</v>
          </cell>
          <cell r="F1085">
            <v>2675.31</v>
          </cell>
          <cell r="G1085">
            <v>272.88</v>
          </cell>
        </row>
        <row r="1086">
          <cell r="B1086" t="str">
            <v>Е17-1-12</v>
          </cell>
          <cell r="C1086" t="str">
            <v>Установлення трапiв дiаметром 100 мм</v>
          </cell>
          <cell r="D1086" t="str">
            <v>10компл.</v>
          </cell>
          <cell r="E1086">
            <v>0.1</v>
          </cell>
          <cell r="F1086">
            <v>1054.8399999999999</v>
          </cell>
          <cell r="G1086">
            <v>105.48</v>
          </cell>
        </row>
        <row r="1087">
          <cell r="B1087" t="str">
            <v>С113-2295</v>
          </cell>
          <cell r="C1087" t="str">
            <v>Трап пластмасовий з косим відводом дiам.
110 мм ТК100П ГОСТ 1811-97</v>
          </cell>
          <cell r="D1087" t="str">
            <v>шт</v>
          </cell>
          <cell r="E1087">
            <v>1</v>
          </cell>
          <cell r="F1087">
            <v>217.62</v>
          </cell>
          <cell r="G1087">
            <v>217.62</v>
          </cell>
        </row>
        <row r="1088">
          <cell r="B1088" t="str">
            <v>Е16-5-2к=0,4</v>
          </cell>
          <cell r="C1088" t="str">
            <v>Демонтаж трубопроводiв iз чавунних
каналiзацiйних труб дiаметром до 100 мм</v>
          </cell>
          <cell r="D1088" t="str">
            <v>100м</v>
          </cell>
          <cell r="E1088">
            <v>0.13</v>
          </cell>
          <cell r="F1088">
            <v>3726.78</v>
          </cell>
          <cell r="G1088">
            <v>484.48</v>
          </cell>
        </row>
        <row r="1089">
          <cell r="B1089" t="str">
            <v>С1545-104(зворотнiматерiали)</v>
          </cell>
          <cell r="C1089" t="str">
            <v>Брухт металевий
(зворотнi матерiали)</v>
          </cell>
          <cell r="D1089" t="str">
            <v>т</v>
          </cell>
          <cell r="E1089">
            <v>0.29770000000000002</v>
          </cell>
          <cell r="F1089" t="str">
            <v xml:space="preserve">   -   </v>
          </cell>
          <cell r="G1089" t="str">
            <v xml:space="preserve">   -   </v>
          </cell>
        </row>
        <row r="1090">
          <cell r="B1090" t="str">
            <v>Е16-13-2к=0,4</v>
          </cell>
          <cell r="C1090" t="str">
            <v>Демонтаж трубопроводiв каналiзацiї з
полiетиленових труб низького тиску
дiаметром 100 мм</v>
          </cell>
          <cell r="D1090" t="str">
            <v>100м</v>
          </cell>
          <cell r="E1090">
            <v>0.09</v>
          </cell>
          <cell r="F1090">
            <v>2671.81</v>
          </cell>
          <cell r="G1090">
            <v>240.46</v>
          </cell>
        </row>
        <row r="1091">
          <cell r="B1091" t="str">
            <v>Е16-14-22к=0,4</v>
          </cell>
          <cell r="C1091" t="str">
            <v>Демонтаж трубопроводiв з труб ПВХ
дiаметром 160 мм</v>
          </cell>
          <cell r="D1091" t="str">
            <v>100м</v>
          </cell>
          <cell r="E1091">
            <v>0.09</v>
          </cell>
          <cell r="F1091">
            <v>5414.95</v>
          </cell>
          <cell r="G1091">
            <v>487.35</v>
          </cell>
        </row>
        <row r="1093">
          <cell r="B1093" t="str">
            <v>Е18-4-1</v>
          </cell>
          <cell r="C1093" t="str">
            <v>Установлення секцiй водопiдiгрiвникiв
швидкiсних поверхнею нагрiву однiєї секцiї
до 4 м2</v>
          </cell>
          <cell r="D1093" t="str">
            <v>секцiя</v>
          </cell>
          <cell r="E1093">
            <v>5</v>
          </cell>
          <cell r="F1093">
            <v>416.53</v>
          </cell>
          <cell r="G1093">
            <v>2082.65</v>
          </cell>
        </row>
        <row r="1094">
          <cell r="B1094" t="str">
            <v>С130-559-1-Х</v>
          </cell>
          <cell r="C1094" t="str">
            <v>Клімат - панель довжиною 6 м EFFI (з
кришкою для з'єднання з теплоізоляцією)</v>
          </cell>
          <cell r="D1094" t="str">
            <v>шт</v>
          </cell>
          <cell r="E1094">
            <v>5</v>
          </cell>
          <cell r="F1094">
            <v>8211.8700000000008</v>
          </cell>
          <cell r="G1094">
            <v>41059.35</v>
          </cell>
        </row>
        <row r="1095">
          <cell r="B1095" t="str">
            <v>С113-2202</v>
          </cell>
          <cell r="C1095" t="str">
            <v>Прохідний колектор</v>
          </cell>
          <cell r="D1095" t="str">
            <v>шт</v>
          </cell>
          <cell r="E1095">
            <v>10</v>
          </cell>
          <cell r="F1095">
            <v>1912.41</v>
          </cell>
          <cell r="G1095">
            <v>19124.099999999999</v>
          </cell>
        </row>
        <row r="1096">
          <cell r="B1096" t="str">
            <v>С113-101-1</v>
          </cell>
          <cell r="C1096" t="str">
            <v>Прес - фітінг</v>
          </cell>
          <cell r="D1096" t="str">
            <v>шт</v>
          </cell>
          <cell r="E1096">
            <v>40</v>
          </cell>
          <cell r="F1096">
            <v>96.54</v>
          </cell>
          <cell r="G1096">
            <v>3861.6</v>
          </cell>
        </row>
        <row r="1097">
          <cell r="B1097" t="str">
            <v>Е16-14-12</v>
          </cell>
          <cell r="C1097" t="str">
            <v>Прокладання трубопроводiв
водопостачання з напiрних
полiетиленових труб високого тиску
зовнiшнiм дiаметром 20 мм зі з'єднанням
терморезисторним зварюванням</v>
          </cell>
          <cell r="D1097" t="str">
            <v>100м</v>
          </cell>
          <cell r="E1097">
            <v>0.9</v>
          </cell>
          <cell r="F1097">
            <v>8749.2099999999991</v>
          </cell>
          <cell r="G1097">
            <v>7874.29</v>
          </cell>
        </row>
        <row r="1098">
          <cell r="B1098" t="str">
            <v>С113-1897</v>
          </cell>
          <cell r="C1098" t="str">
            <v>Труби металопластиковi, PE-Xа RAUTITAN
flex із зшитого поліетилену з киснезахисним
шаром, Ду 16х2,2 мм</v>
          </cell>
          <cell r="D1098" t="str">
            <v>м</v>
          </cell>
          <cell r="E1098">
            <v>13.484999999999999</v>
          </cell>
          <cell r="F1098">
            <v>88.5</v>
          </cell>
          <cell r="G1098">
            <v>1193.42</v>
          </cell>
        </row>
        <row r="1099">
          <cell r="B1099" t="str">
            <v>С113-1898</v>
          </cell>
          <cell r="C1099" t="str">
            <v>Труби металопластиковi, PE-Xа RAUTITAN
flex із зшитого поліетилену з киснезахисним
шаром, Ду 20х2,8 мм</v>
          </cell>
          <cell r="D1099" t="str">
            <v>м</v>
          </cell>
          <cell r="E1099">
            <v>67.424999999999997</v>
          </cell>
          <cell r="F1099">
            <v>96.76</v>
          </cell>
          <cell r="G1099">
            <v>6524.04</v>
          </cell>
        </row>
        <row r="1100">
          <cell r="B1100" t="str">
            <v>Е16-14-13</v>
          </cell>
          <cell r="C1100" t="str">
            <v>Прокладання трубопроводiв
водопостачання з напiрних
полiетиленових труб високого тиску
зовнiшнiм дiаметром 25 мм зі з'єднанням
терморезисторним зварюванням</v>
          </cell>
          <cell r="D1100" t="str">
            <v>100м</v>
          </cell>
          <cell r="E1100">
            <v>1.2</v>
          </cell>
          <cell r="F1100">
            <v>8078.09</v>
          </cell>
          <cell r="G1100">
            <v>9693.7099999999991</v>
          </cell>
        </row>
        <row r="1101">
          <cell r="B1101" t="str">
            <v>С113-1899</v>
          </cell>
          <cell r="C1101" t="str">
            <v>Труби металопластиковi, PE-Xа RAUTITAN
flex із зшитого поліетилену з киснезахисним
шаром, Ду 25х3,5 мм "REHAU"</v>
          </cell>
          <cell r="D1101" t="str">
            <v>м</v>
          </cell>
          <cell r="E1101">
            <v>111.48</v>
          </cell>
          <cell r="F1101">
            <v>154.63</v>
          </cell>
          <cell r="G1101">
            <v>17238.150000000001</v>
          </cell>
        </row>
        <row r="1102">
          <cell r="B1102" t="str">
            <v>Е18-17-10</v>
          </cell>
          <cell r="C1102" t="str">
            <v>Установлення повітровідвідників</v>
          </cell>
          <cell r="D1102" t="str">
            <v>шт</v>
          </cell>
          <cell r="E1102">
            <v>2</v>
          </cell>
          <cell r="F1102">
            <v>129.83000000000001</v>
          </cell>
          <cell r="G1102">
            <v>259.66000000000003</v>
          </cell>
        </row>
        <row r="1103">
          <cell r="B1103" t="str">
            <v>С1630-1531</v>
          </cell>
          <cell r="C1103" t="str">
            <v>Автоматичний розповітрювач для води t=90-
65 С, Ру 1,0 МПа, ду 15 "Герц"</v>
          </cell>
          <cell r="D1103" t="str">
            <v>шт</v>
          </cell>
          <cell r="E1103">
            <v>2</v>
          </cell>
          <cell r="F1103">
            <v>323.14</v>
          </cell>
          <cell r="G1103">
            <v>646.28</v>
          </cell>
        </row>
        <row r="1104">
          <cell r="B1104" t="str">
            <v>С1630-633</v>
          </cell>
          <cell r="C1104" t="str">
            <v>Кран для наповнення та зливу
ТHERMOFLEX, для води t= 90-65 С, Ру 1,0
МПа, ду 15 "ГЕРЦ"</v>
          </cell>
          <cell r="D1104" t="str">
            <v>шт</v>
          </cell>
          <cell r="E1104">
            <v>1</v>
          </cell>
          <cell r="F1104">
            <v>483.27</v>
          </cell>
          <cell r="G1104">
            <v>483.27</v>
          </cell>
        </row>
        <row r="1105">
          <cell r="B1105" t="str">
            <v>С1545-295-2</v>
          </cell>
          <cell r="C1105" t="str">
            <v>Штуцер для шланга к зливному крану
"ГЕРЦ" ду 15</v>
          </cell>
          <cell r="D1105" t="str">
            <v>шт</v>
          </cell>
          <cell r="E1105">
            <v>1</v>
          </cell>
          <cell r="F1105">
            <v>107.58</v>
          </cell>
          <cell r="G1105">
            <v>107.58</v>
          </cell>
        </row>
        <row r="1106">
          <cell r="B1106" t="str">
            <v>ЕН26-11-1</v>
          </cell>
          <cell r="C1106" t="str">
            <v>Ізоляція трубопроводів трубками із
спіненого каучуку, поліетилену</v>
          </cell>
          <cell r="D1106" t="str">
            <v>10 м</v>
          </cell>
          <cell r="E1106">
            <v>21</v>
          </cell>
          <cell r="F1106">
            <v>234.29</v>
          </cell>
          <cell r="G1106">
            <v>4920.09</v>
          </cell>
        </row>
        <row r="1107">
          <cell r="B1107" t="str">
            <v>С114-48-1</v>
          </cell>
          <cell r="C1107" t="str">
            <v>Синтетичний каучук марки K-FLEX ST,
товщ. 19 мм, діам. 16х2,2</v>
          </cell>
          <cell r="D1107" t="str">
            <v>м</v>
          </cell>
          <cell r="E1107">
            <v>15.3</v>
          </cell>
          <cell r="F1107">
            <v>81.92</v>
          </cell>
          <cell r="G1107">
            <v>1253.3800000000001</v>
          </cell>
        </row>
        <row r="1108">
          <cell r="B1108" t="str">
            <v>С114-48-1</v>
          </cell>
          <cell r="C1108" t="str">
            <v>Синтетичний каучук марки K-FLEX ST,
товщ. 19 мм, діам. 20х2,8</v>
          </cell>
          <cell r="D1108" t="str">
            <v>м</v>
          </cell>
          <cell r="E1108">
            <v>76.5</v>
          </cell>
          <cell r="F1108">
            <v>87.28</v>
          </cell>
          <cell r="G1108">
            <v>6676.92</v>
          </cell>
        </row>
        <row r="1109">
          <cell r="B1109" t="str">
            <v>С114-48-1</v>
          </cell>
          <cell r="C1109" t="str">
            <v>Синтетичний каучук марки K-FLEX ST,
товщ. 19 мм, діам. 25х3,5</v>
          </cell>
          <cell r="D1109" t="str">
            <v>м</v>
          </cell>
          <cell r="E1109">
            <v>122.4</v>
          </cell>
          <cell r="F1109">
            <v>102.18</v>
          </cell>
          <cell r="G1109">
            <v>12506.83</v>
          </cell>
        </row>
        <row r="1110">
          <cell r="B1110" t="str">
            <v>С111-1678-1-Я</v>
          </cell>
          <cell r="C1110" t="str">
            <v>Стрiчка самоклеюча для спінених
теплоізоляційних матеріалів 3х50мм</v>
          </cell>
          <cell r="D1110" t="str">
            <v>м</v>
          </cell>
          <cell r="E1110">
            <v>290.09399999999999</v>
          </cell>
          <cell r="F1110">
            <v>7.78</v>
          </cell>
          <cell r="G1110">
            <v>2256.9299999999998</v>
          </cell>
        </row>
        <row r="1111">
          <cell r="B1111" t="str">
            <v>С111-1641-1-Э</v>
          </cell>
          <cell r="C1111" t="str">
            <v>Клей монтажний для теплоізоляційних
матеріалів</v>
          </cell>
          <cell r="D1111" t="str">
            <v>л</v>
          </cell>
          <cell r="E1111">
            <v>2.9820000000000002</v>
          </cell>
          <cell r="F1111">
            <v>478.23</v>
          </cell>
          <cell r="G1111">
            <v>1426.08</v>
          </cell>
        </row>
        <row r="1112">
          <cell r="B1112" t="str">
            <v>С111-838-1-Ю</v>
          </cell>
          <cell r="C1112" t="str">
            <v>Очищувач клею</v>
          </cell>
          <cell r="D1112" t="str">
            <v>л</v>
          </cell>
          <cell r="E1112">
            <v>0.65100000000000002</v>
          </cell>
          <cell r="F1112">
            <v>311.02</v>
          </cell>
          <cell r="G1112">
            <v>202.47</v>
          </cell>
        </row>
        <row r="1113">
          <cell r="B1113" t="str">
            <v>С1545-89-2-Щ</v>
          </cell>
          <cell r="C1113" t="str">
            <v>Жолоб фіксуючий, для РЕ - труб, діам.16/17
"REHAU"</v>
          </cell>
          <cell r="D1113" t="str">
            <v>м</v>
          </cell>
          <cell r="E1113">
            <v>15</v>
          </cell>
          <cell r="F1113">
            <v>52.17</v>
          </cell>
          <cell r="G1113">
            <v>782.55</v>
          </cell>
        </row>
        <row r="1114">
          <cell r="B1114" t="str">
            <v>С1545-89-2-Щ</v>
          </cell>
          <cell r="C1114" t="str">
            <v>Жолоб фіксуючий, для РЕ - труб, діам.20
"REHAU"</v>
          </cell>
          <cell r="D1114" t="str">
            <v>м</v>
          </cell>
          <cell r="E1114">
            <v>75</v>
          </cell>
          <cell r="F1114">
            <v>61.51</v>
          </cell>
          <cell r="G1114">
            <v>4613.25</v>
          </cell>
        </row>
        <row r="1115">
          <cell r="B1115" t="str">
            <v>С1545-89-2-Щ</v>
          </cell>
          <cell r="C1115" t="str">
            <v>Жолоб фіксуючий, для РЕ - труб, діам.25х3,
5  "REHAU"</v>
          </cell>
          <cell r="D1115" t="str">
            <v>м</v>
          </cell>
          <cell r="E1115">
            <v>120</v>
          </cell>
          <cell r="F1115">
            <v>77.06</v>
          </cell>
          <cell r="G1115">
            <v>9247.2000000000007</v>
          </cell>
        </row>
        <row r="1116">
          <cell r="B1116" t="str">
            <v>С1111-65-1-2У</v>
          </cell>
          <cell r="C1116" t="str">
            <v>Хомут оцинкований з гумовою ізоляцією,
для кріплення трубопроводів, діам. 16х2,2</v>
          </cell>
          <cell r="D1116" t="str">
            <v>шт</v>
          </cell>
          <cell r="E1116">
            <v>6</v>
          </cell>
          <cell r="F1116">
            <v>7.09</v>
          </cell>
          <cell r="G1116">
            <v>42.54</v>
          </cell>
        </row>
        <row r="1117">
          <cell r="B1117" t="str">
            <v>С1111-65-1-2У</v>
          </cell>
          <cell r="C1117" t="str">
            <v>Хомут оцинкований з гумовою ізоляцією,
для кріплення трубопроводів, діам. 20х2,9</v>
          </cell>
          <cell r="D1117" t="str">
            <v>шт</v>
          </cell>
          <cell r="E1117">
            <v>34</v>
          </cell>
          <cell r="F1117">
            <v>7.09</v>
          </cell>
          <cell r="G1117">
            <v>241.06</v>
          </cell>
        </row>
        <row r="1118">
          <cell r="B1118" t="str">
            <v>С1111-65-1-2У</v>
          </cell>
          <cell r="C1118" t="str">
            <v>Хомут оцинкований з гумовою ізоляцією,
для кріплення трубопроводів, діам. 25х3,5</v>
          </cell>
          <cell r="D1118" t="str">
            <v>шт</v>
          </cell>
          <cell r="E1118">
            <v>56</v>
          </cell>
          <cell r="F1118">
            <v>7.6</v>
          </cell>
          <cell r="G1118">
            <v>425.6</v>
          </cell>
        </row>
        <row r="1119">
          <cell r="B1119" t="str">
            <v>С1545-32-1-Ш</v>
          </cell>
          <cell r="C1119" t="str">
            <v>Гiльза RAUTITAN PX для запресовки, діам.
16</v>
          </cell>
          <cell r="D1119" t="str">
            <v>шт</v>
          </cell>
          <cell r="E1119">
            <v>14</v>
          </cell>
          <cell r="F1119">
            <v>27.72</v>
          </cell>
          <cell r="G1119">
            <v>388.08</v>
          </cell>
        </row>
        <row r="1120">
          <cell r="B1120" t="str">
            <v>С1545-32-1-Ш</v>
          </cell>
          <cell r="C1120" t="str">
            <v>Гiльза RAUTITAN PX для запресовки, діам.
20</v>
          </cell>
          <cell r="D1120" t="str">
            <v>шт</v>
          </cell>
          <cell r="E1120">
            <v>24</v>
          </cell>
          <cell r="F1120">
            <v>34.72</v>
          </cell>
          <cell r="G1120">
            <v>833.28</v>
          </cell>
        </row>
        <row r="1121">
          <cell r="B1121" t="str">
            <v>С1545-32-1-Ш</v>
          </cell>
          <cell r="C1121" t="str">
            <v>Гiльза RAUTITAN PX для запресовки, діам.
25</v>
          </cell>
          <cell r="D1121" t="str">
            <v>шт</v>
          </cell>
          <cell r="E1121">
            <v>44</v>
          </cell>
          <cell r="F1121">
            <v>51.07</v>
          </cell>
          <cell r="G1121">
            <v>2247.08</v>
          </cell>
        </row>
        <row r="1122">
          <cell r="B1122" t="str">
            <v>С1545-32-1-Ш</v>
          </cell>
          <cell r="C1122" t="str">
            <v>Кутник RAUTITAN PX 90, діам. 16</v>
          </cell>
          <cell r="D1122" t="str">
            <v>шт</v>
          </cell>
          <cell r="E1122">
            <v>4</v>
          </cell>
          <cell r="F1122">
            <v>151.43</v>
          </cell>
          <cell r="G1122">
            <v>605.72</v>
          </cell>
        </row>
        <row r="1123">
          <cell r="B1123" t="str">
            <v>С1545-32-1-Ш</v>
          </cell>
          <cell r="C1123" t="str">
            <v>Кутник RAUTITAN PX 90, діам. 20</v>
          </cell>
          <cell r="D1123" t="str">
            <v>шт</v>
          </cell>
          <cell r="E1123">
            <v>8</v>
          </cell>
          <cell r="F1123">
            <v>198.09</v>
          </cell>
          <cell r="G1123">
            <v>1584.72</v>
          </cell>
        </row>
        <row r="1124">
          <cell r="B1124" t="str">
            <v>С1545-32-1-Ш</v>
          </cell>
          <cell r="C1124" t="str">
            <v>Кутник RAUTITAN PX 90, діам. 25</v>
          </cell>
          <cell r="D1124" t="str">
            <v>шт</v>
          </cell>
          <cell r="E1124">
            <v>20</v>
          </cell>
          <cell r="F1124">
            <v>294.72000000000003</v>
          </cell>
          <cell r="G1124">
            <v>5894.4</v>
          </cell>
        </row>
        <row r="1125">
          <cell r="B1125" t="str">
            <v>С1545-32-1-Ш</v>
          </cell>
          <cell r="C1125" t="str">
            <v>Перехідник RAUTITAN з зовнішньою
різьбою 16-R 1/2</v>
          </cell>
          <cell r="D1125" t="str">
            <v>шт</v>
          </cell>
          <cell r="E1125">
            <v>4</v>
          </cell>
          <cell r="F1125">
            <v>217.24</v>
          </cell>
          <cell r="G1125">
            <v>868.96</v>
          </cell>
        </row>
        <row r="1126">
          <cell r="B1126" t="str">
            <v>С1545-32-1-Ш</v>
          </cell>
          <cell r="C1126" t="str">
            <v>Перехідник RAUTITAN з зовнішньою
різьбою 20-R 1/2</v>
          </cell>
          <cell r="D1126" t="str">
            <v>шт</v>
          </cell>
          <cell r="E1126">
            <v>6</v>
          </cell>
          <cell r="F1126">
            <v>249.14</v>
          </cell>
          <cell r="G1126">
            <v>1494.84</v>
          </cell>
        </row>
        <row r="1127">
          <cell r="B1127" t="str">
            <v>С1545-32-1-Ш</v>
          </cell>
          <cell r="C1127" t="str">
            <v>Перехідник RAUTITAN з зовнішньою
різьбою 25-R 3/4</v>
          </cell>
          <cell r="D1127" t="str">
            <v>шт</v>
          </cell>
          <cell r="E1127">
            <v>2</v>
          </cell>
          <cell r="F1127">
            <v>372.06</v>
          </cell>
          <cell r="G1127">
            <v>744.12</v>
          </cell>
        </row>
        <row r="1128">
          <cell r="B1128" t="str">
            <v>С1545-32-1-Ш</v>
          </cell>
          <cell r="C1128" t="str">
            <v>Трійник RAUTITAN RX 25-16-20</v>
          </cell>
          <cell r="D1128" t="str">
            <v>шт</v>
          </cell>
          <cell r="E1128">
            <v>2</v>
          </cell>
          <cell r="F1128">
            <v>235.44</v>
          </cell>
          <cell r="G1128">
            <v>470.88</v>
          </cell>
        </row>
        <row r="1129">
          <cell r="B1129" t="str">
            <v>Е18-4-1</v>
          </cell>
          <cell r="C1129" t="str">
            <v>Установлення секцiй водопiдiгрiвникiв
швидкiсних поверхнею нагрiву однiєї секцiї
до 4 м2</v>
          </cell>
          <cell r="D1129" t="str">
            <v>секцiя</v>
          </cell>
          <cell r="E1129">
            <v>6</v>
          </cell>
          <cell r="F1129">
            <v>416.53</v>
          </cell>
          <cell r="G1129">
            <v>2499.1799999999998</v>
          </cell>
        </row>
        <row r="1130">
          <cell r="B1130" t="str">
            <v>С130-559-1-Х</v>
          </cell>
          <cell r="C1130" t="str">
            <v>Клімат - панель довжиною 30 м EFFI (з
кришкою для з'єднання з теплоізоляцією)</v>
          </cell>
          <cell r="D1130" t="str">
            <v>шт</v>
          </cell>
          <cell r="E1130">
            <v>6</v>
          </cell>
          <cell r="F1130">
            <v>41021.22</v>
          </cell>
          <cell r="G1130">
            <v>246127.32</v>
          </cell>
        </row>
        <row r="1131">
          <cell r="B1131" t="str">
            <v>С113-2202</v>
          </cell>
          <cell r="C1131" t="str">
            <v>Прохідний колектор</v>
          </cell>
          <cell r="D1131" t="str">
            <v>шт</v>
          </cell>
          <cell r="E1131">
            <v>2</v>
          </cell>
          <cell r="F1131">
            <v>1912.41</v>
          </cell>
          <cell r="G1131">
            <v>3824.82</v>
          </cell>
        </row>
        <row r="1132">
          <cell r="B1132" t="str">
            <v>С113-101-1</v>
          </cell>
          <cell r="C1132" t="str">
            <v>Прес - фітінг</v>
          </cell>
          <cell r="D1132" t="str">
            <v>шт</v>
          </cell>
          <cell r="E1132">
            <v>24</v>
          </cell>
          <cell r="F1132">
            <v>96.54</v>
          </cell>
          <cell r="G1132">
            <v>2316.96</v>
          </cell>
        </row>
        <row r="1133">
          <cell r="B1133" t="str">
            <v>Е16-14-12</v>
          </cell>
          <cell r="C1133" t="str">
            <v>Прокладання трубопроводiв
водопостачання з напiрних
полiетиленових труб високого тиску
зовнiшнiм дiаметром 20 мм зі з'єднанням
терморезисторним зварюванням</v>
          </cell>
          <cell r="D1133" t="str">
            <v>100м</v>
          </cell>
          <cell r="E1133">
            <v>0.12</v>
          </cell>
          <cell r="F1133">
            <v>8749.2099999999991</v>
          </cell>
          <cell r="G1133">
            <v>1049.9100000000001</v>
          </cell>
        </row>
        <row r="1134">
          <cell r="B1134" t="str">
            <v>С113-1898</v>
          </cell>
          <cell r="C1134" t="str">
            <v>Труби металопластиковi, PE-Xа RAUTITAN
flex із зшитого поліетилену з киснезахисним
шаром, Ду 20х2,8 мм</v>
          </cell>
          <cell r="D1134" t="str">
            <v>м</v>
          </cell>
          <cell r="E1134">
            <v>10.788</v>
          </cell>
          <cell r="F1134">
            <v>96.76</v>
          </cell>
          <cell r="G1134">
            <v>1043.8499999999999</v>
          </cell>
        </row>
        <row r="1135">
          <cell r="B1135" t="str">
            <v>Е16-14-13</v>
          </cell>
          <cell r="C1135" t="str">
            <v>Прокладання трубопроводiв
водопостачання з напiрних
полiетиленових труб високого тиску
зовнiшнiм дiаметром 25 мм зі з'єднанням
терморезисторним зварюванням</v>
          </cell>
          <cell r="D1135" t="str">
            <v>100м</v>
          </cell>
          <cell r="E1135">
            <v>0.25</v>
          </cell>
          <cell r="F1135">
            <v>8078.09</v>
          </cell>
          <cell r="G1135">
            <v>2019.52</v>
          </cell>
        </row>
        <row r="1136">
          <cell r="B1136" t="str">
            <v>С113-1899</v>
          </cell>
          <cell r="C1136" t="str">
            <v>Труби металопластиковi, PE-Xа RAUTITAN
flex із зшитого поліетилену з киснезахисним
шаром, Ду 25х3,5 мм "REHAU"</v>
          </cell>
          <cell r="D1136" t="str">
            <v>м</v>
          </cell>
          <cell r="E1136">
            <v>23.225000000000001</v>
          </cell>
          <cell r="F1136">
            <v>154.63</v>
          </cell>
          <cell r="G1136">
            <v>3591.28</v>
          </cell>
        </row>
        <row r="1137">
          <cell r="B1137" t="str">
            <v>Е16-14-14</v>
          </cell>
          <cell r="C1137" t="str">
            <v>Прокладання трубопроводiв
водопостачання з напiрних
полiетиленових труб високого тиску
зовнiшнiм дiаметром 32 мм зі з'єднанням
терморезисторним зварюванням</v>
          </cell>
          <cell r="D1137" t="str">
            <v>100м</v>
          </cell>
          <cell r="E1137">
            <v>0.03</v>
          </cell>
          <cell r="F1137">
            <v>8498.68</v>
          </cell>
          <cell r="G1137">
            <v>254.96</v>
          </cell>
        </row>
        <row r="1138">
          <cell r="B1138" t="str">
            <v>С113-1900</v>
          </cell>
          <cell r="C1138" t="str">
            <v>Труби металопластиковi, PE-Xа RAUTITAN
flex із зшитого поліетилену з киснезахисним
шаром, Ду 32х4,4 мм</v>
          </cell>
          <cell r="D1138" t="str">
            <v>м</v>
          </cell>
          <cell r="E1138">
            <v>2.8140000000000001</v>
          </cell>
          <cell r="F1138">
            <v>232.13</v>
          </cell>
          <cell r="G1138">
            <v>653.21</v>
          </cell>
        </row>
        <row r="1139">
          <cell r="B1139" t="str">
            <v>Е16-14-15</v>
          </cell>
          <cell r="C1139" t="str">
            <v>Прокладання трубопроводiв
водопостачання з напiрних
полiетиленових труб високого тиску
зовнiшнiм дiаметром 40 мм зі з'єднанням
терморезисторним зварюванням</v>
          </cell>
          <cell r="D1139" t="str">
            <v>100м</v>
          </cell>
          <cell r="E1139">
            <v>1.05</v>
          </cell>
          <cell r="F1139">
            <v>9357.65</v>
          </cell>
          <cell r="G1139">
            <v>9825.5300000000007</v>
          </cell>
        </row>
        <row r="1140">
          <cell r="B1140" t="str">
            <v>С113-1901</v>
          </cell>
          <cell r="C1140" t="str">
            <v>Труби металопластиковi, PE-Xа RAUTITAN
flex із зшитого поліетилену з киснезахисним
шаром, Ду 40х5,5 мм</v>
          </cell>
          <cell r="D1140" t="str">
            <v>м</v>
          </cell>
          <cell r="E1140">
            <v>98.385000000000005</v>
          </cell>
          <cell r="F1140">
            <v>356.34</v>
          </cell>
          <cell r="G1140">
            <v>35058.51</v>
          </cell>
        </row>
        <row r="1141">
          <cell r="B1141" t="str">
            <v>Е18-17-10</v>
          </cell>
          <cell r="C1141" t="str">
            <v>Установлення повітровідвідників</v>
          </cell>
          <cell r="D1141" t="str">
            <v>шт</v>
          </cell>
          <cell r="E1141">
            <v>2</v>
          </cell>
          <cell r="F1141">
            <v>129.83000000000001</v>
          </cell>
          <cell r="G1141">
            <v>259.66000000000003</v>
          </cell>
        </row>
        <row r="1142">
          <cell r="B1142" t="str">
            <v>С1630-1531</v>
          </cell>
          <cell r="C1142" t="str">
            <v>Автоматичний розповітрювач для води t=90-
65 С, Ру 1,0 МПа, ду 15 "Герц"</v>
          </cell>
          <cell r="D1142" t="str">
            <v>шт</v>
          </cell>
          <cell r="E1142">
            <v>2</v>
          </cell>
          <cell r="F1142">
            <v>323.14</v>
          </cell>
          <cell r="G1142">
            <v>646.28</v>
          </cell>
        </row>
        <row r="1143">
          <cell r="B1143" t="str">
            <v>С1630-633</v>
          </cell>
          <cell r="C1143" t="str">
            <v>Кран для наповнення та зливу
ТHERMOFLEX, для води t= 90-65 С, Ру 1,0
МПа, ду 15 "ГЕРЦ"</v>
          </cell>
          <cell r="D1143" t="str">
            <v>шт</v>
          </cell>
          <cell r="E1143">
            <v>2</v>
          </cell>
          <cell r="F1143">
            <v>483.27</v>
          </cell>
          <cell r="G1143">
            <v>966.54</v>
          </cell>
        </row>
        <row r="1144">
          <cell r="B1144" t="str">
            <v>С1545-295-2</v>
          </cell>
          <cell r="C1144" t="str">
            <v>Штуцер для шланга к зливному крану
"ГЕРЦ" ду 15</v>
          </cell>
          <cell r="D1144" t="str">
            <v>шт</v>
          </cell>
          <cell r="E1144">
            <v>2</v>
          </cell>
          <cell r="F1144">
            <v>107.58</v>
          </cell>
          <cell r="G1144">
            <v>215.16</v>
          </cell>
        </row>
        <row r="1145">
          <cell r="B1145" t="str">
            <v>ЕН26-11-1</v>
          </cell>
          <cell r="C1145" t="str">
            <v>Ізоляція трубопроводів трубками із
спіненого каучуку, поліетилену</v>
          </cell>
          <cell r="D1145" t="str">
            <v>10 м</v>
          </cell>
          <cell r="E1145">
            <v>14.5</v>
          </cell>
          <cell r="F1145">
            <v>234.29</v>
          </cell>
          <cell r="G1145">
            <v>3397.21</v>
          </cell>
        </row>
        <row r="1146">
          <cell r="B1146" t="str">
            <v>С114-48-1</v>
          </cell>
          <cell r="C1146" t="str">
            <v>Синтетичний каучук марки K-FLEX ST,
товщ. 19 мм, діам. 20х2,8</v>
          </cell>
          <cell r="D1146" t="str">
            <v>м</v>
          </cell>
          <cell r="E1146">
            <v>12.24</v>
          </cell>
          <cell r="F1146">
            <v>87.28</v>
          </cell>
          <cell r="G1146">
            <v>1068.31</v>
          </cell>
        </row>
        <row r="1147">
          <cell r="B1147" t="str">
            <v>С114-48-1</v>
          </cell>
          <cell r="C1147" t="str">
            <v>Синтетичний каучук марки K-FLEX ST,
товщ. 19 мм, діам. 25х3,5</v>
          </cell>
          <cell r="D1147" t="str">
            <v>м</v>
          </cell>
          <cell r="E1147">
            <v>25.5</v>
          </cell>
          <cell r="F1147">
            <v>102.18</v>
          </cell>
          <cell r="G1147">
            <v>2605.59</v>
          </cell>
        </row>
        <row r="1148">
          <cell r="B1148" t="str">
            <v>С114-48-1</v>
          </cell>
          <cell r="C1148" t="str">
            <v>Синтетичний каучук марки K-FLEX ST,
товщ. 19 мм, діам. 32х4,4</v>
          </cell>
          <cell r="D1148" t="str">
            <v>м</v>
          </cell>
          <cell r="E1148">
            <v>3.06</v>
          </cell>
          <cell r="F1148">
            <v>125.5</v>
          </cell>
          <cell r="G1148">
            <v>384.03</v>
          </cell>
        </row>
        <row r="1149">
          <cell r="B1149" t="str">
            <v>С114-48-1</v>
          </cell>
          <cell r="C1149" t="str">
            <v>Теплоізоляція для міді</v>
          </cell>
          <cell r="D1149" t="str">
            <v>м</v>
          </cell>
          <cell r="E1149">
            <v>107.1</v>
          </cell>
          <cell r="F1149">
            <v>140.41</v>
          </cell>
          <cell r="G1149">
            <v>15037.91</v>
          </cell>
        </row>
        <row r="1150">
          <cell r="B1150" t="str">
            <v>С111-1678-1-Я</v>
          </cell>
          <cell r="C1150" t="str">
            <v>Стрiчка самоклеюча для спінених
теплоізоляційних матеріалів 3х50мм</v>
          </cell>
          <cell r="D1150" t="str">
            <v>м</v>
          </cell>
          <cell r="E1150">
            <v>200.303</v>
          </cell>
          <cell r="F1150">
            <v>7.78</v>
          </cell>
          <cell r="G1150">
            <v>1558.36</v>
          </cell>
        </row>
        <row r="1151">
          <cell r="B1151" t="str">
            <v>С111-1641-1-Э</v>
          </cell>
          <cell r="C1151" t="str">
            <v>Клей монтажний для теплоізоляційних
матеріалів</v>
          </cell>
          <cell r="D1151" t="str">
            <v>л</v>
          </cell>
          <cell r="E1151">
            <v>2.0590000000000002</v>
          </cell>
          <cell r="F1151">
            <v>478.23</v>
          </cell>
          <cell r="G1151">
            <v>984.68</v>
          </cell>
        </row>
        <row r="1152">
          <cell r="B1152" t="str">
            <v>С111-838-1-Ю</v>
          </cell>
          <cell r="C1152" t="str">
            <v>Очищувач клею</v>
          </cell>
          <cell r="D1152" t="str">
            <v>л</v>
          </cell>
          <cell r="E1152">
            <v>0.44950000000000001</v>
          </cell>
          <cell r="F1152">
            <v>311.02</v>
          </cell>
          <cell r="G1152">
            <v>139.80000000000001</v>
          </cell>
        </row>
        <row r="1153">
          <cell r="B1153" t="str">
            <v>С1545-89-2-Щ</v>
          </cell>
          <cell r="C1153" t="str">
            <v>Жолоб фіксуючий, для РЕ - труб, діам.20
"REHAU"</v>
          </cell>
          <cell r="D1153" t="str">
            <v>м</v>
          </cell>
          <cell r="E1153">
            <v>12</v>
          </cell>
          <cell r="F1153">
            <v>61.51</v>
          </cell>
          <cell r="G1153">
            <v>738.12</v>
          </cell>
        </row>
        <row r="1154">
          <cell r="B1154" t="str">
            <v>С1545-89-2-Щ</v>
          </cell>
          <cell r="C1154" t="str">
            <v>Жолоб фіксуючий, для РЕ - труб, діам.25х3,
5  "REHAU"</v>
          </cell>
          <cell r="D1154" t="str">
            <v>м</v>
          </cell>
          <cell r="E1154">
            <v>25</v>
          </cell>
          <cell r="F1154">
            <v>77.06</v>
          </cell>
          <cell r="G1154">
            <v>1926.5</v>
          </cell>
        </row>
        <row r="1155">
          <cell r="B1155" t="str">
            <v>С1545-89-2-Щ</v>
          </cell>
          <cell r="C1155" t="str">
            <v>Жолоб фіксуючий, для РЕ - труб, діам.32х4,
4 "REHAU"</v>
          </cell>
          <cell r="D1155" t="str">
            <v>м</v>
          </cell>
          <cell r="E1155">
            <v>3</v>
          </cell>
          <cell r="F1155">
            <v>103.13</v>
          </cell>
          <cell r="G1155">
            <v>309.39</v>
          </cell>
        </row>
        <row r="1156">
          <cell r="B1156" t="str">
            <v>С1545-89-2-Щ</v>
          </cell>
          <cell r="C1156" t="str">
            <v>Жолоб фіксуючий, для РЕ - труб, діам.40
"REHAU"</v>
          </cell>
          <cell r="D1156" t="str">
            <v>м</v>
          </cell>
          <cell r="E1156">
            <v>105</v>
          </cell>
          <cell r="F1156">
            <v>143.19999999999999</v>
          </cell>
          <cell r="G1156">
            <v>15036</v>
          </cell>
        </row>
        <row r="1157">
          <cell r="B1157" t="str">
            <v>С1111-65-1-2У</v>
          </cell>
          <cell r="C1157" t="str">
            <v>Хомут оцинкований з гумовою ізоляцією,
для кріплення трубопроводів, діам. 20х2,9</v>
          </cell>
          <cell r="D1157" t="str">
            <v>шт</v>
          </cell>
          <cell r="E1157">
            <v>6</v>
          </cell>
          <cell r="F1157">
            <v>7.09</v>
          </cell>
          <cell r="G1157">
            <v>42.54</v>
          </cell>
        </row>
        <row r="1158">
          <cell r="B1158" t="str">
            <v>С1111-65-1-2У</v>
          </cell>
          <cell r="C1158" t="str">
            <v>Хомут оцинкований з гумовою ізоляцією,
для кріплення трубопроводів, діам. 25х3,5</v>
          </cell>
          <cell r="D1158" t="str">
            <v>шт</v>
          </cell>
          <cell r="E1158">
            <v>12</v>
          </cell>
          <cell r="F1158">
            <v>7.6</v>
          </cell>
          <cell r="G1158">
            <v>91.2</v>
          </cell>
        </row>
        <row r="1159">
          <cell r="B1159" t="str">
            <v>С1111-65-1-2У</v>
          </cell>
          <cell r="C1159" t="str">
            <v>Хомут оцинкований з гумовою ізоляцією,
для кріплення трубопроводів, діам. 32х4,4</v>
          </cell>
          <cell r="D1159" t="str">
            <v>шт</v>
          </cell>
          <cell r="E1159">
            <v>2</v>
          </cell>
          <cell r="F1159">
            <v>8.4499999999999993</v>
          </cell>
          <cell r="G1159">
            <v>16.899999999999999</v>
          </cell>
        </row>
        <row r="1160">
          <cell r="B1160" t="str">
            <v>С1111-65-1-2У</v>
          </cell>
          <cell r="C1160" t="str">
            <v>Хомут оцинкований з гумовою ізоляцією,
для кріплення трубопроводів, діам. 40х5,5</v>
          </cell>
          <cell r="D1160" t="str">
            <v>шт</v>
          </cell>
          <cell r="E1160">
            <v>28</v>
          </cell>
          <cell r="F1160">
            <v>8.7899999999999991</v>
          </cell>
          <cell r="G1160">
            <v>246.12</v>
          </cell>
        </row>
        <row r="1161">
          <cell r="B1161" t="str">
            <v>С1545-32-1-Ш</v>
          </cell>
          <cell r="C1161" t="str">
            <v>Гiльза RAUTITAN PX для запресовки, діам.
20</v>
          </cell>
          <cell r="D1161" t="str">
            <v>шт</v>
          </cell>
          <cell r="E1161">
            <v>24</v>
          </cell>
          <cell r="F1161">
            <v>34.72</v>
          </cell>
          <cell r="G1161">
            <v>833.28</v>
          </cell>
        </row>
        <row r="1162">
          <cell r="B1162" t="str">
            <v>С1545-32-1-Ш</v>
          </cell>
          <cell r="C1162" t="str">
            <v>Гiльза RAUTITAN PX для запресовки, діам.
25</v>
          </cell>
          <cell r="D1162" t="str">
            <v>шт</v>
          </cell>
          <cell r="E1162">
            <v>4</v>
          </cell>
          <cell r="F1162">
            <v>51.07</v>
          </cell>
          <cell r="G1162">
            <v>204.28</v>
          </cell>
        </row>
        <row r="1163">
          <cell r="B1163" t="str">
            <v>С1545-32-1-Ш</v>
          </cell>
          <cell r="C1163" t="str">
            <v>Гiльза RAUTITAN PX для запресовки, діам.
32</v>
          </cell>
          <cell r="D1163" t="str">
            <v>шт</v>
          </cell>
          <cell r="E1163">
            <v>4</v>
          </cell>
          <cell r="F1163">
            <v>104.42</v>
          </cell>
          <cell r="G1163">
            <v>417.68</v>
          </cell>
        </row>
        <row r="1164">
          <cell r="B1164" t="str">
            <v>С1545-32-1-Ш</v>
          </cell>
          <cell r="C1164" t="str">
            <v>Гiльза RAUTITAN PX для запресовки, діам.
40</v>
          </cell>
          <cell r="D1164" t="str">
            <v>шт</v>
          </cell>
          <cell r="E1164">
            <v>80</v>
          </cell>
          <cell r="F1164">
            <v>163.09</v>
          </cell>
          <cell r="G1164">
            <v>13047.2</v>
          </cell>
        </row>
        <row r="1165">
          <cell r="B1165" t="str">
            <v>С1545-32-1-Ш</v>
          </cell>
          <cell r="C1165" t="str">
            <v>Кутник RAUTITAN PX 90, діам. 40</v>
          </cell>
          <cell r="D1165" t="str">
            <v>шт</v>
          </cell>
          <cell r="E1165">
            <v>18</v>
          </cell>
          <cell r="F1165">
            <v>808.66</v>
          </cell>
          <cell r="G1165">
            <v>14555.88</v>
          </cell>
        </row>
        <row r="1166">
          <cell r="B1166" t="str">
            <v>С1545-32-1-Ш</v>
          </cell>
          <cell r="C1166" t="str">
            <v>Муфта RAUTITAN PX зєднувальна
рівнопрохідна, діам. 40</v>
          </cell>
          <cell r="D1166" t="str">
            <v>шт</v>
          </cell>
          <cell r="E1166">
            <v>16</v>
          </cell>
          <cell r="F1166">
            <v>647.63</v>
          </cell>
          <cell r="G1166">
            <v>10362.08</v>
          </cell>
        </row>
        <row r="1167">
          <cell r="B1167" t="str">
            <v>С1545-32-1-Ш</v>
          </cell>
          <cell r="C1167" t="str">
            <v>Перехідник RAUTITAN з зовнішньою
різьбою 20-R 1/2</v>
          </cell>
          <cell r="D1167" t="str">
            <v>шт</v>
          </cell>
          <cell r="E1167">
            <v>12</v>
          </cell>
          <cell r="F1167">
            <v>249.14</v>
          </cell>
          <cell r="G1167">
            <v>2989.68</v>
          </cell>
        </row>
        <row r="1168">
          <cell r="B1168" t="str">
            <v>С1545-32-1-Ш</v>
          </cell>
          <cell r="C1168" t="str">
            <v>Перехідник RAUTITAN з зовнішньою
різьбою 40-R 1 1/4</v>
          </cell>
          <cell r="D1168" t="str">
            <v>шт</v>
          </cell>
          <cell r="E1168">
            <v>2</v>
          </cell>
          <cell r="F1168">
            <v>715.21</v>
          </cell>
          <cell r="G1168">
            <v>1430.42</v>
          </cell>
        </row>
        <row r="1169">
          <cell r="B1169" t="str">
            <v>С1545-32-1-Ш</v>
          </cell>
          <cell r="C1169" t="str">
            <v>Трійник RAUTITAN RX 25-20-20</v>
          </cell>
          <cell r="D1169" t="str">
            <v>шт</v>
          </cell>
          <cell r="E1169">
            <v>2</v>
          </cell>
          <cell r="F1169">
            <v>277.45</v>
          </cell>
          <cell r="G1169">
            <v>554.9</v>
          </cell>
        </row>
        <row r="1170">
          <cell r="B1170" t="str">
            <v>С1545-32-1-Ш</v>
          </cell>
          <cell r="C1170" t="str">
            <v>Трійник RAUTITAN RX 32-20-25</v>
          </cell>
          <cell r="D1170" t="str">
            <v>шт</v>
          </cell>
          <cell r="E1170">
            <v>2</v>
          </cell>
          <cell r="F1170">
            <v>551.45000000000005</v>
          </cell>
          <cell r="G1170">
            <v>1102.9000000000001</v>
          </cell>
        </row>
        <row r="1171">
          <cell r="B1171" t="str">
            <v>С1545-32-1-Ш</v>
          </cell>
          <cell r="C1171" t="str">
            <v>Трійник RAUTITAN RX 40-20-32</v>
          </cell>
          <cell r="D1171" t="str">
            <v>шт</v>
          </cell>
          <cell r="E1171">
            <v>2</v>
          </cell>
          <cell r="F1171">
            <v>1414.56</v>
          </cell>
          <cell r="G1171">
            <v>2829.12</v>
          </cell>
        </row>
        <row r="1172">
          <cell r="B1172" t="str">
            <v>С1545-32-1-Ш</v>
          </cell>
          <cell r="C1172" t="str">
            <v>Трійник RAUTITAN RX 40-20-40</v>
          </cell>
          <cell r="D1172" t="str">
            <v>шт</v>
          </cell>
          <cell r="E1172">
            <v>4</v>
          </cell>
          <cell r="F1172">
            <v>1101.3499999999999</v>
          </cell>
          <cell r="G1172">
            <v>4405.3999999999996</v>
          </cell>
        </row>
        <row r="1173">
          <cell r="B1173" t="str">
            <v>М11-350-1</v>
          </cell>
          <cell r="C1173" t="str">
            <v>Прилади, що монтуються на
технологiчному трубопроводi [расходомiр
об'ємний, швидкiсний, iндукцiйний;
ротаметр, клапан регулюючий; регулятор
тиску та температури прямої дiї;
покажчик потоку рiдини; проточнi датчики
концентратомiрiв i щiльномiрiв, РН-
метрiв], дiаметр трубопроводу до 20 мм</v>
          </cell>
          <cell r="D1173" t="str">
            <v>шт</v>
          </cell>
          <cell r="E1173">
            <v>2</v>
          </cell>
          <cell r="F1173">
            <v>125.24</v>
          </cell>
          <cell r="G1173">
            <v>250.48</v>
          </cell>
        </row>
        <row r="1174">
          <cell r="B1174" t="str">
            <v>1701-1075</v>
          </cell>
          <cell r="C1174" t="str">
            <v>Автоматичний регулятор перепаду тиску Р =
5...30 кПа, середовище - вода t =65 С, з
нипельною трубкою, ду=15, 1 4002 4Х
"ГЕРЦ"</v>
          </cell>
          <cell r="D1174" t="str">
            <v>шт</v>
          </cell>
          <cell r="E1174">
            <v>2</v>
          </cell>
          <cell r="F1174">
            <v>2448.9299999999998</v>
          </cell>
          <cell r="G1174">
            <v>4897.8599999999997</v>
          </cell>
        </row>
        <row r="1175">
          <cell r="B1175" t="str">
            <v>С1630-543</v>
          </cell>
          <cell r="C1175" t="str">
            <v>Запірний клапан, з похилим шпинделем, з
двома отварами та різьбовою заглушкою,
середовище - вода, t = 90-65C, тиск 1,6 МПа,
дiаметр 15 мм, 4115 А STROEMAX - A 
"ГЕРЦ"</v>
          </cell>
          <cell r="D1175" t="str">
            <v>шт</v>
          </cell>
          <cell r="E1175">
            <v>1</v>
          </cell>
          <cell r="F1175">
            <v>624.76</v>
          </cell>
          <cell r="G1175">
            <v>624.76</v>
          </cell>
        </row>
        <row r="1176">
          <cell r="B1176" t="str">
            <v>С1630-543</v>
          </cell>
          <cell r="C1176" t="str">
            <v>Запірний клапан, з похилим шпинделем, з
двома отварами та різьбовою заглушкою,
середовище - вода, t = 90-65C, тиск 1,6 МПа,
дiаметр 20 мм, 4115 А STROEMAX - A 
"ГЕРЦ"</v>
          </cell>
          <cell r="D1176" t="str">
            <v>шт</v>
          </cell>
          <cell r="E1176">
            <v>1</v>
          </cell>
          <cell r="F1176">
            <v>805.98</v>
          </cell>
          <cell r="G1176">
            <v>805.98</v>
          </cell>
        </row>
        <row r="1177">
          <cell r="B1177" t="str">
            <v>С1630-1433</v>
          </cell>
          <cell r="C1177" t="str">
            <v>Кран кульовий, середовище - вода t=90-65
С Ру до 1,0 МПа, дiаметр 15 мм "ГЕРЦ"</v>
          </cell>
          <cell r="D1177" t="str">
            <v>шт</v>
          </cell>
          <cell r="E1177">
            <v>1</v>
          </cell>
          <cell r="F1177">
            <v>299.01</v>
          </cell>
          <cell r="G1177">
            <v>299.01</v>
          </cell>
        </row>
        <row r="1178">
          <cell r="B1178" t="str">
            <v>С1630-1433</v>
          </cell>
          <cell r="C1178" t="str">
            <v>Кран кульовий, середовище - вода t=90-65
С Ру до 1,0 МПа, дiаметр 20 мм "ГЕРЦ"</v>
          </cell>
          <cell r="D1178" t="str">
            <v>шт</v>
          </cell>
          <cell r="E1178">
            <v>1</v>
          </cell>
          <cell r="F1178">
            <v>239.8</v>
          </cell>
          <cell r="G1178">
            <v>239.8</v>
          </cell>
        </row>
        <row r="1179">
          <cell r="B1179" t="str">
            <v>Е18-22-1</v>
          </cell>
          <cell r="C1179" t="str">
            <v>Установлення покажчикiв рiвня кранового
типу</v>
          </cell>
          <cell r="D1179" t="str">
            <v>комплект</v>
          </cell>
          <cell r="E1179">
            <v>38</v>
          </cell>
          <cell r="F1179">
            <v>106.38</v>
          </cell>
          <cell r="G1179">
            <v>4042.44</v>
          </cell>
        </row>
        <row r="1180">
          <cell r="B1180" t="str">
            <v>С1630-541</v>
          </cell>
          <cell r="C1180" t="str">
            <v>Термостатичний клапан прохідний, з
плавним прихованим попереднім
налаштуванням, середовище - вода  t = 90-
65C, Ру 1,0 МПа,     Ду 15 мм ГЕРЦ  TS-90-V
"ГЕРЦ"</v>
          </cell>
          <cell r="D1180" t="str">
            <v>шт</v>
          </cell>
          <cell r="E1180">
            <v>19</v>
          </cell>
          <cell r="F1180">
            <v>504.88</v>
          </cell>
          <cell r="G1180">
            <v>9592.7199999999993</v>
          </cell>
        </row>
        <row r="1181">
          <cell r="B1181" t="str">
            <v>С1630-541</v>
          </cell>
          <cell r="C1181" t="str">
            <v>Термостатична головка HERZ-MINI "ГЕРЦ"</v>
          </cell>
          <cell r="D1181" t="str">
            <v>шт</v>
          </cell>
          <cell r="E1181">
            <v>19</v>
          </cell>
          <cell r="F1181">
            <v>464.98</v>
          </cell>
          <cell r="G1181">
            <v>8834.6200000000008</v>
          </cell>
        </row>
        <row r="1182">
          <cell r="B1182" t="str">
            <v>С1630-218</v>
          </cell>
          <cell r="C1182" t="str">
            <v>Вентиль запірний кутовий, для відключення
радіатора, середовище - вода, t=90-65C, Ру
до 1,0 МПа, Ду 15 "ГЕРЦ-RL-1"</v>
          </cell>
          <cell r="D1182" t="str">
            <v>шт</v>
          </cell>
          <cell r="E1182">
            <v>19</v>
          </cell>
          <cell r="F1182">
            <v>336.18</v>
          </cell>
          <cell r="G1182">
            <v>6387.42</v>
          </cell>
        </row>
        <row r="1183">
          <cell r="B1183" t="str">
            <v>Е18-17-10</v>
          </cell>
          <cell r="C1183" t="str">
            <v>Установлення повітровідвідників</v>
          </cell>
          <cell r="D1183" t="str">
            <v>шт</v>
          </cell>
          <cell r="E1183">
            <v>6</v>
          </cell>
          <cell r="F1183">
            <v>129.83000000000001</v>
          </cell>
          <cell r="G1183">
            <v>778.98</v>
          </cell>
        </row>
        <row r="1184">
          <cell r="B1184" t="str">
            <v>С1630-1531</v>
          </cell>
          <cell r="C1184" t="str">
            <v>Автоматичний розповітрювач для води t=90-
65 С, Ру 1,0 МПа, ду 15 "Герц"</v>
          </cell>
          <cell r="D1184" t="str">
            <v>шт</v>
          </cell>
          <cell r="E1184">
            <v>6</v>
          </cell>
          <cell r="F1184">
            <v>323.14</v>
          </cell>
          <cell r="G1184">
            <v>1938.84</v>
          </cell>
        </row>
        <row r="1185">
          <cell r="B1185" t="str">
            <v>С1630-633</v>
          </cell>
          <cell r="C1185" t="str">
            <v>Кран для наповнення та зливу
ТHERMOFLEX, для води t= 90-65 С, Ру 1,0
МПа, ду 15 "ГЕРЦ"</v>
          </cell>
          <cell r="D1185" t="str">
            <v>шт</v>
          </cell>
          <cell r="E1185">
            <v>8</v>
          </cell>
          <cell r="F1185">
            <v>483.27</v>
          </cell>
          <cell r="G1185">
            <v>3866.16</v>
          </cell>
        </row>
        <row r="1186">
          <cell r="B1186" t="str">
            <v>С1545-295-2</v>
          </cell>
          <cell r="C1186" t="str">
            <v>Штуцер для шланга к зливному крану
"ГЕРЦ" ду 15</v>
          </cell>
          <cell r="D1186" t="str">
            <v>шт</v>
          </cell>
          <cell r="E1186">
            <v>8</v>
          </cell>
          <cell r="F1186">
            <v>107.58</v>
          </cell>
          <cell r="G1186">
            <v>860.64</v>
          </cell>
        </row>
        <row r="1187">
          <cell r="B1187" t="str">
            <v>Е18-6-2</v>
          </cell>
          <cell r="C1187" t="str">
            <v>Установлення радiаторiв стальних</v>
          </cell>
          <cell r="D1187" t="str">
            <v>100кВт</v>
          </cell>
          <cell r="E1187">
            <v>0.18375000000000002</v>
          </cell>
          <cell r="F1187">
            <v>8538.14</v>
          </cell>
          <cell r="G1187">
            <v>1568.88</v>
          </cell>
        </row>
        <row r="1188">
          <cell r="B1188" t="str">
            <v>С130-558-3-У</v>
          </cell>
          <cell r="C1188" t="str">
            <v>Радiатор біметалевий плоский 3-секційний
РПД-1Д-500-3 ТОВ "ПРЕС" з пробками</v>
          </cell>
          <cell r="D1188" t="str">
            <v>шт</v>
          </cell>
          <cell r="E1188">
            <v>3</v>
          </cell>
          <cell r="F1188">
            <v>1064.21</v>
          </cell>
          <cell r="G1188">
            <v>3192.63</v>
          </cell>
        </row>
        <row r="1189">
          <cell r="B1189" t="str">
            <v>С130-558-3-У</v>
          </cell>
          <cell r="C1189" t="str">
            <v>Радiатор біметалевий плоский 4-секційний
РПД-1Д-500-4 ТОВ "ПРЕС" з пробками</v>
          </cell>
          <cell r="D1189" t="str">
            <v>шт</v>
          </cell>
          <cell r="E1189">
            <v>2</v>
          </cell>
          <cell r="F1189">
            <v>1338.46</v>
          </cell>
          <cell r="G1189">
            <v>2676.92</v>
          </cell>
        </row>
        <row r="1190">
          <cell r="B1190" t="str">
            <v>С130-558-3-У</v>
          </cell>
          <cell r="C1190" t="str">
            <v>Радiатор біметалевий плоский 5-секційний
РПД-1Д-500-5 ТОВ "ПРЕС" з пробками</v>
          </cell>
          <cell r="D1190" t="str">
            <v>шт</v>
          </cell>
          <cell r="E1190">
            <v>5</v>
          </cell>
          <cell r="F1190">
            <v>1612.74</v>
          </cell>
          <cell r="G1190">
            <v>8063.7</v>
          </cell>
        </row>
        <row r="1191">
          <cell r="B1191" t="str">
            <v>С130-558-3-У</v>
          </cell>
          <cell r="C1191" t="str">
            <v>Радiатор біметалевий плоский 6-секційний
РПД-1Д-500-6 ТОВ "ПРЕС" з пробками</v>
          </cell>
          <cell r="D1191" t="str">
            <v>шт</v>
          </cell>
          <cell r="E1191">
            <v>6</v>
          </cell>
          <cell r="F1191">
            <v>1887.02</v>
          </cell>
          <cell r="G1191">
            <v>11322.12</v>
          </cell>
        </row>
        <row r="1192">
          <cell r="B1192" t="str">
            <v>С130-558-3-У</v>
          </cell>
          <cell r="C1192" t="str">
            <v>Радiатор біметалевий плоский 9-секційний
РПД-1Д-500-9 ТОВ "ПРЕС" з пробками</v>
          </cell>
          <cell r="D1192" t="str">
            <v>шт</v>
          </cell>
          <cell r="E1192">
            <v>1</v>
          </cell>
          <cell r="F1192">
            <v>2709.81</v>
          </cell>
          <cell r="G1192">
            <v>2709.81</v>
          </cell>
        </row>
        <row r="1193">
          <cell r="B1193" t="str">
            <v>С130-558-3-У</v>
          </cell>
          <cell r="C1193" t="str">
            <v>Радiатор біметалевий плоский 10-секційний
РПД-1Д-500-10 ТОВ "ПРЕС" з пробками</v>
          </cell>
          <cell r="D1193" t="str">
            <v>шт</v>
          </cell>
          <cell r="E1193">
            <v>1</v>
          </cell>
          <cell r="F1193">
            <v>2984.08</v>
          </cell>
          <cell r="G1193">
            <v>2984.08</v>
          </cell>
        </row>
        <row r="1194">
          <cell r="B1194" t="str">
            <v>С130-558-3-У</v>
          </cell>
          <cell r="C1194" t="str">
            <v>Радiатор біметалевий плоский 14-секційний
РПД-1Д-500-14 ТОВ "ПРЕС" з пробками</v>
          </cell>
          <cell r="D1194" t="str">
            <v>шт</v>
          </cell>
          <cell r="E1194">
            <v>1</v>
          </cell>
          <cell r="F1194">
            <v>4081.17</v>
          </cell>
          <cell r="G1194">
            <v>4081.17</v>
          </cell>
        </row>
        <row r="1195">
          <cell r="B1195" t="str">
            <v>С121-792-1</v>
          </cell>
          <cell r="C1195" t="str">
            <v>Кронштейн для кріплення опалювального
приладу L=165 мм</v>
          </cell>
          <cell r="D1195" t="str">
            <v>шт</v>
          </cell>
          <cell r="E1195">
            <v>28</v>
          </cell>
          <cell r="F1195">
            <v>23.67</v>
          </cell>
          <cell r="G1195">
            <v>662.76</v>
          </cell>
        </row>
        <row r="1196">
          <cell r="B1196" t="str">
            <v>С1630-1433</v>
          </cell>
          <cell r="C1196" t="str">
            <v>Кран "американка" 3/4</v>
          </cell>
          <cell r="D1196" t="str">
            <v>шт</v>
          </cell>
          <cell r="E1196">
            <v>14</v>
          </cell>
          <cell r="F1196">
            <v>211.25</v>
          </cell>
          <cell r="G1196">
            <v>2957.5</v>
          </cell>
        </row>
        <row r="1197">
          <cell r="B1197" t="str">
            <v>Е18-22-5</v>
          </cell>
          <cell r="C1197" t="str">
            <v>Установлення кранiв повiтряних</v>
          </cell>
          <cell r="D1197" t="str">
            <v>комплек
т</v>
          </cell>
          <cell r="E1197">
            <v>19</v>
          </cell>
          <cell r="F1197">
            <v>17.97</v>
          </cell>
          <cell r="G1197">
            <v>341.43</v>
          </cell>
        </row>
        <row r="1198">
          <cell r="B1198" t="str">
            <v>С1630-669</v>
          </cell>
          <cell r="C1198" t="str">
            <v>Повітровипускний кран типа "Маєвського" ду
10</v>
          </cell>
          <cell r="D1198" t="str">
            <v>шт</v>
          </cell>
          <cell r="E1198">
            <v>19</v>
          </cell>
          <cell r="F1198">
            <v>18.510000000000002</v>
          </cell>
          <cell r="G1198">
            <v>351.69</v>
          </cell>
        </row>
        <row r="1199">
          <cell r="B1199" t="str">
            <v>Е16-14-12</v>
          </cell>
          <cell r="C1199" t="str">
            <v>Прокладання трубопроводiв
водопостачання з напiрних
полiетиленових труб високого тиску
зовнiшнiм дiаметром 20 мм зі з'єднанням
терморезисторним зварюванням</v>
          </cell>
          <cell r="D1199" t="str">
            <v>100м</v>
          </cell>
          <cell r="E1199">
            <v>3.3</v>
          </cell>
          <cell r="F1199">
            <v>8749.2099999999991</v>
          </cell>
          <cell r="G1199">
            <v>28872.39</v>
          </cell>
        </row>
        <row r="1200">
          <cell r="B1200" t="str">
            <v>С113-1897</v>
          </cell>
          <cell r="C1200" t="str">
            <v>Труби металопластиковi, PE-Xа RAUTITAN
flex із зшитого поліетилену з киснезахисним
шаром, Ду 16х2,2 мм</v>
          </cell>
          <cell r="D1200" t="str">
            <v>м</v>
          </cell>
          <cell r="E1200">
            <v>224.75</v>
          </cell>
          <cell r="F1200">
            <v>88.5</v>
          </cell>
          <cell r="G1200">
            <v>19890.38</v>
          </cell>
        </row>
        <row r="1201">
          <cell r="B1201" t="str">
            <v>С113-1898</v>
          </cell>
          <cell r="C1201" t="str">
            <v>Труби металопластиковi, PE-Xа RAUTITAN
flex із зшитого поліетилену з киснезахисним
шаром, Ду 20х2,8 мм</v>
          </cell>
          <cell r="D1201" t="str">
            <v>м</v>
          </cell>
          <cell r="E1201">
            <v>71.92</v>
          </cell>
          <cell r="F1201">
            <v>96.76</v>
          </cell>
          <cell r="G1201">
            <v>6958.98</v>
          </cell>
        </row>
        <row r="1202">
          <cell r="B1202" t="str">
            <v>Е16-14-13</v>
          </cell>
          <cell r="C1202" t="str">
            <v>Прокладання трубопроводiв
водопостачання з напiрних
полiетиленових труб високого тиску
зовнiшнiм дiаметром 25 мм зі з'єднанням
терморезисторним зварюванням</v>
          </cell>
          <cell r="D1202" t="str">
            <v>100м</v>
          </cell>
          <cell r="E1202">
            <v>0.1</v>
          </cell>
          <cell r="F1202">
            <v>8078.09</v>
          </cell>
          <cell r="G1202">
            <v>807.81</v>
          </cell>
        </row>
        <row r="1203">
          <cell r="B1203" t="str">
            <v>С113-1899</v>
          </cell>
          <cell r="C1203" t="str">
            <v>Труби металопластиковi, PE-Xа RAUTITAN
flex із зшитого поліетилену з киснезахисним
шаром, Ду 25х3,5 мм "REHAU"</v>
          </cell>
          <cell r="D1203" t="str">
            <v>м</v>
          </cell>
          <cell r="E1203">
            <v>9.2899999999999991</v>
          </cell>
          <cell r="F1203">
            <v>154.63</v>
          </cell>
          <cell r="G1203">
            <v>1436.51</v>
          </cell>
        </row>
        <row r="1204">
          <cell r="B1204" t="str">
            <v>Е16-14-14</v>
          </cell>
          <cell r="C1204" t="str">
            <v>Прокладання трубопроводiв
водопостачання з напiрних
полiетиленових труб високого тиску
зовнiшнiм дiаметром 32 мм зі з'єднанням
терморезисторним зварюванням</v>
          </cell>
          <cell r="D1204" t="str">
            <v>100м</v>
          </cell>
          <cell r="E1204">
            <v>0.60000000000000009</v>
          </cell>
          <cell r="F1204">
            <v>8498.68</v>
          </cell>
          <cell r="G1204">
            <v>5099.21</v>
          </cell>
        </row>
        <row r="1205">
          <cell r="B1205" t="str">
            <v>С113-1900</v>
          </cell>
          <cell r="C1205" t="str">
            <v>Труби металопластиковi, PE-Xа RAUTITAN
flex із зшитого поліетилену з киснезахисним
шаром, Ду 32х4,4 мм</v>
          </cell>
          <cell r="D1205" t="str">
            <v>м</v>
          </cell>
          <cell r="E1205">
            <v>56.28</v>
          </cell>
          <cell r="F1205">
            <v>232.13</v>
          </cell>
          <cell r="G1205">
            <v>13064.28</v>
          </cell>
        </row>
        <row r="1206">
          <cell r="B1206" t="str">
            <v>С113-2096</v>
          </cell>
          <cell r="C1206" t="str">
            <v>Опора для кріплення труби 16,2х2,6, що
проходять по підлозі з подальшим їх
зашиванням</v>
          </cell>
          <cell r="D1206" t="str">
            <v>шт</v>
          </cell>
          <cell r="E1206">
            <v>90</v>
          </cell>
          <cell r="F1206">
            <v>0.68999999999999984</v>
          </cell>
          <cell r="G1206">
            <v>62.1</v>
          </cell>
        </row>
        <row r="1207">
          <cell r="B1207" t="str">
            <v>С113-2096</v>
          </cell>
          <cell r="C1207" t="str">
            <v>Опора для кріплення труби 20х2,8, що
проходять по перекриттю</v>
          </cell>
          <cell r="D1207" t="str">
            <v>шт</v>
          </cell>
          <cell r="E1207">
            <v>24</v>
          </cell>
          <cell r="F1207">
            <v>0.7</v>
          </cell>
          <cell r="G1207">
            <v>16.8</v>
          </cell>
        </row>
        <row r="1208">
          <cell r="B1208" t="str">
            <v>С113-2096</v>
          </cell>
          <cell r="C1208" t="str">
            <v>Опора для кріплення труби 32х4,4, що
проходять по перекриттю</v>
          </cell>
          <cell r="D1208" t="str">
            <v>шт</v>
          </cell>
          <cell r="E1208">
            <v>36</v>
          </cell>
          <cell r="F1208">
            <v>7.03</v>
          </cell>
          <cell r="G1208">
            <v>253.08</v>
          </cell>
        </row>
        <row r="1209">
          <cell r="B1209" t="str">
            <v>С1111-65-1-2У</v>
          </cell>
          <cell r="C1209" t="str">
            <v>Хомут оцинкований з гумовою ізоляцією,
для кріплення трубопроводів, діам. 16,2х2,6</v>
          </cell>
          <cell r="D1209" t="str">
            <v>шт</v>
          </cell>
          <cell r="E1209">
            <v>50</v>
          </cell>
          <cell r="F1209">
            <v>7.09</v>
          </cell>
          <cell r="G1209">
            <v>354.5</v>
          </cell>
        </row>
        <row r="1210">
          <cell r="B1210" t="str">
            <v>С1111-65-1-2У</v>
          </cell>
          <cell r="C1210" t="str">
            <v>Хомут оцинкований з гумовою ізоляцією,
для кріплення трубопроводів, діам. 20х2,9</v>
          </cell>
          <cell r="D1210" t="str">
            <v>шт</v>
          </cell>
          <cell r="E1210">
            <v>24</v>
          </cell>
          <cell r="F1210">
            <v>7.09</v>
          </cell>
          <cell r="G1210">
            <v>170.16</v>
          </cell>
        </row>
        <row r="1211">
          <cell r="B1211" t="str">
            <v>С1111-65-1-2У</v>
          </cell>
          <cell r="C1211" t="str">
            <v>Хомут оцинкований з гумовою ізоляцією,
для кріплення трубопроводів, діам. 25х3,5</v>
          </cell>
          <cell r="D1211" t="str">
            <v>шт</v>
          </cell>
          <cell r="E1211">
            <v>6</v>
          </cell>
          <cell r="F1211">
            <v>7.6</v>
          </cell>
          <cell r="G1211">
            <v>45.6</v>
          </cell>
        </row>
        <row r="1212">
          <cell r="B1212" t="str">
            <v>С1111-65-1-2У</v>
          </cell>
          <cell r="C1212" t="str">
            <v>Хомут оцинкований з гумовою ізоляцією,
для кріплення трубопроводів, діам. 32х4,4</v>
          </cell>
          <cell r="D1212" t="str">
            <v>шт</v>
          </cell>
          <cell r="E1212">
            <v>6</v>
          </cell>
          <cell r="F1212">
            <v>8.4499999999999993</v>
          </cell>
          <cell r="G1212">
            <v>50.7</v>
          </cell>
        </row>
        <row r="1213">
          <cell r="B1213" t="str">
            <v>С1545-32-1-Ш</v>
          </cell>
          <cell r="C1213" t="str">
            <v>Гiльза RAUTITAN PX для запресовки, діам.
16</v>
          </cell>
          <cell r="D1213" t="str">
            <v>шт</v>
          </cell>
          <cell r="E1213">
            <v>142</v>
          </cell>
          <cell r="F1213">
            <v>27.72</v>
          </cell>
          <cell r="G1213">
            <v>3936.24</v>
          </cell>
        </row>
        <row r="1214">
          <cell r="B1214" t="str">
            <v>С1545-32-1-Ш</v>
          </cell>
          <cell r="C1214" t="str">
            <v>Гiльза RAUTITAN PX для запресовки, діам.
20</v>
          </cell>
          <cell r="D1214" t="str">
            <v>шт</v>
          </cell>
          <cell r="E1214">
            <v>16</v>
          </cell>
          <cell r="F1214">
            <v>34.72</v>
          </cell>
          <cell r="G1214">
            <v>555.52</v>
          </cell>
        </row>
        <row r="1215">
          <cell r="B1215" t="str">
            <v>С1545-32-1-Ш</v>
          </cell>
          <cell r="C1215" t="str">
            <v>Гiльза RAUTITAN PX для запресовки, діам.
25</v>
          </cell>
          <cell r="D1215" t="str">
            <v>шт</v>
          </cell>
          <cell r="E1215">
            <v>16</v>
          </cell>
          <cell r="F1215">
            <v>51.07</v>
          </cell>
          <cell r="G1215">
            <v>817.12</v>
          </cell>
        </row>
        <row r="1216">
          <cell r="B1216" t="str">
            <v>С1545-32-1-Ш</v>
          </cell>
          <cell r="C1216" t="str">
            <v>Гiльза RAUTITAN PX для запресовки, діам.
32</v>
          </cell>
          <cell r="D1216" t="str">
            <v>шт</v>
          </cell>
          <cell r="E1216">
            <v>16</v>
          </cell>
          <cell r="F1216">
            <v>104.42</v>
          </cell>
          <cell r="G1216">
            <v>1670.72</v>
          </cell>
        </row>
        <row r="1217">
          <cell r="B1217" t="str">
            <v>С1545-32-1-Ш</v>
          </cell>
          <cell r="C1217" t="str">
            <v>З'єднання різьбові 16,2х2,6 G3/4"</v>
          </cell>
          <cell r="D1217" t="str">
            <v>шт</v>
          </cell>
          <cell r="E1217">
            <v>38</v>
          </cell>
          <cell r="F1217">
            <v>149.16</v>
          </cell>
          <cell r="G1217">
            <v>5668.08</v>
          </cell>
        </row>
        <row r="1218">
          <cell r="B1218" t="str">
            <v>С1545-32-1-Ш</v>
          </cell>
          <cell r="C1218" t="str">
            <v>Кутник RAUTITAN PX 90, діам. 16</v>
          </cell>
          <cell r="D1218" t="str">
            <v>шт</v>
          </cell>
          <cell r="E1218">
            <v>20</v>
          </cell>
          <cell r="F1218">
            <v>151.43</v>
          </cell>
          <cell r="G1218">
            <v>3028.6</v>
          </cell>
        </row>
        <row r="1219">
          <cell r="B1219" t="str">
            <v>С1545-32-1-Ш</v>
          </cell>
          <cell r="C1219" t="str">
            <v>Кутник RAUTITAN PX 90, діам. 20</v>
          </cell>
          <cell r="D1219" t="str">
            <v>шт</v>
          </cell>
          <cell r="E1219">
            <v>4</v>
          </cell>
          <cell r="F1219">
            <v>198.09</v>
          </cell>
          <cell r="G1219">
            <v>792.36</v>
          </cell>
        </row>
        <row r="1220">
          <cell r="B1220" t="str">
            <v>С1545-32-1-Ш</v>
          </cell>
          <cell r="C1220" t="str">
            <v>Кутник RAUTITAN PX 90, діам. 25</v>
          </cell>
          <cell r="D1220" t="str">
            <v>шт</v>
          </cell>
          <cell r="E1220">
            <v>4</v>
          </cell>
          <cell r="F1220">
            <v>294.72000000000003</v>
          </cell>
          <cell r="G1220">
            <v>1178.8800000000001</v>
          </cell>
        </row>
        <row r="1221">
          <cell r="B1221" t="str">
            <v>С1545-32-1-Ш</v>
          </cell>
          <cell r="C1221" t="str">
            <v>Кутник RAUTITAN PX 90, діам. 32</v>
          </cell>
          <cell r="D1221" t="str">
            <v>шт</v>
          </cell>
          <cell r="E1221">
            <v>6</v>
          </cell>
          <cell r="F1221">
            <v>472.1</v>
          </cell>
          <cell r="G1221">
            <v>2832.6</v>
          </cell>
        </row>
        <row r="1222">
          <cell r="B1222" t="str">
            <v>С1545-32-1-Ш</v>
          </cell>
          <cell r="C1222" t="str">
            <v>Муфта RAUTITAN PX з'єднувальна
рівнопрохідна, діам. 16</v>
          </cell>
          <cell r="D1222" t="str">
            <v>шт</v>
          </cell>
          <cell r="E1222">
            <v>2</v>
          </cell>
          <cell r="F1222">
            <v>123.9</v>
          </cell>
          <cell r="G1222">
            <v>247.8</v>
          </cell>
        </row>
        <row r="1223">
          <cell r="B1223" t="str">
            <v>С1545-32-1-Ш</v>
          </cell>
          <cell r="C1223" t="str">
            <v>Перехідник RAUTITAN з зовнішньою
різьбою 20-R 1/2</v>
          </cell>
          <cell r="D1223" t="str">
            <v>шт</v>
          </cell>
          <cell r="E1223">
            <v>4</v>
          </cell>
          <cell r="F1223">
            <v>249.14</v>
          </cell>
          <cell r="G1223">
            <v>996.56</v>
          </cell>
        </row>
        <row r="1224">
          <cell r="B1224" t="str">
            <v>С1545-32-1-Ш</v>
          </cell>
          <cell r="C1224" t="str">
            <v>Перехідник RAUTITAN RX з зовнішньою
різьбою 25-R 1/2</v>
          </cell>
          <cell r="D1224" t="str">
            <v>шт</v>
          </cell>
          <cell r="E1224">
            <v>2</v>
          </cell>
          <cell r="F1224">
            <v>372.06</v>
          </cell>
          <cell r="G1224">
            <v>744.12</v>
          </cell>
        </row>
        <row r="1225">
          <cell r="B1225" t="str">
            <v>С1545-32-1-Ш</v>
          </cell>
          <cell r="C1225" t="str">
            <v>Перехідник RAUTITAN RX з зовнішньою
різьбою 25-R 3/4</v>
          </cell>
          <cell r="D1225" t="str">
            <v>шт</v>
          </cell>
          <cell r="E1225">
            <v>2</v>
          </cell>
          <cell r="F1225">
            <v>372.06</v>
          </cell>
          <cell r="G1225">
            <v>744.12</v>
          </cell>
        </row>
        <row r="1226">
          <cell r="B1226" t="str">
            <v>С1545-32-1-Ш</v>
          </cell>
          <cell r="C1226" t="str">
            <v>Перехідник RAUTITAN з зовнішньою
різьбою 32-R 1"</v>
          </cell>
          <cell r="D1226" t="str">
            <v>шт</v>
          </cell>
          <cell r="E1226">
            <v>2</v>
          </cell>
          <cell r="F1226">
            <v>529.20000000000005</v>
          </cell>
          <cell r="G1226">
            <v>1058.4000000000001</v>
          </cell>
        </row>
        <row r="1227">
          <cell r="B1227" t="str">
            <v>С1545-32-1-Ш</v>
          </cell>
          <cell r="C1227" t="str">
            <v>Трійник RAUTITAN RX 16-16-16</v>
          </cell>
          <cell r="D1227" t="str">
            <v>шт</v>
          </cell>
          <cell r="E1227">
            <v>30</v>
          </cell>
          <cell r="F1227">
            <v>148.61000000000001</v>
          </cell>
          <cell r="G1227">
            <v>4458.3</v>
          </cell>
        </row>
        <row r="1228">
          <cell r="B1228" t="str">
            <v>С1545-32-1-Ш</v>
          </cell>
          <cell r="C1228" t="str">
            <v>Трійник RAUTITAN RX 16-25-16</v>
          </cell>
          <cell r="D1228" t="str">
            <v>шт</v>
          </cell>
          <cell r="E1228">
            <v>2</v>
          </cell>
          <cell r="F1228">
            <v>220.51</v>
          </cell>
          <cell r="G1228">
            <v>441.02</v>
          </cell>
        </row>
        <row r="1229">
          <cell r="B1229" t="str">
            <v>С1545-32-1-Ш</v>
          </cell>
          <cell r="C1229" t="str">
            <v>Трійник RAUTITAN RX 20-16-16</v>
          </cell>
          <cell r="D1229" t="str">
            <v>шт</v>
          </cell>
          <cell r="E1229">
            <v>2</v>
          </cell>
          <cell r="F1229">
            <v>170.1</v>
          </cell>
          <cell r="G1229">
            <v>340.2</v>
          </cell>
        </row>
        <row r="1230">
          <cell r="B1230" t="str">
            <v>С1545-32-1-Ш</v>
          </cell>
          <cell r="C1230" t="str">
            <v>Трійник RAUTITAN RX 32-25-20</v>
          </cell>
          <cell r="D1230" t="str">
            <v>шт</v>
          </cell>
          <cell r="E1230">
            <v>2</v>
          </cell>
          <cell r="F1230">
            <v>551.45000000000005</v>
          </cell>
          <cell r="G1230">
            <v>1102.9000000000001</v>
          </cell>
        </row>
        <row r="1231">
          <cell r="B1231" t="str">
            <v>Е18-17-10</v>
          </cell>
          <cell r="C1231" t="str">
            <v>Установлення повітровідвідників</v>
          </cell>
          <cell r="D1231" t="str">
            <v>шт</v>
          </cell>
          <cell r="E1231">
            <v>2</v>
          </cell>
          <cell r="F1231">
            <v>129.83000000000001</v>
          </cell>
          <cell r="G1231">
            <v>259.66000000000003</v>
          </cell>
        </row>
        <row r="1232">
          <cell r="B1232" t="str">
            <v>С1630-1531</v>
          </cell>
          <cell r="C1232" t="str">
            <v>Автоматичний розповітрювач для води t=90-
65 С, Ру 1,0 МПа, ду 15 "Герц"</v>
          </cell>
          <cell r="D1232" t="str">
            <v>шт</v>
          </cell>
          <cell r="E1232">
            <v>2</v>
          </cell>
          <cell r="F1232">
            <v>323.14</v>
          </cell>
          <cell r="G1232">
            <v>646.28</v>
          </cell>
        </row>
        <row r="1233">
          <cell r="B1233" t="str">
            <v>С1630-633</v>
          </cell>
          <cell r="C1233" t="str">
            <v>Кран для наповнення та зливу
ТHERMOFLEX, для води t= 90-65 С, Ру 1,0
МПа, ду 15 "ГЕРЦ"</v>
          </cell>
          <cell r="D1233" t="str">
            <v>шт</v>
          </cell>
          <cell r="E1233">
            <v>1</v>
          </cell>
          <cell r="F1233">
            <v>483.27</v>
          </cell>
          <cell r="G1233">
            <v>483.27</v>
          </cell>
        </row>
        <row r="1234">
          <cell r="B1234" t="str">
            <v>С1545-295-2</v>
          </cell>
          <cell r="C1234" t="str">
            <v>Штуцер для шланга к зливному крану
"ГЕРЦ" ду 15</v>
          </cell>
          <cell r="D1234" t="str">
            <v>шт</v>
          </cell>
          <cell r="E1234">
            <v>1</v>
          </cell>
          <cell r="F1234">
            <v>107.58</v>
          </cell>
          <cell r="G1234">
            <v>107.58</v>
          </cell>
        </row>
        <row r="1235">
          <cell r="B1235" t="str">
            <v>Е16-14-16</v>
          </cell>
          <cell r="C1235" t="str">
            <v>Прокладання трубопроводiв
водопостачання з напiрних
полiетиленових труб високого тиску
зовнiшнiм дiаметром 50 мм зі з'єднанням
терморезисторним зварюванням</v>
          </cell>
          <cell r="D1235" t="str">
            <v>100м</v>
          </cell>
          <cell r="E1235">
            <v>0.35</v>
          </cell>
          <cell r="F1235">
            <v>10675.82</v>
          </cell>
          <cell r="G1235">
            <v>3736.54</v>
          </cell>
        </row>
        <row r="1236">
          <cell r="B1236" t="str">
            <v>С113-1901</v>
          </cell>
          <cell r="C1236" t="str">
            <v>Труби металопластиковi, PE-Xа RAUTITAN
flex із зшитого поліетилену з киснезахисним
шаром, Ду 50х6,9 мм</v>
          </cell>
          <cell r="D1236" t="str">
            <v>м</v>
          </cell>
          <cell r="E1236">
            <v>33.11</v>
          </cell>
          <cell r="F1236">
            <v>467.1</v>
          </cell>
          <cell r="G1236">
            <v>15465.68</v>
          </cell>
        </row>
        <row r="1237">
          <cell r="B1237" t="str">
            <v>ЕН26-11-1</v>
          </cell>
          <cell r="C1237" t="str">
            <v>Ізоляція трубопроводів трубками із
спіненого каучуку, поліетилену</v>
          </cell>
          <cell r="D1237" t="str">
            <v>10 м</v>
          </cell>
          <cell r="E1237">
            <v>3.5</v>
          </cell>
          <cell r="F1237">
            <v>234.29</v>
          </cell>
          <cell r="G1237">
            <v>820.02</v>
          </cell>
        </row>
        <row r="1238">
          <cell r="B1238" t="str">
            <v>С114-48-1</v>
          </cell>
          <cell r="C1238" t="str">
            <v>Синтетичний каучук марки K-FLEX ST,
товщ. 19мм, діам. 50х9</v>
          </cell>
          <cell r="D1238" t="str">
            <v>м</v>
          </cell>
          <cell r="E1238">
            <v>35.700000000000003</v>
          </cell>
          <cell r="F1238">
            <v>247.24</v>
          </cell>
          <cell r="G1238">
            <v>8826.4699999999993</v>
          </cell>
        </row>
        <row r="1239">
          <cell r="B1239" t="str">
            <v>С111-1678-1-Я</v>
          </cell>
          <cell r="C1239" t="str">
            <v>Стрiчка самоклеюча для спінених
теплоізоляційних матеріалів 3х50мм</v>
          </cell>
          <cell r="D1239" t="str">
            <v>м</v>
          </cell>
          <cell r="E1239">
            <v>48.348999999999997</v>
          </cell>
          <cell r="F1239">
            <v>7.78</v>
          </cell>
          <cell r="G1239">
            <v>376.16</v>
          </cell>
        </row>
        <row r="1240">
          <cell r="B1240" t="str">
            <v>С111-1641-1-Э</v>
          </cell>
          <cell r="C1240" t="str">
            <v>Клей монтажний для теплоізоляційних
матеріалів</v>
          </cell>
          <cell r="D1240" t="str">
            <v>л</v>
          </cell>
          <cell r="E1240">
            <v>0.497</v>
          </cell>
          <cell r="F1240">
            <v>478.23</v>
          </cell>
          <cell r="G1240">
            <v>237.68</v>
          </cell>
        </row>
        <row r="1241">
          <cell r="B1241" t="str">
            <v>С111-838-1-Ю</v>
          </cell>
          <cell r="C1241" t="str">
            <v>Очищувач клею</v>
          </cell>
          <cell r="D1241" t="str">
            <v>л</v>
          </cell>
          <cell r="E1241">
            <v>0.1085</v>
          </cell>
          <cell r="F1241">
            <v>311.02</v>
          </cell>
          <cell r="G1241">
            <v>33.75</v>
          </cell>
        </row>
        <row r="1242">
          <cell r="B1242" t="str">
            <v>С1545-89-2-Щ</v>
          </cell>
          <cell r="C1242" t="str">
            <v>Жолоб фіксуючий, для РЕ - труб, діам.50х6,
9  "REHAU"</v>
          </cell>
          <cell r="D1242" t="str">
            <v>м</v>
          </cell>
          <cell r="E1242">
            <v>35</v>
          </cell>
          <cell r="F1242">
            <v>176.64</v>
          </cell>
          <cell r="G1242">
            <v>6182.4</v>
          </cell>
        </row>
        <row r="1243">
          <cell r="B1243" t="str">
            <v>С1111-65-1-2У</v>
          </cell>
          <cell r="C1243" t="str">
            <v>Хомут оцинкований з гумовою ізоляцією,
для кріплення трубопроводів, діам. 50х9</v>
          </cell>
          <cell r="D1243" t="str">
            <v>шт</v>
          </cell>
          <cell r="E1243">
            <v>10</v>
          </cell>
          <cell r="F1243">
            <v>19.39</v>
          </cell>
          <cell r="G1243">
            <v>193.9</v>
          </cell>
        </row>
        <row r="1244">
          <cell r="B1244" t="str">
            <v>С1545-32-1-Ш</v>
          </cell>
          <cell r="C1244" t="str">
            <v>Гiльза RAUTITAN PX для запресовки, діам.
50</v>
          </cell>
          <cell r="D1244" t="str">
            <v>шт</v>
          </cell>
          <cell r="E1244">
            <v>28</v>
          </cell>
          <cell r="F1244">
            <v>164.63</v>
          </cell>
          <cell r="G1244">
            <v>4609.6400000000003</v>
          </cell>
        </row>
        <row r="1245">
          <cell r="B1245" t="str">
            <v>С1545-32-1-Ш</v>
          </cell>
          <cell r="C1245" t="str">
            <v>Кутник RAUTITAN PX 90, діам. 50</v>
          </cell>
          <cell r="D1245" t="str">
            <v>шт</v>
          </cell>
          <cell r="E1245">
            <v>12</v>
          </cell>
          <cell r="F1245">
            <v>1965.32</v>
          </cell>
          <cell r="G1245">
            <v>23583.84</v>
          </cell>
        </row>
        <row r="1246">
          <cell r="B1246" t="str">
            <v>С1545-32-1-Ш</v>
          </cell>
          <cell r="C1246" t="str">
            <v>Перехідник RAUTITAN з зовнішньою
різьбою 50-R 1 1/2"</v>
          </cell>
          <cell r="D1246" t="str">
            <v>шт</v>
          </cell>
          <cell r="E1246">
            <v>4</v>
          </cell>
          <cell r="F1246">
            <v>1166.8699999999999</v>
          </cell>
          <cell r="G1246">
            <v>4667.47</v>
          </cell>
        </row>
        <row r="1247">
          <cell r="B1247" t="str">
            <v>С1630-130</v>
          </cell>
          <cell r="C1247" t="str">
            <v>Американка 1 1/2"</v>
          </cell>
          <cell r="D1247" t="str">
            <v>шт</v>
          </cell>
          <cell r="E1247">
            <v>4</v>
          </cell>
          <cell r="F1247">
            <v>736.12</v>
          </cell>
          <cell r="G1247">
            <v>2944.48</v>
          </cell>
        </row>
        <row r="1248">
          <cell r="B1248" t="str">
            <v>С1630-122</v>
          </cell>
          <cell r="C1248" t="str">
            <v>Різблення 1 1/2"</v>
          </cell>
          <cell r="D1248" t="str">
            <v>шт</v>
          </cell>
          <cell r="E1248">
            <v>2</v>
          </cell>
          <cell r="F1248">
            <v>31.72</v>
          </cell>
          <cell r="G1248">
            <v>63.44</v>
          </cell>
        </row>
        <row r="1249">
          <cell r="B1249" t="str">
            <v>С1545-32-1-Ш</v>
          </cell>
          <cell r="C1249" t="str">
            <v>Муфта із внутрішнім різбленням 50-1 1/2"</v>
          </cell>
          <cell r="D1249" t="str">
            <v>шт</v>
          </cell>
          <cell r="E1249">
            <v>2</v>
          </cell>
          <cell r="F1249">
            <v>347.38</v>
          </cell>
          <cell r="G1249">
            <v>694.76</v>
          </cell>
        </row>
        <row r="1250">
          <cell r="B1250" t="str">
            <v>М11-350-1</v>
          </cell>
          <cell r="C1250" t="str">
            <v>Прилади, що монтуються на
технологiчному трубопроводi [расходомiр
об'ємний, швидкiсний, iндукцiйний;
ротаметр, клапан регулюючий; регулятор
тиску та температури прямої дiї;
покажчик потоку рiдини; проточнi датчики
концентратомiрiв i щiльномiрiв, РН-
метрiв], дiаметр трубопроводу до 20 мм</v>
          </cell>
          <cell r="D1250" t="str">
            <v>шт</v>
          </cell>
          <cell r="E1250">
            <v>1</v>
          </cell>
          <cell r="F1250">
            <v>125.24</v>
          </cell>
          <cell r="G1250">
            <v>125.24</v>
          </cell>
        </row>
        <row r="1251">
          <cell r="B1251" t="str">
            <v>М11-350-3</v>
          </cell>
          <cell r="C1251" t="str">
            <v>Прилади, що монтуються на
технологiчному трубопроводi [расходомiр
об'ємний, швидкiсний, iндукцiйний;
ротаметр, клапан регулюючий; регулятор
тиску та температури прямої дiї;
покажчик потоку рiдини; проточнi датчики
концентратомiрiв i щiльномiрiв, РН-
метрiв], дiаметр трубопроводу до 50 мм</v>
          </cell>
          <cell r="D1251" t="str">
            <v>шт</v>
          </cell>
          <cell r="E1251">
            <v>1</v>
          </cell>
          <cell r="F1251">
            <v>358.04</v>
          </cell>
          <cell r="G1251">
            <v>358.04</v>
          </cell>
        </row>
        <row r="1252">
          <cell r="B1252" t="str">
            <v>1701-1075</v>
          </cell>
          <cell r="C1252" t="str">
            <v>Автоматичний регулятор перепаду тиску Р =
5...30 кПа, середовище - вода t =65 С, з
нипельною трубкою, ду=15, 1 4002 4Х
"ГЕРЦ"</v>
          </cell>
          <cell r="D1252" t="str">
            <v>шт</v>
          </cell>
          <cell r="E1252">
            <v>1</v>
          </cell>
          <cell r="F1252">
            <v>6692.81</v>
          </cell>
          <cell r="G1252">
            <v>6692.81</v>
          </cell>
        </row>
        <row r="1253">
          <cell r="B1253" t="str">
            <v>1701-1075</v>
          </cell>
          <cell r="C1253" t="str">
            <v>Автоматичний регулятор перепаду тиску Р =
5...30 кПа, середовище - вода t =65 С, з
нипельною трубкою, ду=40, 1 4002 4Х
"ГЕРЦ"</v>
          </cell>
          <cell r="D1253" t="str">
            <v>шт</v>
          </cell>
          <cell r="E1253">
            <v>1</v>
          </cell>
          <cell r="F1253">
            <v>9051.26</v>
          </cell>
          <cell r="G1253">
            <v>9051.26</v>
          </cell>
        </row>
        <row r="1254">
          <cell r="B1254" t="str">
            <v>С1630-543</v>
          </cell>
          <cell r="C1254" t="str">
            <v>Запірний клапан, з похилим шпинделем, з
двома отварами та різьбовою заглушкою,
середовище - вода, t = 90-65C, тиск 1,6 МПа,
дiаметр 20 мм, 4115 А STROEMAX - A 
"ГЕРЦ"</v>
          </cell>
          <cell r="D1254" t="str">
            <v>шт</v>
          </cell>
          <cell r="E1254">
            <v>1</v>
          </cell>
          <cell r="F1254">
            <v>805.98</v>
          </cell>
          <cell r="G1254">
            <v>805.98</v>
          </cell>
        </row>
        <row r="1255">
          <cell r="B1255" t="str">
            <v>С1630-543</v>
          </cell>
          <cell r="C1255" t="str">
            <v>Запірний клапан, з похилим шпинделем, з
двома отварами та різьбовою заглушкою,
середовище - вода, t = 90-65C, тиск 1,6 МПа,
дiаметр 40 мм, 4115 А STROEMAX - A 
"ГЕРЦ"</v>
          </cell>
          <cell r="D1255" t="str">
            <v>шт</v>
          </cell>
          <cell r="E1255">
            <v>1</v>
          </cell>
          <cell r="F1255">
            <v>3044.61</v>
          </cell>
          <cell r="G1255">
            <v>3044.61</v>
          </cell>
        </row>
        <row r="1256">
          <cell r="B1256" t="str">
            <v>С1630-1433</v>
          </cell>
          <cell r="C1256" t="str">
            <v>Кран кульовий, з важільною ручкою,
середовище - вода t=90-65 С Ру до 1,0 МПа,
дiаметр 20 мм  ВР-ВР "ГЕРЦ"</v>
          </cell>
          <cell r="D1256" t="str">
            <v>шт</v>
          </cell>
          <cell r="E1256">
            <v>1</v>
          </cell>
          <cell r="F1256">
            <v>199.88</v>
          </cell>
          <cell r="G1256">
            <v>199.88</v>
          </cell>
        </row>
        <row r="1257">
          <cell r="B1257" t="str">
            <v>С1630-1433</v>
          </cell>
          <cell r="C1257" t="str">
            <v>Кран кульовий, з важільною ручкою,
середовище - вода t=90-65 С Ру до 1,0 МПа,
дiаметр 40 мм  ВР-ВР "ГЕРЦ"</v>
          </cell>
          <cell r="D1257" t="str">
            <v>шт</v>
          </cell>
          <cell r="E1257">
            <v>1</v>
          </cell>
          <cell r="F1257">
            <v>1356.24</v>
          </cell>
          <cell r="G1257">
            <v>1356.24</v>
          </cell>
        </row>
        <row r="1258">
          <cell r="B1258" t="str">
            <v>Е18-17-10</v>
          </cell>
          <cell r="C1258" t="str">
            <v>Установлення повітровідвідників</v>
          </cell>
          <cell r="D1258" t="str">
            <v>шт</v>
          </cell>
          <cell r="E1258">
            <v>4</v>
          </cell>
          <cell r="F1258">
            <v>129.83000000000001</v>
          </cell>
          <cell r="G1258">
            <v>519.32000000000005</v>
          </cell>
        </row>
        <row r="1259">
          <cell r="B1259" t="str">
            <v>С1630-1531</v>
          </cell>
          <cell r="C1259" t="str">
            <v>Автоматичний розповітрювач для води t=90-
65 С, Ру 1,0 МПа, ду 15 "Герц"</v>
          </cell>
          <cell r="D1259" t="str">
            <v>шт</v>
          </cell>
          <cell r="E1259">
            <v>4</v>
          </cell>
          <cell r="F1259">
            <v>323.14</v>
          </cell>
          <cell r="G1259">
            <v>1292.56</v>
          </cell>
        </row>
        <row r="1260">
          <cell r="B1260" t="str">
            <v>Е16-14-13</v>
          </cell>
          <cell r="C1260" t="str">
            <v>Прокладання трубопроводiв
водопостачання з напiрних
полiетиленових труб високого тиску
зовнiшнiм дiаметром 25 мм зі з'єднанням
терморезисторним зварюванням</v>
          </cell>
          <cell r="D1260" t="str">
            <v>100м</v>
          </cell>
          <cell r="E1260">
            <v>0.12</v>
          </cell>
          <cell r="F1260">
            <v>8078.09</v>
          </cell>
          <cell r="G1260">
            <v>969.37</v>
          </cell>
        </row>
        <row r="1261">
          <cell r="B1261" t="str">
            <v>С113-1899</v>
          </cell>
          <cell r="C1261" t="str">
            <v>Труби металопластиковi, PE-Xа RAUTITAN
flex із зшитого поліетилену з киснезахисним
шаром, Ду 25х3,5 мм "REHAU"</v>
          </cell>
          <cell r="D1261" t="str">
            <v>м</v>
          </cell>
          <cell r="E1261">
            <v>11.148</v>
          </cell>
          <cell r="F1261">
            <v>154.63</v>
          </cell>
          <cell r="G1261">
            <v>1723.82</v>
          </cell>
        </row>
        <row r="1262">
          <cell r="B1262" t="str">
            <v>Е16-14-16</v>
          </cell>
          <cell r="C1262" t="str">
            <v>Прокладання трубопроводiв
водопостачання з напiрних
полiетиленових труб високого тиску
зовнiшнiм дiаметром 50 мм зі з'єднанням
терморезисторним зварюванням</v>
          </cell>
          <cell r="D1262" t="str">
            <v>100м</v>
          </cell>
          <cell r="E1262">
            <v>1.55</v>
          </cell>
          <cell r="F1262">
            <v>10675.82</v>
          </cell>
          <cell r="G1262">
            <v>16547.52</v>
          </cell>
        </row>
        <row r="1263">
          <cell r="B1263" t="str">
            <v>С113-1901</v>
          </cell>
          <cell r="C1263" t="str">
            <v>Труби металопластиковi, PE-Xа RAUTITAN
flex із зшитого поліетилену з киснезахисним
шаром, Ду 50х6,9 мм</v>
          </cell>
          <cell r="D1263" t="str">
            <v>м</v>
          </cell>
          <cell r="E1263">
            <v>146.63</v>
          </cell>
          <cell r="F1263">
            <v>467.1</v>
          </cell>
          <cell r="G1263">
            <v>68490.87</v>
          </cell>
        </row>
        <row r="1264">
          <cell r="B1264" t="str">
            <v>ЕН26-11-1</v>
          </cell>
          <cell r="C1264" t="str">
            <v>Ізоляція трубопроводів трубками із
спіненого каучуку, поліетилену</v>
          </cell>
          <cell r="D1264" t="str">
            <v>10 м</v>
          </cell>
          <cell r="E1264">
            <v>16.7</v>
          </cell>
          <cell r="F1264">
            <v>234.29</v>
          </cell>
          <cell r="G1264">
            <v>3912.64</v>
          </cell>
        </row>
        <row r="1265">
          <cell r="B1265" t="str">
            <v>С114-48-1</v>
          </cell>
          <cell r="C1265" t="str">
            <v>Синтетичний каучук марки K-FLEX ST,
товщ. 19 мм, діам. 25х3,5</v>
          </cell>
          <cell r="D1265" t="str">
            <v>м</v>
          </cell>
          <cell r="E1265">
            <v>6.12</v>
          </cell>
          <cell r="F1265">
            <v>102.18</v>
          </cell>
          <cell r="G1265">
            <v>625.34</v>
          </cell>
        </row>
        <row r="1266">
          <cell r="B1266" t="str">
            <v>С114-48-1</v>
          </cell>
          <cell r="C1266" t="str">
            <v>Синтетичний каучук марки K-FLEX ST,
товщ. 19мм, діам. 50х6,9</v>
          </cell>
          <cell r="D1266" t="str">
            <v>м</v>
          </cell>
          <cell r="E1266">
            <v>158.1</v>
          </cell>
          <cell r="F1266">
            <v>247.24</v>
          </cell>
          <cell r="G1266">
            <v>39088.639999999999</v>
          </cell>
        </row>
        <row r="1267">
          <cell r="B1267" t="str">
            <v>С114-48-1</v>
          </cell>
          <cell r="C1267" t="str">
            <v>Синтетичний каучук марки K-FLEX ST,
товщ. 32 мм, діам. 25х3,5</v>
          </cell>
          <cell r="D1267" t="str">
            <v>м</v>
          </cell>
          <cell r="E1267">
            <v>6.12</v>
          </cell>
          <cell r="F1267">
            <v>339</v>
          </cell>
          <cell r="G1267">
            <v>2074.6799999999998</v>
          </cell>
        </row>
        <row r="1268">
          <cell r="B1268" t="str">
            <v>С114-48-1</v>
          </cell>
          <cell r="C1268" t="str">
            <v>Синтетичний каучук марки K-FLEX ST,
товщ. 32 мм, діам. 50х6,9</v>
          </cell>
          <cell r="D1268" t="str">
            <v>м</v>
          </cell>
          <cell r="E1268">
            <v>7.14</v>
          </cell>
          <cell r="F1268">
            <v>572.38</v>
          </cell>
          <cell r="G1268">
            <v>4086.79</v>
          </cell>
        </row>
        <row r="1269">
          <cell r="B1269" t="str">
            <v>С111-1678-1-Я</v>
          </cell>
          <cell r="C1269" t="str">
            <v>Стрiчка самоклеюча для спінених
теплоізоляційних матеріалів 3х50мм</v>
          </cell>
          <cell r="D1269" t="str">
            <v>м</v>
          </cell>
          <cell r="E1269">
            <v>230.69380000000001</v>
          </cell>
          <cell r="F1269">
            <v>7.78</v>
          </cell>
          <cell r="G1269">
            <v>1794.8</v>
          </cell>
        </row>
        <row r="1270">
          <cell r="B1270" t="str">
            <v>С111-1641-1-Э</v>
          </cell>
          <cell r="C1270" t="str">
            <v>Клей монтажний для теплоізоляційних
матеріалів</v>
          </cell>
          <cell r="D1270" t="str">
            <v>л</v>
          </cell>
          <cell r="E1270">
            <v>2.3714</v>
          </cell>
          <cell r="F1270">
            <v>478.23</v>
          </cell>
          <cell r="G1270">
            <v>1134.07</v>
          </cell>
        </row>
        <row r="1271">
          <cell r="B1271" t="str">
            <v>С111-838-1-Ю</v>
          </cell>
          <cell r="C1271" t="str">
            <v>Очищувач клею</v>
          </cell>
          <cell r="D1271" t="str">
            <v>л</v>
          </cell>
          <cell r="E1271">
            <v>0.51770000000000005</v>
          </cell>
          <cell r="F1271">
            <v>311.02</v>
          </cell>
          <cell r="G1271">
            <v>161.02000000000001</v>
          </cell>
        </row>
        <row r="1272">
          <cell r="B1272" t="str">
            <v>С1545-89-2-Щ</v>
          </cell>
          <cell r="C1272" t="str">
            <v>Жолоб фіксуючий, для РЕ - труб, діам.25х3,
5  "REHAU"</v>
          </cell>
          <cell r="D1272" t="str">
            <v>м</v>
          </cell>
          <cell r="E1272">
            <v>12</v>
          </cell>
          <cell r="F1272">
            <v>77.06</v>
          </cell>
          <cell r="G1272">
            <v>924.72</v>
          </cell>
        </row>
        <row r="1273">
          <cell r="B1273" t="str">
            <v>С1545-89-2-Щ</v>
          </cell>
          <cell r="C1273" t="str">
            <v>Жолоб фіксуючий, для РЕ - труб, діам.50х6,
9  "REHAU"</v>
          </cell>
          <cell r="D1273" t="str">
            <v>м</v>
          </cell>
          <cell r="E1273">
            <v>155</v>
          </cell>
          <cell r="F1273">
            <v>176.64</v>
          </cell>
          <cell r="G1273">
            <v>27379.200000000001</v>
          </cell>
        </row>
        <row r="1274">
          <cell r="B1274" t="str">
            <v>С1111-65-1-2У</v>
          </cell>
          <cell r="C1274" t="str">
            <v>Хомут оцинкований з гумовою ізоляцією,
для кріплення трубопроводів, діам. 25х3,5</v>
          </cell>
          <cell r="D1274" t="str">
            <v>шт</v>
          </cell>
          <cell r="E1274">
            <v>4</v>
          </cell>
          <cell r="F1274">
            <v>7.6</v>
          </cell>
          <cell r="G1274">
            <v>30.4</v>
          </cell>
        </row>
        <row r="1275">
          <cell r="B1275" t="str">
            <v>С1111-65-1-2У</v>
          </cell>
          <cell r="C1275" t="str">
            <v>Хомут оцинкований з гумовою ізоляцією,
для кріплення трубопроводів, діам. 50х6,9</v>
          </cell>
          <cell r="D1275" t="str">
            <v>шт</v>
          </cell>
          <cell r="E1275">
            <v>26</v>
          </cell>
          <cell r="F1275">
            <v>8.7899999999999991</v>
          </cell>
          <cell r="G1275">
            <v>228.54</v>
          </cell>
        </row>
        <row r="1276">
          <cell r="B1276" t="str">
            <v>С113-2096</v>
          </cell>
          <cell r="C1276" t="str">
            <v>Опора для кріплення труби 50х6,9, що
проходять по перекриттю</v>
          </cell>
          <cell r="D1276" t="str">
            <v>шт</v>
          </cell>
          <cell r="E1276">
            <v>34</v>
          </cell>
          <cell r="F1276">
            <v>13.05</v>
          </cell>
          <cell r="G1276">
            <v>443.7</v>
          </cell>
        </row>
        <row r="1277">
          <cell r="B1277" t="str">
            <v>С1545-32-1-Ш</v>
          </cell>
          <cell r="C1277" t="str">
            <v>Гiльза RAUTITAN PX для запресовки, діам.
25</v>
          </cell>
          <cell r="D1277" t="str">
            <v>шт</v>
          </cell>
          <cell r="E1277">
            <v>22</v>
          </cell>
          <cell r="F1277">
            <v>51.07</v>
          </cell>
          <cell r="G1277">
            <v>1123.54</v>
          </cell>
        </row>
        <row r="1278">
          <cell r="B1278" t="str">
            <v>С1545-32-1-Ш</v>
          </cell>
          <cell r="C1278" t="str">
            <v>Гiльза RAUTITAN PX для запресовки, діам.
50</v>
          </cell>
          <cell r="D1278" t="str">
            <v>шт</v>
          </cell>
          <cell r="E1278">
            <v>106</v>
          </cell>
          <cell r="F1278">
            <v>412.82</v>
          </cell>
          <cell r="G1278">
            <v>43758.92</v>
          </cell>
        </row>
        <row r="1279">
          <cell r="B1279" t="str">
            <v>С1545-32-1-Ш</v>
          </cell>
          <cell r="C1279" t="str">
            <v>Кутник RAUTITAN PX 90, діам. 25</v>
          </cell>
          <cell r="D1279" t="str">
            <v>шт</v>
          </cell>
          <cell r="E1279">
            <v>8</v>
          </cell>
          <cell r="F1279">
            <v>294.72000000000003</v>
          </cell>
          <cell r="G1279">
            <v>2357.7600000000002</v>
          </cell>
        </row>
        <row r="1280">
          <cell r="B1280" t="str">
            <v>С1545-32-1-Ш</v>
          </cell>
          <cell r="C1280" t="str">
            <v>Кутник RAUTITAN PX 90, діам. 50</v>
          </cell>
          <cell r="D1280" t="str">
            <v>шт</v>
          </cell>
          <cell r="E1280">
            <v>24</v>
          </cell>
          <cell r="F1280">
            <v>2266.42</v>
          </cell>
          <cell r="G1280">
            <v>54394.080000000002</v>
          </cell>
        </row>
        <row r="1281">
          <cell r="B1281" t="str">
            <v>С1545-32-1-Ш</v>
          </cell>
          <cell r="C1281" t="str">
            <v>Муфта RAUTITAN PX з'єднувальна
рівнопрохідна, діам. 50</v>
          </cell>
          <cell r="D1281" t="str">
            <v>шт</v>
          </cell>
          <cell r="E1281">
            <v>24</v>
          </cell>
          <cell r="F1281">
            <v>1386.16</v>
          </cell>
          <cell r="G1281">
            <v>33267.839999999997</v>
          </cell>
        </row>
        <row r="1282">
          <cell r="B1282" t="str">
            <v>С1545-32-1-Ш</v>
          </cell>
          <cell r="C1282" t="str">
            <v>Перехідник RAUTITAN з зовнішньою
різьбою 25-R 1/2"</v>
          </cell>
          <cell r="D1282" t="str">
            <v>шт</v>
          </cell>
          <cell r="E1282">
            <v>2</v>
          </cell>
          <cell r="F1282">
            <v>372.06</v>
          </cell>
          <cell r="G1282">
            <v>744.12</v>
          </cell>
        </row>
        <row r="1283">
          <cell r="B1283" t="str">
            <v>С1545-32-1-Ш</v>
          </cell>
          <cell r="C1283" t="str">
            <v>Перехідник RAUTITAN з зовнішньою
різьбою 25-R 3/4</v>
          </cell>
          <cell r="D1283" t="str">
            <v>шт</v>
          </cell>
          <cell r="E1283">
            <v>2</v>
          </cell>
          <cell r="F1283">
            <v>372.06</v>
          </cell>
          <cell r="G1283">
            <v>744.12</v>
          </cell>
        </row>
        <row r="1284">
          <cell r="B1284" t="str">
            <v>С1545-32-1-Ш</v>
          </cell>
          <cell r="C1284" t="str">
            <v>Перехідник RAUTITAN з зовнішньою
різьбою 50-R 1 1/4"</v>
          </cell>
          <cell r="D1284" t="str">
            <v>шт</v>
          </cell>
          <cell r="E1284">
            <v>2</v>
          </cell>
          <cell r="F1284">
            <v>1234.05</v>
          </cell>
          <cell r="G1284">
            <v>2468.1</v>
          </cell>
        </row>
        <row r="1285">
          <cell r="B1285" t="str">
            <v>С1545-32-1-Ш</v>
          </cell>
          <cell r="C1285" t="str">
            <v>Перехідник RAUTITAN з зовнішньою
різьбою 50-R 1 1/2"</v>
          </cell>
          <cell r="D1285" t="str">
            <v>шт</v>
          </cell>
          <cell r="E1285">
            <v>4</v>
          </cell>
          <cell r="F1285">
            <v>1290.07</v>
          </cell>
          <cell r="G1285">
            <v>5160.28</v>
          </cell>
        </row>
        <row r="1286">
          <cell r="B1286" t="str">
            <v>С1545-32-1-Ш</v>
          </cell>
          <cell r="C1286" t="str">
            <v>Трійник RAUTITAN RX 50-25-50</v>
          </cell>
          <cell r="D1286" t="str">
            <v>шт</v>
          </cell>
          <cell r="E1286">
            <v>2</v>
          </cell>
          <cell r="F1286">
            <v>2688.86</v>
          </cell>
          <cell r="G1286">
            <v>5377.72</v>
          </cell>
        </row>
        <row r="1287">
          <cell r="B1287" t="str">
            <v>Е20-42-2</v>
          </cell>
          <cell r="C1287" t="str">
            <v>Установлення камер припливних типових
без секцiї зрошення продуктивнiстю до 20
тис.м3/год</v>
          </cell>
          <cell r="D1287" t="str">
            <v>камеpа</v>
          </cell>
          <cell r="E1287">
            <v>1</v>
          </cell>
          <cell r="F1287">
            <v>7382.58</v>
          </cell>
          <cell r="G1287">
            <v>7382.58</v>
          </cell>
        </row>
        <row r="1288">
          <cell r="B1288" t="str">
            <v>2308-4028-1-Ю</v>
          </cell>
          <cell r="C1288" t="str">
            <v>Припливно-витяжна установка лівого
виконання, Lпр=14750 м3/год, Рвілн.=948
Па, Lв=16900 м3/год, комплект "АСМ"
Україна складається               з: 1)Клапан
повітряний, розм. 1345х1300h; 2)Секція
фільтру, класу G4; 3)Витяжний вентилятор
Lв=16900 м3/год, Рвілн.=500 Па з ел.  
двигуном          N=7,5 кВт, n=1646 об/мин; 4)
Припливний вентилятор Lпр=14750 м3/год,
Рвілн.=500 Па з ел. двигуном N=7,5 кВт,
n=1547   об/мин      .; 5)Теплообмінник
охолодження Qт=86600 Вm; 6)Водяний
нагрівач, Qт=54100 Вm;
7)РекуператорLпр=14750 м3/год,Lв=16900 
м3/год. Вузол Водозмішувача в складі:
Клапан+привід R3032-16-B3+NR24A, SR
Belimo, насос Wilo Star-RS 30/6 з гайками
TG-K3/PT1000</v>
          </cell>
          <cell r="D1288" t="str">
            <v>шт</v>
          </cell>
          <cell r="E1288">
            <v>1</v>
          </cell>
          <cell r="F1288">
            <v>329635.75</v>
          </cell>
          <cell r="G1288">
            <v>329635.75</v>
          </cell>
        </row>
        <row r="1289">
          <cell r="B1289" t="str">
            <v>М8-102-1</v>
          </cell>
          <cell r="C1289" t="str">
            <v>Монтаж шафи керування або регулювання</v>
          </cell>
          <cell r="D1289" t="str">
            <v>шафа</v>
          </cell>
          <cell r="E1289">
            <v>1</v>
          </cell>
          <cell r="F1289">
            <v>2479.31</v>
          </cell>
          <cell r="G1289">
            <v>2479.31</v>
          </cell>
        </row>
        <row r="1290">
          <cell r="B1290" t="str">
            <v>2308-4027-2А</v>
          </cell>
          <cell r="C1290" t="str">
            <v>Комплект автоматики складається з:Силова
частина витяг Програмування С 281-3;
Контроллер Е 3-DSP; Виносний дисплей
можливість исп.                     кабель до 100
м  DTV500X+ANS-1; Датчик перепаду тиску
(фільтр) DTV300X+ANS-1; Датчик перепаду
тиску (вентилятор) ВСУ до МС-16     на     1  
1/4"; Термодатчик, припливний канал TG-
K3/PT1000; Термодатчик, канал після
рекуператор TG-UH/PT1000; Термодатчик,  
зовнішній     повітря       TG-А/PT1000;
Термодатчик, теплоносій HTRT10A
перетворювач вологість і темп в
приміщення NM24A-SR-TP; привід   
повітряний     заслінка   рекуператор NF24A-
SR; привід повітряний заслінка припливний
повітря NF24A-SR; привід повітряний
заслінка витяжний    повітря NM24A-SR-TP;
привід повітряний заслінка камера змішення
RANCO термостат 6 м 5be27-
5uv0перетворювач частота 7,5 кВт</v>
          </cell>
          <cell r="D1290" t="str">
            <v>шт</v>
          </cell>
          <cell r="E1290">
            <v>1</v>
          </cell>
          <cell r="F1290">
            <v>145900.21</v>
          </cell>
          <cell r="G1290">
            <v>145900.21</v>
          </cell>
        </row>
        <row r="1291">
          <cell r="B1291" t="str">
            <v>Е20-34-3</v>
          </cell>
          <cell r="C1291" t="str">
            <v>Установлення агрегатiв повiтряно-
опалювальних масою до 0,8 т</v>
          </cell>
          <cell r="D1291" t="str">
            <v>шт</v>
          </cell>
          <cell r="E1291">
            <v>1</v>
          </cell>
          <cell r="F1291">
            <v>4140.29</v>
          </cell>
          <cell r="G1291">
            <v>4140.29</v>
          </cell>
        </row>
        <row r="1292">
          <cell r="B1292" t="str">
            <v>2308-4001-1-12</v>
          </cell>
          <cell r="C1292" t="str">
            <v>Компресорно-конденсаторний блок
PERSEUS 2.1.75 АСМ Україна</v>
          </cell>
          <cell r="D1292" t="str">
            <v>шт</v>
          </cell>
          <cell r="E1292">
            <v>1</v>
          </cell>
          <cell r="F1292">
            <v>453725.54</v>
          </cell>
          <cell r="G1292">
            <v>453725.54</v>
          </cell>
        </row>
        <row r="1293">
          <cell r="B1293" t="str">
            <v>Е20-11-1</v>
          </cell>
          <cell r="C1293" t="str">
            <v>Установлення грат жалюзiйних площею у
просвiтi до 0,25 м2</v>
          </cell>
          <cell r="D1293" t="str">
            <v>грати</v>
          </cell>
          <cell r="E1293">
            <v>5</v>
          </cell>
          <cell r="F1293">
            <v>145.96</v>
          </cell>
          <cell r="G1293">
            <v>729.8</v>
          </cell>
        </row>
        <row r="1294">
          <cell r="B1294" t="str">
            <v>С1630-725-1</v>
          </cell>
          <cell r="C1294" t="str">
            <v>Круглий дифузор, фіксовані кільця,
кріплення до регулятора, регулятор витрат
повітря, типорозмір 8 OD1/8-L2 розм. 8 IMP
Klima   Lindab</v>
          </cell>
          <cell r="D1294" t="str">
            <v>шт</v>
          </cell>
          <cell r="E1294">
            <v>5</v>
          </cell>
          <cell r="F1294">
            <v>5670.49</v>
          </cell>
          <cell r="G1294">
            <v>28352.45</v>
          </cell>
        </row>
        <row r="1295">
          <cell r="B1295" t="str">
            <v>Е20-11-2</v>
          </cell>
          <cell r="C1295" t="str">
            <v>Установлення грат жалюзiйних площею у
просвiтi до 1 м2</v>
          </cell>
          <cell r="D1295" t="str">
            <v>грати</v>
          </cell>
          <cell r="E1295">
            <v>7</v>
          </cell>
          <cell r="F1295">
            <v>200.46</v>
          </cell>
          <cell r="G1295">
            <v>1403.22</v>
          </cell>
        </row>
        <row r="1296">
          <cell r="B1296" t="str">
            <v>С126-1294-1</v>
          </cell>
          <cell r="C1296" t="str">
            <v>Гратка алюмiнiєва регульована,
горизонтальні пластини з прихованим
гвинтовим кріпленням, регулятор F розм.
825х325 AR-13/2 - F  825х325</v>
          </cell>
          <cell r="D1296" t="str">
            <v>шт</v>
          </cell>
          <cell r="E1296">
            <v>6</v>
          </cell>
          <cell r="F1296">
            <v>1510.49</v>
          </cell>
          <cell r="G1296">
            <v>9062.94</v>
          </cell>
        </row>
        <row r="1297">
          <cell r="B1297" t="str">
            <v>С126-1294-1</v>
          </cell>
          <cell r="C1297" t="str">
            <v>Гратка зовнішня, розм. РН 1000х1000h</v>
          </cell>
          <cell r="D1297" t="str">
            <v>шт</v>
          </cell>
          <cell r="E1297">
            <v>1</v>
          </cell>
          <cell r="F1297">
            <v>3035.66</v>
          </cell>
          <cell r="G1297">
            <v>3035.66</v>
          </cell>
        </row>
        <row r="1298">
          <cell r="B1298" t="str">
            <v>Е20-3-7</v>
          </cell>
          <cell r="C1298" t="str">
            <v>Прокладання вузла проходу, дiаметром
500 мм</v>
          </cell>
          <cell r="D1298" t="str">
            <v>100м2</v>
          </cell>
          <cell r="E1298">
            <v>1.6800000000000002E-2</v>
          </cell>
          <cell r="F1298">
            <v>18538.12</v>
          </cell>
          <cell r="G1298">
            <v>311.44</v>
          </cell>
        </row>
        <row r="1299">
          <cell r="B1299" t="str">
            <v>С130-1127</v>
          </cell>
          <cell r="C1299" t="str">
            <v>Вузол проходу, дiаметр 500 мм УП1-07,
с.5.904-45</v>
          </cell>
          <cell r="D1299" t="str">
            <v>м2</v>
          </cell>
          <cell r="E1299">
            <v>1.6800000000000002</v>
          </cell>
          <cell r="F1299">
            <v>3962.63</v>
          </cell>
          <cell r="G1299">
            <v>6657.22</v>
          </cell>
        </row>
        <row r="1300">
          <cell r="B1300" t="str">
            <v>Е20-18-8</v>
          </cell>
          <cell r="C1300" t="str">
            <v>Установлення над шахтами зонтiв iз
листової сталi круглого перерiзу
дiаметром 710 мм</v>
          </cell>
          <cell r="D1300" t="str">
            <v>зонт</v>
          </cell>
          <cell r="E1300">
            <v>1</v>
          </cell>
          <cell r="F1300">
            <v>1201.44</v>
          </cell>
          <cell r="G1300">
            <v>1201.44</v>
          </cell>
        </row>
        <row r="1301">
          <cell r="B1301" t="str">
            <v>С130-303</v>
          </cell>
          <cell r="C1301" t="str">
            <v>Зонт круглий, дiаметр 710 мм ЗК 00.000-07,
с.5.904-51</v>
          </cell>
          <cell r="D1301" t="str">
            <v>шт</v>
          </cell>
          <cell r="E1301">
            <v>1</v>
          </cell>
          <cell r="F1301">
            <v>1040.31</v>
          </cell>
          <cell r="G1301">
            <v>1040.31</v>
          </cell>
        </row>
        <row r="1302">
          <cell r="B1302" t="str">
            <v>Е20-3-16</v>
          </cell>
          <cell r="C1302" t="str">
            <v>Прокладання повiтроводiв з оцинкованої
сталi класу Н [нормальнi] товщиною 0,9
мм, периметром до 5200 мм</v>
          </cell>
          <cell r="D1302" t="str">
            <v>100м2</v>
          </cell>
          <cell r="E1302">
            <v>9.4399999999999998E-2</v>
          </cell>
          <cell r="F1302">
            <v>14347.67</v>
          </cell>
          <cell r="G1302">
            <v>1354.42</v>
          </cell>
        </row>
        <row r="1303">
          <cell r="B1303" t="str">
            <v>С130-1129</v>
          </cell>
          <cell r="C1303" t="str">
            <v>Перехід з оцинкованої сталi товщиною 1 мм,
розмiр 1345х1300h/діам.710, L=500 мм</v>
          </cell>
          <cell r="D1303" t="str">
            <v>м2</v>
          </cell>
          <cell r="E1303">
            <v>7.8</v>
          </cell>
          <cell r="F1303">
            <v>703.67</v>
          </cell>
          <cell r="G1303">
            <v>5488.63</v>
          </cell>
        </row>
        <row r="1304">
          <cell r="B1304" t="str">
            <v>С130-1129</v>
          </cell>
          <cell r="C1304" t="str">
            <v>Перехід з оцинкованої сталi товщиною 1 мм,
розмiр 1345х1300h/800х600h, L=500 мм</v>
          </cell>
          <cell r="D1304" t="str">
            <v>м2</v>
          </cell>
          <cell r="E1304">
            <v>1.64</v>
          </cell>
          <cell r="F1304">
            <v>703.67</v>
          </cell>
          <cell r="G1304">
            <v>1154.02</v>
          </cell>
        </row>
        <row r="1305">
          <cell r="B1305" t="str">
            <v>Е20-3-11</v>
          </cell>
          <cell r="C1305" t="str">
            <v>Прокладання повiтроводiв з оцинкованої
сталi класу Н [нормальнi] товщиною 0,7
мм, периметром до 2400 мм</v>
          </cell>
          <cell r="D1305" t="str">
            <v>100м2</v>
          </cell>
          <cell r="E1305">
            <v>3.2199999999999999E-2</v>
          </cell>
          <cell r="F1305">
            <v>16347.67</v>
          </cell>
          <cell r="G1305">
            <v>526.39</v>
          </cell>
        </row>
        <row r="1306">
          <cell r="B1306" t="str">
            <v>Е20-3-14</v>
          </cell>
          <cell r="C1306" t="str">
            <v>Прокладання повiтроводiв з оцинкованої
сталi класу Н [нормальнi] товщиною 0,7
мм, периметром 4000 мм</v>
          </cell>
          <cell r="D1306" t="str">
            <v>100м2</v>
          </cell>
          <cell r="E1306">
            <v>2.4E-2</v>
          </cell>
          <cell r="F1306">
            <v>87679</v>
          </cell>
          <cell r="G1306">
            <v>2104.3000000000002</v>
          </cell>
        </row>
        <row r="1307">
          <cell r="B1307" t="str">
            <v>С130-1128</v>
          </cell>
          <cell r="C1307" t="str">
            <v>Короб з оцинкованої сталi товщиною 1 мм,
розмiр 1000х1000h, L=600 мм</v>
          </cell>
          <cell r="D1307" t="str">
            <v>м2</v>
          </cell>
          <cell r="E1307">
            <v>3.22</v>
          </cell>
          <cell r="F1307">
            <v>746.4</v>
          </cell>
          <cell r="G1307">
            <v>2403.41</v>
          </cell>
        </row>
        <row r="1308">
          <cell r="B1308" t="str">
            <v>Е20-3-7</v>
          </cell>
          <cell r="C1308" t="str">
            <v>Прокладання повiтроводiв з оцинкованої
сталi класу Н [нормальнi] товщиною 0,7
мм, дiаметром вiд 500 до 560 мм</v>
          </cell>
          <cell r="D1308" t="str">
            <v>100м2</v>
          </cell>
          <cell r="E1308">
            <v>0.31409999999999999</v>
          </cell>
          <cell r="F1308">
            <v>18538.12</v>
          </cell>
          <cell r="G1308">
            <v>5822.82</v>
          </cell>
        </row>
        <row r="1309">
          <cell r="B1309" t="str">
            <v>С130-1127</v>
          </cell>
          <cell r="C1309" t="str">
            <v>Повiтровод з оцинкованої з сталi товщиною
0,7 мм, круглого перерiзу, дiаметр 500 мм</v>
          </cell>
          <cell r="D1309" t="str">
            <v>м2</v>
          </cell>
          <cell r="E1309">
            <v>28.27</v>
          </cell>
          <cell r="F1309">
            <v>569.19000000000005</v>
          </cell>
          <cell r="G1309">
            <v>16091</v>
          </cell>
        </row>
        <row r="1310">
          <cell r="B1310" t="str">
            <v>С130-1127</v>
          </cell>
          <cell r="C1310" t="str">
            <v>Повiтровод з оцинкованої з сталi товщиною
0,8 мм, круглого перерiзу, дiаметр 500 мм</v>
          </cell>
          <cell r="D1310" t="str">
            <v>м2</v>
          </cell>
          <cell r="E1310">
            <v>3.14</v>
          </cell>
          <cell r="F1310">
            <v>569.19000000000005</v>
          </cell>
          <cell r="G1310">
            <v>1787.26</v>
          </cell>
        </row>
        <row r="1311">
          <cell r="B1311" t="str">
            <v>Е20-3-6</v>
          </cell>
          <cell r="C1311" t="str">
            <v>Прокладання повiтроводiв з оцинкованої
сталi класу Н [нормальнi] товщиною 0,6
мм, дiаметром до 450 мм</v>
          </cell>
          <cell r="D1311" t="str">
            <v>100м2</v>
          </cell>
          <cell r="E1311">
            <v>0.36760000000000004</v>
          </cell>
          <cell r="F1311">
            <v>18558.099999999999</v>
          </cell>
          <cell r="G1311">
            <v>6821.96</v>
          </cell>
        </row>
        <row r="1312">
          <cell r="B1312" t="str">
            <v>С130-1126</v>
          </cell>
          <cell r="C1312" t="str">
            <v>Повiтровод з оцинкованої сталi товщиною 0,
8 мм, круглого перерiзу, спирально-
навивний, дiаметр 400 мм</v>
          </cell>
          <cell r="D1312" t="str">
            <v>м2</v>
          </cell>
          <cell r="E1312">
            <v>22.62</v>
          </cell>
          <cell r="F1312">
            <v>605.17999999999995</v>
          </cell>
          <cell r="G1312">
            <v>13689.17</v>
          </cell>
        </row>
        <row r="1313">
          <cell r="B1313" t="str">
            <v>С130-1126</v>
          </cell>
          <cell r="C1313" t="str">
            <v>Повiтровод з оцинкованої з сталi товщиною
0,8 мм, круглого перерiзу, дiаметр 450 мм</v>
          </cell>
          <cell r="D1313" t="str">
            <v>м2</v>
          </cell>
          <cell r="E1313">
            <v>14.14</v>
          </cell>
          <cell r="F1313">
            <v>605.17999999999995</v>
          </cell>
          <cell r="G1313">
            <v>8557.25</v>
          </cell>
        </row>
        <row r="1314">
          <cell r="B1314" t="str">
            <v>Е20-3-8</v>
          </cell>
          <cell r="C1314" t="str">
            <v>Прокладання повiтроводiв з оцинкованої
сталi класу Н [нормальнi] товщиною 0,7
мм, дiаметром до 800 мм</v>
          </cell>
          <cell r="D1314" t="str">
            <v>100м2</v>
          </cell>
          <cell r="E1314">
            <v>1.4175</v>
          </cell>
          <cell r="F1314">
            <v>16345.39</v>
          </cell>
          <cell r="G1314">
            <v>23169.59</v>
          </cell>
        </row>
        <row r="1315">
          <cell r="B1315" t="str">
            <v>С130-1127</v>
          </cell>
          <cell r="C1315" t="str">
            <v>Повiтровод з оцинкованої з сталi товщиною
0,8 мм, круглого перерiзу, дiаметр 630 мм</v>
          </cell>
          <cell r="D1315" t="str">
            <v>м2</v>
          </cell>
          <cell r="E1315">
            <v>7.92</v>
          </cell>
          <cell r="F1315">
            <v>569.19000000000005</v>
          </cell>
          <cell r="G1315">
            <v>4507.9799999999996</v>
          </cell>
        </row>
        <row r="1316">
          <cell r="B1316" t="str">
            <v>С130-1127</v>
          </cell>
          <cell r="C1316" t="str">
            <v>Повiтровод з оцинкованої з сталi товщиною
0,8 мм, круглого перерiзу, дiаметр 710 мм</v>
          </cell>
          <cell r="D1316" t="str">
            <v>м2</v>
          </cell>
          <cell r="E1316">
            <v>133.83000000000001</v>
          </cell>
          <cell r="F1316">
            <v>569.19000000000005</v>
          </cell>
          <cell r="G1316">
            <v>76174.7</v>
          </cell>
        </row>
        <row r="1317">
          <cell r="B1317" t="str">
            <v>Е20-3-10</v>
          </cell>
          <cell r="C1317" t="str">
            <v>Прокладання повiтроводiв з оцинкованої
сталi класу Н [нормальнi] товщиною 0,7
мм, периметром вiд 1100 до 1600 мм</v>
          </cell>
          <cell r="D1317" t="str">
            <v>100м2</v>
          </cell>
          <cell r="E1317">
            <v>0.112</v>
          </cell>
          <cell r="F1317">
            <v>18558.099999999999</v>
          </cell>
          <cell r="G1317">
            <v>2078.5100000000002</v>
          </cell>
        </row>
        <row r="1318">
          <cell r="B1318" t="str">
            <v>С130-1128</v>
          </cell>
          <cell r="C1318" t="str">
            <v>Повiтровід з оцинкованої сталi товщиною 0,
8 мм, прямокутного перерiзу, розмiр
200х400 мм</v>
          </cell>
          <cell r="D1318" t="str">
            <v>м2</v>
          </cell>
          <cell r="E1318">
            <v>4.8</v>
          </cell>
          <cell r="F1318">
            <v>746.4</v>
          </cell>
          <cell r="G1318">
            <v>3582.72</v>
          </cell>
        </row>
        <row r="1319">
          <cell r="B1319" t="str">
            <v>С130-1128</v>
          </cell>
          <cell r="C1319" t="str">
            <v>Повiтровід з оцинкованої сталi товщиною 0,
8 мм, прямокутного перерiзу, розмiр
400х400 мм</v>
          </cell>
          <cell r="D1319" t="str">
            <v>м2</v>
          </cell>
          <cell r="E1319">
            <v>6.4</v>
          </cell>
          <cell r="F1319">
            <v>746.4</v>
          </cell>
          <cell r="G1319">
            <v>4776.96</v>
          </cell>
        </row>
        <row r="1320">
          <cell r="B1320" t="str">
            <v>Е20-3-11</v>
          </cell>
          <cell r="C1320" t="str">
            <v>Прокладання повiтроводiв з оцинкованої
сталi класу Н [нормальнi] товщиною 0,7
мм, периметром до 2400 мм</v>
          </cell>
          <cell r="D1320" t="str">
            <v>100м2</v>
          </cell>
          <cell r="E1320">
            <v>0.246</v>
          </cell>
          <cell r="F1320">
            <v>16347.67</v>
          </cell>
          <cell r="G1320">
            <v>4021.53</v>
          </cell>
        </row>
        <row r="1321">
          <cell r="B1321" t="str">
            <v>С130-1128</v>
          </cell>
          <cell r="C1321" t="str">
            <v>Повiтровід з оцинкованої сталi товщиною 0,
8 мм, прямокутного перерiзу, розмiр
500х400 мм</v>
          </cell>
          <cell r="D1321" t="str">
            <v>м2</v>
          </cell>
          <cell r="E1321">
            <v>9</v>
          </cell>
          <cell r="F1321">
            <v>746.4</v>
          </cell>
          <cell r="G1321">
            <v>6717.6</v>
          </cell>
        </row>
        <row r="1322">
          <cell r="B1322" t="str">
            <v>С130-1128</v>
          </cell>
          <cell r="C1322" t="str">
            <v>Повiтровід з оцинкованої сталi товщиною 0,
8 мм, прямокутного перерiзу, розмiр
700х400 мм</v>
          </cell>
          <cell r="D1322" t="str">
            <v>м2</v>
          </cell>
          <cell r="E1322">
            <v>11</v>
          </cell>
          <cell r="F1322">
            <v>746.4</v>
          </cell>
          <cell r="G1322">
            <v>8210.4</v>
          </cell>
        </row>
        <row r="1323">
          <cell r="B1323" t="str">
            <v>С130-1128</v>
          </cell>
          <cell r="C1323" t="str">
            <v>Повiтровід з оцинкованої сталi товщиною 0,
8 мм, прямокутного перерiзу, розмiр
825х325 мм</v>
          </cell>
          <cell r="D1323" t="str">
            <v>м2</v>
          </cell>
          <cell r="E1323">
            <v>4.5999999999999996</v>
          </cell>
          <cell r="F1323">
            <v>746.4</v>
          </cell>
          <cell r="G1323">
            <v>3433.44</v>
          </cell>
        </row>
        <row r="1324">
          <cell r="B1324" t="str">
            <v>Е20-3-12</v>
          </cell>
          <cell r="C1324" t="str">
            <v>Прокладання повiтроводiв з оцинкованої
сталi класу Н [нормальнi] товщиною 0,7
мм, периметром до 3200 мм</v>
          </cell>
          <cell r="D1324" t="str">
            <v>100м2</v>
          </cell>
          <cell r="E1324">
            <v>0.47800000000000004</v>
          </cell>
          <cell r="F1324">
            <v>14200.8</v>
          </cell>
          <cell r="G1324">
            <v>6787.98</v>
          </cell>
        </row>
        <row r="1325">
          <cell r="B1325" t="str">
            <v>С130-1128</v>
          </cell>
          <cell r="C1325" t="str">
            <v>Повiтровід з оцинкованої сталi товщиною 0,
8 мм, прямокутного перерiзу, розмiр
800х500 мм</v>
          </cell>
          <cell r="D1325" t="str">
            <v>м2</v>
          </cell>
          <cell r="E1325">
            <v>13</v>
          </cell>
          <cell r="F1325">
            <v>746.4</v>
          </cell>
          <cell r="G1325">
            <v>9703.2000000000007</v>
          </cell>
        </row>
        <row r="1326">
          <cell r="B1326" t="str">
            <v>С130-1128</v>
          </cell>
          <cell r="C1326" t="str">
            <v>Повiтровід з оцинкованої сталi товщиною 0,
8 мм, прямокутного перерiзу, розмiр
800х600 мм</v>
          </cell>
          <cell r="D1326" t="str">
            <v>м2</v>
          </cell>
          <cell r="E1326">
            <v>16.8</v>
          </cell>
          <cell r="F1326">
            <v>746.4</v>
          </cell>
          <cell r="G1326">
            <v>12539.52</v>
          </cell>
        </row>
        <row r="1327">
          <cell r="B1327" t="str">
            <v>С130-1128</v>
          </cell>
          <cell r="C1327" t="str">
            <v>Повiтровід з оцинкованої сталi товщиною 0,
8 мм, прямокутного перерiзу, розмiр
1000х500 мм</v>
          </cell>
          <cell r="D1327" t="str">
            <v>м2</v>
          </cell>
          <cell r="E1327">
            <v>18</v>
          </cell>
          <cell r="F1327">
            <v>746.4</v>
          </cell>
          <cell r="G1327">
            <v>13435.2</v>
          </cell>
        </row>
        <row r="1328">
          <cell r="B1328" t="str">
            <v>Е20-3-14</v>
          </cell>
          <cell r="C1328" t="str">
            <v>Прокладання повiтроводiв з оцинкованої
сталi класу Н [нормальнi] товщиною 0,7
мм, периметром 4000 мм</v>
          </cell>
          <cell r="D1328" t="str">
            <v>100м2</v>
          </cell>
          <cell r="E1328">
            <v>0.06</v>
          </cell>
          <cell r="F1328">
            <v>13039</v>
          </cell>
          <cell r="G1328">
            <v>782.34</v>
          </cell>
        </row>
        <row r="1329">
          <cell r="B1329" t="str">
            <v>С130-1128</v>
          </cell>
          <cell r="C1329" t="str">
            <v>Повiтровід з оцинкованої сталi товщиною 0,
8 мм, прямокутного перерiзу, розмiр
1000х1000 мм</v>
          </cell>
          <cell r="D1329" t="str">
            <v>м2</v>
          </cell>
          <cell r="E1329">
            <v>6</v>
          </cell>
          <cell r="F1329">
            <v>746.4</v>
          </cell>
          <cell r="G1329">
            <v>4478.3999999999996</v>
          </cell>
        </row>
        <row r="1330">
          <cell r="B1330" t="str">
            <v>ЕН26-24-2</v>
          </cell>
          <cell r="C1330" t="str">
            <v>Iзоляцiя плоских поверхонь плитами
мiнераловатними</v>
          </cell>
          <cell r="D1330" t="str">
            <v>10 м2</v>
          </cell>
          <cell r="E1330">
            <v>1.375</v>
          </cell>
          <cell r="F1330">
            <v>732.57</v>
          </cell>
          <cell r="G1330">
            <v>1007.28</v>
          </cell>
        </row>
        <row r="1331">
          <cell r="B1331" t="str">
            <v>С114-35-1-О</v>
          </cell>
          <cell r="C1331" t="str">
            <v>Мінвата фольгована, товщ. 40мм</v>
          </cell>
          <cell r="D1331" t="str">
            <v>м3</v>
          </cell>
          <cell r="E1331">
            <v>0.55000000000000004</v>
          </cell>
          <cell r="F1331">
            <v>1422.71</v>
          </cell>
          <cell r="G1331">
            <v>782.49</v>
          </cell>
        </row>
        <row r="1332">
          <cell r="B1332" t="str">
            <v>С111-1650-К</v>
          </cell>
          <cell r="C1332" t="str">
            <v>Гвіздки самоклеючі</v>
          </cell>
          <cell r="D1332" t="str">
            <v>шт</v>
          </cell>
          <cell r="E1332">
            <v>65</v>
          </cell>
          <cell r="F1332">
            <v>4.6399999999999997</v>
          </cell>
          <cell r="G1332">
            <v>301.60000000000002</v>
          </cell>
        </row>
        <row r="1333">
          <cell r="B1333" t="str">
            <v>ЕН26-24-2</v>
          </cell>
          <cell r="C1333" t="str">
            <v>Iзоляцiя плоских поверхонь плитами
мiнераловатними</v>
          </cell>
          <cell r="D1333" t="str">
            <v>10 м2</v>
          </cell>
          <cell r="E1333">
            <v>30</v>
          </cell>
          <cell r="F1333">
            <v>732.57</v>
          </cell>
          <cell r="G1333">
            <v>21977.1</v>
          </cell>
        </row>
        <row r="1334">
          <cell r="B1334" t="str">
            <v>С114-48-2</v>
          </cell>
          <cell r="C1334" t="str">
            <v>Ізоляція "Нобасил", товщ. 20мм</v>
          </cell>
          <cell r="D1334" t="str">
            <v>м2</v>
          </cell>
          <cell r="E1334">
            <v>300</v>
          </cell>
          <cell r="F1334">
            <v>61.52</v>
          </cell>
          <cell r="G1334">
            <v>18456</v>
          </cell>
        </row>
        <row r="1335">
          <cell r="B1335" t="str">
            <v>С1630-114</v>
          </cell>
          <cell r="C1335" t="str">
            <v>Сталь для крiплення повітропроводiв</v>
          </cell>
          <cell r="D1335" t="str">
            <v>кг</v>
          </cell>
          <cell r="E1335">
            <v>500</v>
          </cell>
          <cell r="F1335">
            <v>42.15</v>
          </cell>
          <cell r="G1335">
            <v>21075</v>
          </cell>
        </row>
        <row r="1336">
          <cell r="B1336" t="str">
            <v>С1630-522</v>
          </cell>
          <cell r="C1336" t="str">
            <v>Лючок для виміру параметрів повітря</v>
          </cell>
          <cell r="D1336" t="str">
            <v>шт</v>
          </cell>
          <cell r="E1336">
            <v>3</v>
          </cell>
          <cell r="F1336">
            <v>43.85</v>
          </cell>
          <cell r="G1336">
            <v>131.55000000000001</v>
          </cell>
        </row>
        <row r="1337">
          <cell r="B1337" t="str">
            <v>С1630-454</v>
          </cell>
          <cell r="C1337" t="str">
            <v>Дросель-клапани круглого перерізу з
ніпельним з'єднанням дiаметр  450 мм ДКН-
Ф450</v>
          </cell>
          <cell r="D1337" t="str">
            <v>шт</v>
          </cell>
          <cell r="E1337">
            <v>1</v>
          </cell>
          <cell r="F1337">
            <v>2086.62</v>
          </cell>
          <cell r="G1337">
            <v>2086.62</v>
          </cell>
        </row>
        <row r="1338">
          <cell r="B1338" t="str">
            <v>С1630-456</v>
          </cell>
          <cell r="C1338" t="str">
            <v>Дросель-клапани круглого перерізу з
ніпельним з'єднанням дiаметр  630 мм ДКН-
Ф630</v>
          </cell>
          <cell r="D1338" t="str">
            <v>шт</v>
          </cell>
          <cell r="E1338">
            <v>1</v>
          </cell>
          <cell r="F1338">
            <v>2906.24</v>
          </cell>
          <cell r="G1338">
            <v>2906.24</v>
          </cell>
        </row>
        <row r="1339">
          <cell r="B1339" t="str">
            <v>М12-70-2</v>
          </cell>
          <cell r="C1339" t="str">
            <v>Трубопроводи з мiдних труб на умовний
тиск до 2,5 МПа [25 кгс/см2], дiаметр 28
мм</v>
          </cell>
          <cell r="D1339" t="str">
            <v>100 м</v>
          </cell>
          <cell r="E1339">
            <v>0.25</v>
          </cell>
          <cell r="F1339">
            <v>11789.72</v>
          </cell>
          <cell r="G1339">
            <v>2947.43</v>
          </cell>
        </row>
        <row r="1340">
          <cell r="B1340" t="str">
            <v>С130-1190-2</v>
          </cell>
          <cell r="C1340" t="str">
            <v>Трубка мідна, діам. 28 мм</v>
          </cell>
          <cell r="D1340" t="str">
            <v>м</v>
          </cell>
          <cell r="E1340">
            <v>25</v>
          </cell>
          <cell r="F1340">
            <v>255.06</v>
          </cell>
          <cell r="G1340">
            <v>6376.5</v>
          </cell>
        </row>
        <row r="1341">
          <cell r="B1341" t="str">
            <v>М12-70-4</v>
          </cell>
          <cell r="C1341" t="str">
            <v>Трубопроводи з мiдних труб на умовний
тиск до 2,5 МПа [25 кгс/см2], дiаметр 42
мм</v>
          </cell>
          <cell r="D1341" t="str">
            <v>100 м</v>
          </cell>
          <cell r="E1341">
            <v>0.25</v>
          </cell>
          <cell r="F1341">
            <v>12116.92</v>
          </cell>
          <cell r="G1341">
            <v>3029.23</v>
          </cell>
        </row>
        <row r="1342">
          <cell r="B1342" t="str">
            <v>С130-1190-2</v>
          </cell>
          <cell r="C1342" t="str">
            <v>Трубка мідна, діам. 42 мм</v>
          </cell>
          <cell r="D1342" t="str">
            <v>м</v>
          </cell>
          <cell r="E1342">
            <v>25</v>
          </cell>
          <cell r="F1342">
            <v>223.62</v>
          </cell>
          <cell r="G1342">
            <v>5590.5</v>
          </cell>
        </row>
        <row r="1343">
          <cell r="B1343" t="str">
            <v>ЕН26-11-1</v>
          </cell>
          <cell r="C1343" t="str">
            <v>Ізоляція трубопроводів трубками із
спіненого каучуку, поліетилену</v>
          </cell>
          <cell r="D1343" t="str">
            <v>10 м</v>
          </cell>
          <cell r="E1343">
            <v>5</v>
          </cell>
          <cell r="F1343">
            <v>234.29</v>
          </cell>
          <cell r="G1343">
            <v>1171.45</v>
          </cell>
        </row>
        <row r="1344">
          <cell r="B1344" t="str">
            <v>С114-48-1</v>
          </cell>
          <cell r="C1344" t="str">
            <v>Теплоізоляція "Термофлекс" діам.28 мм</v>
          </cell>
          <cell r="D1344" t="str">
            <v>м</v>
          </cell>
          <cell r="E1344">
            <v>25.5</v>
          </cell>
          <cell r="F1344">
            <v>67.88</v>
          </cell>
          <cell r="G1344">
            <v>1730.94</v>
          </cell>
        </row>
        <row r="1345">
          <cell r="B1345" t="str">
            <v>С114-48-1</v>
          </cell>
          <cell r="C1345" t="str">
            <v>Теплоізоляція "Термофлекс" діам.42 мм</v>
          </cell>
          <cell r="D1345" t="str">
            <v>м</v>
          </cell>
          <cell r="E1345">
            <v>25.5</v>
          </cell>
          <cell r="F1345">
            <v>91.09</v>
          </cell>
          <cell r="G1345">
            <v>2322.8000000000002</v>
          </cell>
        </row>
        <row r="1346">
          <cell r="B1346" t="str">
            <v>С111-1678-1-Я</v>
          </cell>
          <cell r="C1346" t="str">
            <v>Стрiчка самоклеюча для спінених
теплоізоляційних матеріалів 3х50мм</v>
          </cell>
          <cell r="D1346" t="str">
            <v>м</v>
          </cell>
          <cell r="E1346">
            <v>690.7</v>
          </cell>
          <cell r="F1346">
            <v>7.78</v>
          </cell>
          <cell r="G1346">
            <v>5373.65</v>
          </cell>
        </row>
        <row r="1347">
          <cell r="B1347" t="str">
            <v>С111-1641-1-Э</v>
          </cell>
          <cell r="C1347" t="str">
            <v>Клей монтажний для теплоізоляційних
матеріалів</v>
          </cell>
          <cell r="D1347" t="str">
            <v>л</v>
          </cell>
          <cell r="E1347">
            <v>7.1</v>
          </cell>
          <cell r="F1347">
            <v>478.23</v>
          </cell>
          <cell r="G1347">
            <v>3395.43</v>
          </cell>
        </row>
        <row r="1348">
          <cell r="B1348" t="str">
            <v>С111-838-1-Ю</v>
          </cell>
          <cell r="C1348" t="str">
            <v>Очищувач клею</v>
          </cell>
          <cell r="D1348" t="str">
            <v>л</v>
          </cell>
          <cell r="E1348">
            <v>1.55</v>
          </cell>
          <cell r="F1348">
            <v>311.02</v>
          </cell>
          <cell r="G1348">
            <v>482.08</v>
          </cell>
        </row>
        <row r="1349">
          <cell r="B1349" t="str">
            <v>Е20-42-1</v>
          </cell>
          <cell r="C1349" t="str">
            <v>Установлення камер припливних типових
без секцiї зрошення продуктивнiстю до 10
тис.м3/год</v>
          </cell>
          <cell r="D1349" t="str">
            <v>камеpа</v>
          </cell>
          <cell r="E1349">
            <v>1</v>
          </cell>
          <cell r="F1349">
            <v>5325.72</v>
          </cell>
          <cell r="G1349">
            <v>5325.72</v>
          </cell>
        </row>
        <row r="1350">
          <cell r="B1350" t="str">
            <v>2308-4028-1-Ю</v>
          </cell>
          <cell r="C1350" t="str">
            <v>Припливно-витяжна установка лівого
виконання, з дахом, Lпр=7240 м3/год,
Рвілн.=500 Па, Lв=10140 м3/год,
зовнішнього виконання   комплект GS-13
"AEROSTAR"</v>
          </cell>
          <cell r="D1350" t="str">
            <v>шт</v>
          </cell>
          <cell r="E1350">
            <v>1</v>
          </cell>
          <cell r="F1350">
            <v>916841.04</v>
          </cell>
          <cell r="G1350">
            <v>916841.04</v>
          </cell>
        </row>
        <row r="1351">
          <cell r="B1351" t="str">
            <v>М8-102-1</v>
          </cell>
          <cell r="C1351" t="str">
            <v>Монтаж шафи керування або регулювання</v>
          </cell>
          <cell r="D1351" t="str">
            <v>шафа</v>
          </cell>
          <cell r="E1351">
            <v>1</v>
          </cell>
          <cell r="F1351">
            <v>2479.31</v>
          </cell>
          <cell r="G1351">
            <v>2479.31</v>
          </cell>
        </row>
        <row r="1352">
          <cell r="B1352" t="str">
            <v>2308-4027-2А</v>
          </cell>
          <cell r="C1352" t="str">
            <v>Комплект автоматики</v>
          </cell>
          <cell r="D1352" t="str">
            <v>шт</v>
          </cell>
          <cell r="E1352">
            <v>1</v>
          </cell>
          <cell r="F1352">
            <v>76106.880000000005</v>
          </cell>
          <cell r="G1352">
            <v>76106.880000000005</v>
          </cell>
        </row>
        <row r="1353">
          <cell r="B1353" t="str">
            <v>Е20-11-1</v>
          </cell>
          <cell r="C1353" t="str">
            <v>Установлення грат жалюзiйних площею у
просвiтi до 0,25 м2</v>
          </cell>
          <cell r="D1353" t="str">
            <v>грати</v>
          </cell>
          <cell r="E1353">
            <v>10</v>
          </cell>
          <cell r="F1353">
            <v>145.96</v>
          </cell>
          <cell r="G1353">
            <v>1459.6</v>
          </cell>
        </row>
        <row r="1354">
          <cell r="B1354" t="str">
            <v>С1630-725-1</v>
          </cell>
          <cell r="C1354" t="str">
            <v>Круглий дифузор, фіксовані кільця,
кріплення до регулятора, регулятор витрат
повітря, типорозмір 7 OD1/8-L2 розм. 7 IMP
Klima    Lindab</v>
          </cell>
          <cell r="D1354" t="str">
            <v>шт</v>
          </cell>
          <cell r="E1354">
            <v>5</v>
          </cell>
          <cell r="F1354">
            <v>4783.33</v>
          </cell>
          <cell r="G1354">
            <v>23916.65</v>
          </cell>
        </row>
        <row r="1355">
          <cell r="B1355" t="str">
            <v>С1630-725-1</v>
          </cell>
          <cell r="C1355" t="str">
            <v>Круглий дифузор, фіксовані кільця,
кріплення до регулятора, регулятор витрат
повітря, типорозмір 8 OD1/8-L2 розм. 8 IMP
Klima   Lindab</v>
          </cell>
          <cell r="D1355" t="str">
            <v>шт</v>
          </cell>
          <cell r="E1355">
            <v>5</v>
          </cell>
          <cell r="F1355">
            <v>5670.49</v>
          </cell>
          <cell r="G1355">
            <v>28352.45</v>
          </cell>
        </row>
        <row r="1356">
          <cell r="B1356" t="str">
            <v>Е20-11-1</v>
          </cell>
          <cell r="C1356" t="str">
            <v>Установлення грат жалюзiйних площею у
просвiтi до 0,25 м2</v>
          </cell>
          <cell r="D1356" t="str">
            <v>грати</v>
          </cell>
          <cell r="E1356">
            <v>6</v>
          </cell>
          <cell r="F1356">
            <v>145.96</v>
          </cell>
          <cell r="G1356">
            <v>875.76</v>
          </cell>
        </row>
        <row r="1357">
          <cell r="B1357" t="str">
            <v>С126-1294-1</v>
          </cell>
          <cell r="C1357" t="str">
            <v>Гратка алюмiнiєва регульована,
горизонтальні пластини з прихованим
гвинтовим кріпленням, регулятор F розм.
625х125 AR-13/2 - F   625х125</v>
          </cell>
          <cell r="D1357" t="str">
            <v>шт</v>
          </cell>
          <cell r="E1357">
            <v>6</v>
          </cell>
          <cell r="F1357">
            <v>879.34</v>
          </cell>
          <cell r="G1357">
            <v>5276.04</v>
          </cell>
        </row>
        <row r="1358">
          <cell r="B1358" t="str">
            <v>Е20-3-7</v>
          </cell>
          <cell r="C1358" t="str">
            <v>Прокладання вузла проходу, дiаметром
500 мм</v>
          </cell>
          <cell r="D1358" t="str">
            <v>100м2</v>
          </cell>
          <cell r="E1358">
            <v>2.12E-2</v>
          </cell>
          <cell r="F1358">
            <v>18538.12</v>
          </cell>
          <cell r="G1358">
            <v>393.01</v>
          </cell>
        </row>
        <row r="1359">
          <cell r="B1359" t="str">
            <v>С130-1127</v>
          </cell>
          <cell r="C1359" t="str">
            <v>Вузол проходу, дiаметр 315 мм УП1-02,
с.5.904-45</v>
          </cell>
          <cell r="D1359" t="str">
            <v>м2</v>
          </cell>
          <cell r="E1359">
            <v>2.12</v>
          </cell>
          <cell r="F1359">
            <v>2438.33</v>
          </cell>
          <cell r="G1359">
            <v>5169.26</v>
          </cell>
        </row>
        <row r="1360">
          <cell r="B1360" t="str">
            <v>Е20-3-8</v>
          </cell>
          <cell r="C1360" t="str">
            <v>Прокладання вузла проходу, дiаметром
630 мм</v>
          </cell>
          <cell r="D1360" t="str">
            <v>100м2</v>
          </cell>
          <cell r="E1360">
            <v>4.24E-2</v>
          </cell>
          <cell r="F1360">
            <v>16345.39</v>
          </cell>
          <cell r="G1360">
            <v>693.04</v>
          </cell>
        </row>
        <row r="1361">
          <cell r="B1361" t="str">
            <v>С130-1127</v>
          </cell>
          <cell r="C1361" t="str">
            <v>Вузол проходу, дiаметр 630 мм УП1-06,
с.5.904-45</v>
          </cell>
          <cell r="D1361" t="str">
            <v>м2</v>
          </cell>
          <cell r="E1361">
            <v>4.24</v>
          </cell>
          <cell r="F1361">
            <v>5523.86</v>
          </cell>
          <cell r="G1361">
            <v>23421.17</v>
          </cell>
        </row>
        <row r="1362">
          <cell r="B1362" t="str">
            <v>Е20-3-15</v>
          </cell>
          <cell r="C1362" t="str">
            <v>Прокладання повiтроводiв з оцинкованої
сталi класу Н [нормальнi] товщиною 0,9
мм, периметром 3700 мм, вiд 4100 до 4500
мм</v>
          </cell>
          <cell r="D1362" t="str">
            <v>100м2</v>
          </cell>
          <cell r="E1362">
            <v>3.5400000000000001E-2</v>
          </cell>
          <cell r="F1362">
            <v>13168.39</v>
          </cell>
          <cell r="G1362">
            <v>466.16</v>
          </cell>
        </row>
        <row r="1363">
          <cell r="B1363" t="str">
            <v>С130-1129</v>
          </cell>
          <cell r="C1363" t="str">
            <v>Перехід з оцинкованої сталi товщиною 1 мм,
розмiр 1340х845h/діам.710, L=500 мм</v>
          </cell>
          <cell r="D1363" t="str">
            <v>м2</v>
          </cell>
          <cell r="E1363">
            <v>1.9500000000000002</v>
          </cell>
          <cell r="F1363">
            <v>703.67</v>
          </cell>
          <cell r="G1363">
            <v>1372.16</v>
          </cell>
        </row>
        <row r="1364">
          <cell r="B1364" t="str">
            <v>С130-1129</v>
          </cell>
          <cell r="C1364" t="str">
            <v>Перехід з оцинкованої сталi товщиною 1 мм,
розмiр 1340х845h/діам.710, L=500 мм</v>
          </cell>
          <cell r="D1364" t="str">
            <v>м2</v>
          </cell>
          <cell r="E1364">
            <v>1.59</v>
          </cell>
          <cell r="F1364">
            <v>703.67</v>
          </cell>
          <cell r="G1364">
            <v>1118.8399999999999</v>
          </cell>
        </row>
        <row r="1365">
          <cell r="B1365" t="str">
            <v>Е20-3-1</v>
          </cell>
          <cell r="C1365" t="str">
            <v>Прокладання повiтроводiв з оцинкованої
сталi класу Н [нормальнi] товщиною 0,5
мм, дiаметром до 200 мм</v>
          </cell>
          <cell r="D1365" t="str">
            <v>100м2</v>
          </cell>
          <cell r="E1365">
            <v>1.0999999999999999E-2</v>
          </cell>
          <cell r="F1365">
            <v>22487.91</v>
          </cell>
          <cell r="G1365">
            <v>247.37</v>
          </cell>
        </row>
        <row r="1366">
          <cell r="B1366" t="str">
            <v>С130-1124</v>
          </cell>
          <cell r="C1366" t="str">
            <v>Повiтровод з оцинкованої сталi товщиною 0,
8 мм, круглого перерiзу, спирально-
навивний, дiаметр 180 мм</v>
          </cell>
          <cell r="D1366" t="str">
            <v>м2</v>
          </cell>
          <cell r="E1366">
            <v>1.1000000000000001</v>
          </cell>
          <cell r="F1366">
            <v>673.89</v>
          </cell>
          <cell r="G1366">
            <v>741.28</v>
          </cell>
        </row>
        <row r="1367">
          <cell r="B1367" t="str">
            <v>Е20-3-4</v>
          </cell>
          <cell r="C1367" t="str">
            <v>Прокладання повiтроводiв з оцинкованої
сталi класу Н [нормальнi] товщиною 0,6
мм, дiаметром до 250 мм</v>
          </cell>
          <cell r="D1367" t="str">
            <v>100м2</v>
          </cell>
          <cell r="E1367">
            <v>0.11</v>
          </cell>
          <cell r="F1367">
            <v>22485.62</v>
          </cell>
          <cell r="G1367">
            <v>2473.42</v>
          </cell>
        </row>
        <row r="1368">
          <cell r="B1368" t="str">
            <v>С130-1126</v>
          </cell>
          <cell r="C1368" t="str">
            <v>Повiтровод з оцинкованої сталi товщиною 0,
8 мм, круглого перерiзу, спирально-
навивний, дiаметр 250 мм</v>
          </cell>
          <cell r="D1368" t="str">
            <v>м2</v>
          </cell>
          <cell r="E1368">
            <v>11</v>
          </cell>
          <cell r="F1368">
            <v>605.17999999999995</v>
          </cell>
          <cell r="G1368">
            <v>6656.98</v>
          </cell>
        </row>
        <row r="1369">
          <cell r="B1369" t="str">
            <v>Е20-3-5</v>
          </cell>
          <cell r="C1369" t="str">
            <v>Прокладання повiтроводiв з оцинкованої
сталi класу Н [нормальнi] товщиною 0,6
мм, дiаметром до 355 мм</v>
          </cell>
          <cell r="D1369" t="str">
            <v>100м2</v>
          </cell>
          <cell r="E1369">
            <v>0.86099999999999999</v>
          </cell>
          <cell r="F1369">
            <v>20629.82</v>
          </cell>
          <cell r="G1369">
            <v>17762.28</v>
          </cell>
        </row>
        <row r="1370">
          <cell r="B1370" t="str">
            <v>С130-1126</v>
          </cell>
          <cell r="C1370" t="str">
            <v>Повiтровод з оцинкованої сталi товщиною 0,
8 мм, круглого перерiзу, спирально-
навивний, дiаметр 315 мм</v>
          </cell>
          <cell r="D1370" t="str">
            <v>м2</v>
          </cell>
          <cell r="E1370">
            <v>86.1</v>
          </cell>
          <cell r="F1370">
            <v>605.17999999999995</v>
          </cell>
          <cell r="G1370">
            <v>52106</v>
          </cell>
        </row>
        <row r="1371">
          <cell r="B1371" t="str">
            <v>Е20-3-6</v>
          </cell>
          <cell r="C1371" t="str">
            <v>Прокладання повiтроводiв з оцинкованої
сталi класу Н [нормальнi] товщиною 0,6
мм, дiаметром до 450 мм</v>
          </cell>
          <cell r="D1371" t="str">
            <v>100м2</v>
          </cell>
          <cell r="E1371">
            <v>0.32669999999999999</v>
          </cell>
          <cell r="F1371">
            <v>18558.099999999999</v>
          </cell>
          <cell r="G1371">
            <v>6062.93</v>
          </cell>
        </row>
        <row r="1372">
          <cell r="B1372" t="str">
            <v>С130-1126</v>
          </cell>
          <cell r="C1372" t="str">
            <v>Повiтровод з оцинкованої сталi товщиною 0,
8 мм, круглого перерiзу, спирально-
навивний, дiаметр 400 мм</v>
          </cell>
          <cell r="D1372" t="str">
            <v>м2</v>
          </cell>
          <cell r="E1372">
            <v>10.050000000000001</v>
          </cell>
          <cell r="F1372">
            <v>605.17999999999995</v>
          </cell>
          <cell r="G1372">
            <v>6082.06</v>
          </cell>
        </row>
        <row r="1373">
          <cell r="B1373" t="str">
            <v>С130-1126</v>
          </cell>
          <cell r="C1373" t="str">
            <v>Повiтровод з оцинкованої сталi товщиною 0,
8 мм, круглого перерiзу, спирально-
навивний, дiаметр 450 мм</v>
          </cell>
          <cell r="D1373" t="str">
            <v>м2</v>
          </cell>
          <cell r="E1373">
            <v>22.62</v>
          </cell>
          <cell r="F1373">
            <v>605.17999999999995</v>
          </cell>
          <cell r="G1373">
            <v>13689.17</v>
          </cell>
        </row>
        <row r="1374">
          <cell r="B1374" t="str">
            <v>Е20-3-7</v>
          </cell>
          <cell r="C1374" t="str">
            <v>Прокладання повiтроводiв з оцинкованої
сталi класу Н [нормальнi] товщиною 0,7
мм, дiаметром вiд 500 до 560 мм</v>
          </cell>
          <cell r="D1374" t="str">
            <v>100м2</v>
          </cell>
          <cell r="E1374">
            <v>0.53029999999999999</v>
          </cell>
          <cell r="F1374">
            <v>18538.12</v>
          </cell>
          <cell r="G1374">
            <v>9830.77</v>
          </cell>
        </row>
        <row r="1375">
          <cell r="B1375" t="str">
            <v>С130-1127</v>
          </cell>
          <cell r="C1375" t="str">
            <v>Повiтровод з оцинкованої сталi товщиною 0,
8 мм, круглого перерiзу, спирально-
навивний, дiаметр 500 мм</v>
          </cell>
          <cell r="D1375" t="str">
            <v>м2</v>
          </cell>
          <cell r="E1375">
            <v>12.57</v>
          </cell>
          <cell r="F1375">
            <v>569.19000000000005</v>
          </cell>
          <cell r="G1375">
            <v>7154.72</v>
          </cell>
        </row>
        <row r="1376">
          <cell r="B1376" t="str">
            <v>С130-1127</v>
          </cell>
          <cell r="C1376" t="str">
            <v>Повiтровод з оцинкованої сталi товщиною 0,
8 мм, круглого перерiзу, спирально-
навивний, дiаметр 560 мм</v>
          </cell>
          <cell r="D1376" t="str">
            <v>м2</v>
          </cell>
          <cell r="E1376">
            <v>40.46</v>
          </cell>
          <cell r="F1376">
            <v>569.19000000000005</v>
          </cell>
          <cell r="G1376">
            <v>23029.43</v>
          </cell>
        </row>
        <row r="1377">
          <cell r="B1377" t="str">
            <v>Е20-3-8</v>
          </cell>
          <cell r="C1377" t="str">
            <v>Прокладання повiтроводiв з оцинкованої
сталi класу Н [нормальнi] товщиною 0,7
мм, дiаметром до 800 мм</v>
          </cell>
          <cell r="D1377" t="str">
            <v>100м2</v>
          </cell>
          <cell r="E1377">
            <v>0.57899999999999996</v>
          </cell>
          <cell r="F1377">
            <v>16345.39</v>
          </cell>
          <cell r="G1377">
            <v>9463.98</v>
          </cell>
        </row>
        <row r="1378">
          <cell r="B1378" t="str">
            <v>С130-1127</v>
          </cell>
          <cell r="C1378" t="str">
            <v>Повiтровод з оцинкованої сталi товщиною 0,
8 мм, круглого перерiзу, спирально-
навивний, дiаметр 630 мм</v>
          </cell>
          <cell r="D1378" t="str">
            <v>м2</v>
          </cell>
          <cell r="E1378">
            <v>53.44</v>
          </cell>
          <cell r="F1378">
            <v>569.19000000000005</v>
          </cell>
          <cell r="G1378">
            <v>30417.51</v>
          </cell>
        </row>
        <row r="1379">
          <cell r="B1379" t="str">
            <v>С130-1127</v>
          </cell>
          <cell r="C1379" t="str">
            <v>Повiтровод з оцинкованої сталi товщиною 0,
8 мм, круглого перерiзу, спирально-
навивний, дiаметр 710 мм</v>
          </cell>
          <cell r="D1379" t="str">
            <v>м2</v>
          </cell>
          <cell r="E1379">
            <v>4.46</v>
          </cell>
          <cell r="F1379">
            <v>569.19000000000005</v>
          </cell>
          <cell r="G1379">
            <v>2538.59</v>
          </cell>
        </row>
        <row r="1380">
          <cell r="B1380" t="str">
            <v>ЕН26-24-2</v>
          </cell>
          <cell r="C1380" t="str">
            <v>Iзоляцiя плоских поверхонь плитами
мiнераловатними</v>
          </cell>
          <cell r="D1380" t="str">
            <v>10 м2</v>
          </cell>
          <cell r="E1380">
            <v>12.5</v>
          </cell>
          <cell r="F1380">
            <v>732.57</v>
          </cell>
          <cell r="G1380">
            <v>9157.1299999999992</v>
          </cell>
        </row>
        <row r="1381">
          <cell r="B1381" t="str">
            <v>С114-35-1-О</v>
          </cell>
          <cell r="C1381" t="str">
            <v>Мінвата фольгована, товщ. 60мм</v>
          </cell>
          <cell r="D1381" t="str">
            <v>м3</v>
          </cell>
          <cell r="E1381">
            <v>7.5</v>
          </cell>
          <cell r="F1381">
            <v>2055.64</v>
          </cell>
          <cell r="G1381">
            <v>15417.3</v>
          </cell>
        </row>
        <row r="1382">
          <cell r="B1382" t="str">
            <v>С111-1650-К</v>
          </cell>
          <cell r="C1382" t="str">
            <v>Гвіздки самоклеючі</v>
          </cell>
          <cell r="D1382" t="str">
            <v>шт</v>
          </cell>
          <cell r="E1382">
            <v>350</v>
          </cell>
          <cell r="F1382">
            <v>4.6399999999999997</v>
          </cell>
          <cell r="G1382">
            <v>1624</v>
          </cell>
        </row>
        <row r="1383">
          <cell r="B1383" t="str">
            <v>ЕН26-24-2</v>
          </cell>
          <cell r="C1383" t="str">
            <v>Iзоляцiя плоских поверхонь плитами
мiнераловатними</v>
          </cell>
          <cell r="D1383" t="str">
            <v>10 м2</v>
          </cell>
          <cell r="E1383">
            <v>21</v>
          </cell>
          <cell r="F1383">
            <v>732.57</v>
          </cell>
          <cell r="G1383">
            <v>15383.97</v>
          </cell>
        </row>
        <row r="1384">
          <cell r="B1384" t="str">
            <v>С114-48-2</v>
          </cell>
          <cell r="C1384" t="str">
            <v>Ізоляція "Нобасил", товщ. 20мм</v>
          </cell>
          <cell r="D1384" t="str">
            <v>м2</v>
          </cell>
          <cell r="E1384">
            <v>210</v>
          </cell>
          <cell r="F1384">
            <v>61.52</v>
          </cell>
          <cell r="G1384">
            <v>12919.2</v>
          </cell>
        </row>
        <row r="1385">
          <cell r="B1385" t="str">
            <v>С1630-114</v>
          </cell>
          <cell r="C1385" t="str">
            <v>Сталь для крiплення повітропроводiв</v>
          </cell>
          <cell r="D1385" t="str">
            <v>кг</v>
          </cell>
          <cell r="E1385">
            <v>420</v>
          </cell>
          <cell r="F1385">
            <v>42.15</v>
          </cell>
          <cell r="G1385">
            <v>17703</v>
          </cell>
        </row>
        <row r="1386">
          <cell r="B1386" t="str">
            <v>С1630-522</v>
          </cell>
          <cell r="C1386" t="str">
            <v>Лючок для виміру параметрів повітря</v>
          </cell>
          <cell r="D1386" t="str">
            <v>шт</v>
          </cell>
          <cell r="E1386">
            <v>2</v>
          </cell>
          <cell r="F1386">
            <v>43.85</v>
          </cell>
          <cell r="G1386">
            <v>87.7</v>
          </cell>
        </row>
        <row r="1387">
          <cell r="B1387" t="str">
            <v>С1630-452</v>
          </cell>
          <cell r="C1387" t="str">
            <v>Дросель-клапани круглого перерізу з
ніпельним з'єднанням дiаметр  250 мм ДКН-
Ф250</v>
          </cell>
          <cell r="D1387" t="str">
            <v>шт</v>
          </cell>
          <cell r="E1387">
            <v>1</v>
          </cell>
          <cell r="F1387">
            <v>1373.12</v>
          </cell>
          <cell r="G1387">
            <v>1373.12</v>
          </cell>
        </row>
        <row r="1388">
          <cell r="B1388" t="str">
            <v>С1630-453</v>
          </cell>
          <cell r="C1388" t="str">
            <v>Дросель-клапани круглого перерізу з
ніпельним з'єднанням дiаметр  315 мм ДКН-
Ф315</v>
          </cell>
          <cell r="D1388" t="str">
            <v>шт</v>
          </cell>
          <cell r="E1388">
            <v>2</v>
          </cell>
          <cell r="F1388">
            <v>1531.98</v>
          </cell>
          <cell r="G1388">
            <v>3063.96</v>
          </cell>
        </row>
        <row r="1389">
          <cell r="B1389" t="str">
            <v>Е20-42-1</v>
          </cell>
          <cell r="C1389" t="str">
            <v>Установлення камер припливних типових
без секцiї зрошення продуктивнiстю до 10
тис.м3/год</v>
          </cell>
          <cell r="D1389" t="str">
            <v>камеpа</v>
          </cell>
          <cell r="E1389">
            <v>1</v>
          </cell>
          <cell r="F1389">
            <v>5325.72</v>
          </cell>
          <cell r="G1389">
            <v>5325.72</v>
          </cell>
        </row>
        <row r="1390">
          <cell r="B1390" t="str">
            <v>2308-4028-1-Ю</v>
          </cell>
          <cell r="C1390" t="str">
            <v>Припливно-витяжна установка правого
виконання, з дахом, з ніжками h=85 мм,
L=4025 м3/год, Рвілн.=500 Па, зовнішнього
виконання    комплект GS-4 "AEROSTAR"</v>
          </cell>
          <cell r="D1390" t="str">
            <v>шт</v>
          </cell>
          <cell r="E1390">
            <v>1</v>
          </cell>
          <cell r="F1390">
            <v>42564.75</v>
          </cell>
          <cell r="G1390">
            <v>42564.75</v>
          </cell>
        </row>
        <row r="1391">
          <cell r="B1391" t="str">
            <v>М8-102-1</v>
          </cell>
          <cell r="C1391" t="str">
            <v>Монтаж шафи керування або регулювання</v>
          </cell>
          <cell r="D1391" t="str">
            <v>шафа</v>
          </cell>
          <cell r="E1391">
            <v>1</v>
          </cell>
          <cell r="F1391">
            <v>2479.31</v>
          </cell>
          <cell r="G1391">
            <v>2479.31</v>
          </cell>
        </row>
        <row r="1392">
          <cell r="B1392" t="str">
            <v>2308-4027-2А</v>
          </cell>
          <cell r="C1392" t="str">
            <v>Комплект автоматики</v>
          </cell>
          <cell r="D1392" t="str">
            <v>шт</v>
          </cell>
          <cell r="E1392">
            <v>1</v>
          </cell>
          <cell r="F1392">
            <v>34299.75</v>
          </cell>
          <cell r="G1392">
            <v>34299.75</v>
          </cell>
        </row>
        <row r="1393">
          <cell r="B1393" t="str">
            <v>Е20-11-1</v>
          </cell>
          <cell r="C1393" t="str">
            <v>Установлення грат жалюзiйних площею у
просвiтi до 0,25 м2</v>
          </cell>
          <cell r="D1393" t="str">
            <v>грати</v>
          </cell>
          <cell r="E1393">
            <v>25</v>
          </cell>
          <cell r="F1393">
            <v>145.96</v>
          </cell>
          <cell r="G1393">
            <v>3649</v>
          </cell>
        </row>
        <row r="1394">
          <cell r="B1394" t="str">
            <v>С1630-725-1</v>
          </cell>
          <cell r="C1394" t="str">
            <v>Круглий дифузор, фіксовані кільця,
кріплення до регулятора, регулятор витрат
повітря, типорозмір 1 OD1/8-L2 розм. 1 IMP
Klima  Lindab</v>
          </cell>
          <cell r="D1394" t="str">
            <v>шт</v>
          </cell>
          <cell r="E1394">
            <v>2</v>
          </cell>
          <cell r="F1394">
            <v>2213.64</v>
          </cell>
          <cell r="G1394">
            <v>4427.28</v>
          </cell>
        </row>
        <row r="1395">
          <cell r="B1395" t="str">
            <v>С1630-725-1</v>
          </cell>
          <cell r="C1395" t="str">
            <v>Круглий дифузор, фіксовані кільця,
кріплення до регулятора, регулятор витрат
повітря, типорозмір 2 OD1/8-L2 розм. 2 IMP
Klima  Lindab</v>
          </cell>
          <cell r="D1395" t="str">
            <v>шт</v>
          </cell>
          <cell r="E1395">
            <v>18</v>
          </cell>
          <cell r="F1395">
            <v>2488.9699999999998</v>
          </cell>
          <cell r="G1395">
            <v>44801.46</v>
          </cell>
        </row>
        <row r="1396">
          <cell r="B1396" t="str">
            <v>С1630-725-1</v>
          </cell>
          <cell r="C1396" t="str">
            <v>Круглий дифузор, фіксовані кільця,
кріплення до регулятора, регулятор витрат
повітря, типорозмір 3 OD1/8-L2 розм. 3 IMP
Klima  Lindab</v>
          </cell>
          <cell r="D1396" t="str">
            <v>шт</v>
          </cell>
          <cell r="E1396">
            <v>5</v>
          </cell>
          <cell r="F1396">
            <v>2947.83</v>
          </cell>
          <cell r="G1396">
            <v>14739.15</v>
          </cell>
        </row>
        <row r="1397">
          <cell r="B1397" t="str">
            <v>Е20-3-7</v>
          </cell>
          <cell r="C1397" t="str">
            <v>Прокладання вузла проходу, дiаметром
500 мм</v>
          </cell>
          <cell r="D1397" t="str">
            <v>100м2</v>
          </cell>
          <cell r="E1397">
            <v>1.6800000000000002E-2</v>
          </cell>
          <cell r="F1397">
            <v>18538.12</v>
          </cell>
          <cell r="G1397">
            <v>311.44</v>
          </cell>
        </row>
        <row r="1398">
          <cell r="B1398" t="str">
            <v>С130-1127</v>
          </cell>
          <cell r="C1398" t="str">
            <v>Вузол проходу, дiаметр 500 мм УП1-05,
с.5.904-45</v>
          </cell>
          <cell r="D1398" t="str">
            <v>м2</v>
          </cell>
          <cell r="E1398">
            <v>1.6800000000000002</v>
          </cell>
          <cell r="F1398">
            <v>3962.63</v>
          </cell>
          <cell r="G1398">
            <v>6657.22</v>
          </cell>
        </row>
        <row r="1399">
          <cell r="B1399" t="str">
            <v>Е20-3-15</v>
          </cell>
          <cell r="C1399" t="str">
            <v>Прокладання повiтроводiв з оцинкованої
сталi класу Н [нормальнi] товщиною 0,9
мм, периметром 3700 мм, вiд 4100 до 4500
мм</v>
          </cell>
          <cell r="D1399" t="str">
            <v>100м2</v>
          </cell>
          <cell r="E1399">
            <v>7.7000000000000002E-3</v>
          </cell>
          <cell r="F1399">
            <v>13168.39</v>
          </cell>
          <cell r="G1399">
            <v>101.4</v>
          </cell>
        </row>
        <row r="1400">
          <cell r="B1400" t="str">
            <v>С130-1129</v>
          </cell>
          <cell r="C1400" t="str">
            <v>Перехід з оцинкованої сталi товщиною 1 мм,
розмiр 1720х450h/діам.500, L=300 мм</v>
          </cell>
          <cell r="D1400" t="str">
            <v>м2</v>
          </cell>
          <cell r="E1400">
            <v>0.77</v>
          </cell>
          <cell r="F1400">
            <v>703.67</v>
          </cell>
          <cell r="G1400">
            <v>541.83000000000004</v>
          </cell>
        </row>
        <row r="1401">
          <cell r="B1401" t="str">
            <v>Е20-3-1</v>
          </cell>
          <cell r="C1401" t="str">
            <v>Прокладання повiтроводiв з оцинкованої
сталi класу Н [нормальнi] товщиною 0,5
мм, дiаметром до 200 мм</v>
          </cell>
          <cell r="D1401" t="str">
            <v>100м2</v>
          </cell>
          <cell r="E1401">
            <v>0.2868</v>
          </cell>
          <cell r="F1401">
            <v>22487.91</v>
          </cell>
          <cell r="G1401">
            <v>6449.53</v>
          </cell>
        </row>
        <row r="1402">
          <cell r="B1402" t="str">
            <v>С130-1124</v>
          </cell>
          <cell r="C1402" t="str">
            <v>Повiтровод з оцинкованої сталi товщиною 0,
5 мм, круглого перерiзу, спирально-
навивний, дiаметр 100 мм</v>
          </cell>
          <cell r="D1402" t="str">
            <v>м2</v>
          </cell>
          <cell r="E1402">
            <v>0.63</v>
          </cell>
          <cell r="F1402">
            <v>673.89</v>
          </cell>
          <cell r="G1402">
            <v>424.55</v>
          </cell>
        </row>
        <row r="1403">
          <cell r="B1403" t="str">
            <v>С130-1124</v>
          </cell>
          <cell r="C1403" t="str">
            <v>Повiтровод з оцинкованої сталi товщиною 0,
5 мм, круглого перерiзу, спирально-
навивний, дiаметр 150 мм</v>
          </cell>
          <cell r="D1403" t="str">
            <v>м2</v>
          </cell>
          <cell r="E1403">
            <v>5.18</v>
          </cell>
          <cell r="F1403">
            <v>673.89</v>
          </cell>
          <cell r="G1403">
            <v>3490.75</v>
          </cell>
        </row>
        <row r="1404">
          <cell r="B1404" t="str">
            <v>С130-1124</v>
          </cell>
          <cell r="C1404" t="str">
            <v>Повiтровод з оцинкованої сталi товщиною 0,
5 мм, круглого перерiзу, спирально-
навивний, дiаметр 160 мм</v>
          </cell>
          <cell r="D1404" t="str">
            <v>м2</v>
          </cell>
          <cell r="E1404">
            <v>6.53</v>
          </cell>
          <cell r="F1404">
            <v>673.89</v>
          </cell>
          <cell r="G1404">
            <v>4400.5</v>
          </cell>
        </row>
        <row r="1405">
          <cell r="B1405" t="str">
            <v>С130-1124</v>
          </cell>
          <cell r="C1405" t="str">
            <v>Повiтровод з оцинкованої сталi товщиною 0,
5 мм, круглого перерiзу, спирально-
навивний, дiаметр 200 мм</v>
          </cell>
          <cell r="D1405" t="str">
            <v>м2</v>
          </cell>
          <cell r="E1405">
            <v>16.34</v>
          </cell>
          <cell r="F1405">
            <v>673.89</v>
          </cell>
          <cell r="G1405">
            <v>11011.36</v>
          </cell>
        </row>
        <row r="1406">
          <cell r="B1406" t="str">
            <v>Е20-3-7</v>
          </cell>
          <cell r="C1406" t="str">
            <v>Прокладання повiтроводiв з оцинкованої
сталi класу Н [нормальнi] товщиною 0,7
мм, дiаметром вiд 500 до 560 мм</v>
          </cell>
          <cell r="D1406" t="str">
            <v>100м2</v>
          </cell>
          <cell r="E1406">
            <v>0.12570000000000001</v>
          </cell>
          <cell r="F1406">
            <v>18538.12</v>
          </cell>
          <cell r="G1406">
            <v>2330.2399999999998</v>
          </cell>
        </row>
        <row r="1407">
          <cell r="B1407" t="str">
            <v>С130-1127</v>
          </cell>
          <cell r="C1407" t="str">
            <v>Повiтровод з оцинкованої сталi товщиною 0,
8 мм, круглого перерiзу, спирально-
навивний, дiаметр 500 мм</v>
          </cell>
          <cell r="D1407" t="str">
            <v>м2</v>
          </cell>
          <cell r="E1407">
            <v>12.57</v>
          </cell>
          <cell r="F1407">
            <v>569.19000000000005</v>
          </cell>
          <cell r="G1407">
            <v>7154.72</v>
          </cell>
        </row>
        <row r="1408">
          <cell r="B1408" t="str">
            <v>Е20-3-3</v>
          </cell>
          <cell r="C1408" t="str">
            <v>Прокладання повiтроводiв з оцинкованої
сталi класу Н [нормальнi] товщиною 0,5
мм, периметром 800, 1000 мм</v>
          </cell>
          <cell r="D1408" t="str">
            <v>100м2</v>
          </cell>
          <cell r="E1408">
            <v>0.112</v>
          </cell>
          <cell r="F1408">
            <v>21068.13</v>
          </cell>
          <cell r="G1408">
            <v>2359.63</v>
          </cell>
        </row>
        <row r="1409">
          <cell r="B1409" t="str">
            <v>С130-1125</v>
          </cell>
          <cell r="C1409" t="str">
            <v>Повiтроводї з оцинкованої сталi товщиною 0,
5 мм, прямокутного перерiзу, розмiр
200х150 мм</v>
          </cell>
          <cell r="D1409" t="str">
            <v>м2</v>
          </cell>
          <cell r="E1409">
            <v>1.4</v>
          </cell>
          <cell r="F1409">
            <v>701.36</v>
          </cell>
          <cell r="G1409">
            <v>981.9</v>
          </cell>
        </row>
        <row r="1410">
          <cell r="B1410" t="str">
            <v>С130-1125</v>
          </cell>
          <cell r="C1410" t="str">
            <v>Повiтроводї з оцинкованої сталi товщиною 0,
5 мм, прямокутного перерiзу, розмiр
250х200 мм</v>
          </cell>
          <cell r="D1410" t="str">
            <v>м2</v>
          </cell>
          <cell r="E1410">
            <v>1.8</v>
          </cell>
          <cell r="F1410">
            <v>701.36</v>
          </cell>
          <cell r="G1410">
            <v>1262.45</v>
          </cell>
        </row>
        <row r="1411">
          <cell r="B1411" t="str">
            <v>С130-1125</v>
          </cell>
          <cell r="C1411" t="str">
            <v>Повiтроводї з оцинкованої сталi товщиною 0,
7 мм, прямокутного перерiзу, розмiр
300х200 мм</v>
          </cell>
          <cell r="D1411" t="str">
            <v>м2</v>
          </cell>
          <cell r="E1411">
            <v>8</v>
          </cell>
          <cell r="F1411">
            <v>701.36</v>
          </cell>
          <cell r="G1411">
            <v>5610.88</v>
          </cell>
        </row>
        <row r="1412">
          <cell r="B1412" t="str">
            <v>Е20-3-10</v>
          </cell>
          <cell r="C1412" t="str">
            <v>Прокладання повiтроводiв з оцинкованої
сталi класу Н [нормальнi] товщиною 0,7
мм, периметром вiд 1100 до 1600 мм</v>
          </cell>
          <cell r="D1412" t="str">
            <v>100м2</v>
          </cell>
          <cell r="E1412">
            <v>0.628</v>
          </cell>
          <cell r="F1412">
            <v>18558.099999999999</v>
          </cell>
          <cell r="G1412">
            <v>11654.49</v>
          </cell>
        </row>
        <row r="1413">
          <cell r="B1413" t="str">
            <v>С130-1128</v>
          </cell>
          <cell r="C1413" t="str">
            <v>Повiтровід з оцинкованої сталi товщиною 0,
7 мм, прямокутного перерiзу, розмiр
300х250 мм</v>
          </cell>
          <cell r="D1413" t="str">
            <v>м2</v>
          </cell>
          <cell r="E1413">
            <v>9.9</v>
          </cell>
          <cell r="F1413">
            <v>746.4</v>
          </cell>
          <cell r="G1413">
            <v>7389.36</v>
          </cell>
        </row>
        <row r="1414">
          <cell r="B1414" t="str">
            <v>С130-1128</v>
          </cell>
          <cell r="C1414" t="str">
            <v>Повiтровід з оцинкованої сталi товщиною 0,
7 мм, прямокутного перерiзу, розмiр
400х250 мм</v>
          </cell>
          <cell r="D1414" t="str">
            <v>м2</v>
          </cell>
          <cell r="E1414">
            <v>16.899999999999999</v>
          </cell>
          <cell r="F1414">
            <v>746.4</v>
          </cell>
          <cell r="G1414">
            <v>12614.16</v>
          </cell>
        </row>
        <row r="1415">
          <cell r="B1415" t="str">
            <v>С130-1128</v>
          </cell>
          <cell r="C1415" t="str">
            <v>Повiтровід з оцинкованої сталi товщиною 0,
7 мм, прямокутного перерiзу, розмiр
500х250 мм</v>
          </cell>
          <cell r="D1415" t="str">
            <v>м2</v>
          </cell>
          <cell r="E1415">
            <v>36</v>
          </cell>
          <cell r="F1415">
            <v>746.4</v>
          </cell>
          <cell r="G1415">
            <v>26870.400000000001</v>
          </cell>
        </row>
        <row r="1416">
          <cell r="B1416" t="str">
            <v>Е20-3-11</v>
          </cell>
          <cell r="C1416" t="str">
            <v>Прокладання повiтроводiв з оцинкованої
сталi класу Н [нормальнi] товщиною 0,7
мм, периметром до 2400 мм</v>
          </cell>
          <cell r="D1416" t="str">
            <v>100м2</v>
          </cell>
          <cell r="E1416">
            <v>0.187</v>
          </cell>
          <cell r="F1416">
            <v>16347.67</v>
          </cell>
          <cell r="G1416">
            <v>3057.01</v>
          </cell>
        </row>
        <row r="1417">
          <cell r="B1417" t="str">
            <v>С130-1128</v>
          </cell>
          <cell r="C1417" t="str">
            <v>Повiтровід з оцинкованої сталi товщиною 0,
7 мм, прямокутного перерiзу, розмiр
600х250 мм</v>
          </cell>
          <cell r="D1417" t="str">
            <v>м2</v>
          </cell>
          <cell r="E1417">
            <v>5.0999999999999996</v>
          </cell>
          <cell r="F1417">
            <v>746.4</v>
          </cell>
          <cell r="G1417">
            <v>3806.64</v>
          </cell>
        </row>
        <row r="1418">
          <cell r="B1418" t="str">
            <v>С130-1128</v>
          </cell>
          <cell r="C1418" t="str">
            <v>Повiтровід з оцинкованої сталi товщиною 0,
8 мм, прямокутного перерiзу, розмiр
600х250 мм</v>
          </cell>
          <cell r="D1418" t="str">
            <v>м2</v>
          </cell>
          <cell r="E1418">
            <v>13.6</v>
          </cell>
          <cell r="F1418">
            <v>746.4</v>
          </cell>
          <cell r="G1418">
            <v>10151.040000000001</v>
          </cell>
        </row>
        <row r="1419">
          <cell r="B1419" t="str">
            <v>ЕН26-24-2</v>
          </cell>
          <cell r="C1419" t="str">
            <v>Iзоляцiя плоских поверхонь плитами
мiнераловатними</v>
          </cell>
          <cell r="D1419" t="str">
            <v>10 м2</v>
          </cell>
          <cell r="E1419">
            <v>1.5169999999999999</v>
          </cell>
          <cell r="F1419">
            <v>732.57</v>
          </cell>
          <cell r="G1419">
            <v>1111.31</v>
          </cell>
        </row>
        <row r="1420">
          <cell r="B1420" t="str">
            <v>С114-35-1-О</v>
          </cell>
          <cell r="C1420" t="str">
            <v>Мінвата фольгована, товщ. 60мм</v>
          </cell>
          <cell r="D1420" t="str">
            <v>м3</v>
          </cell>
          <cell r="E1420">
            <v>0.91</v>
          </cell>
          <cell r="F1420">
            <v>2055.64</v>
          </cell>
          <cell r="G1420">
            <v>1870.63</v>
          </cell>
        </row>
        <row r="1421">
          <cell r="B1421" t="str">
            <v>С111-1650-К</v>
          </cell>
          <cell r="C1421" t="str">
            <v>Гвіздки самоклеючі</v>
          </cell>
          <cell r="D1421" t="str">
            <v>шт</v>
          </cell>
          <cell r="E1421">
            <v>70</v>
          </cell>
          <cell r="F1421">
            <v>4.6399999999999997</v>
          </cell>
          <cell r="G1421">
            <v>324.8</v>
          </cell>
        </row>
        <row r="1422">
          <cell r="B1422" t="str">
            <v>С1630-114</v>
          </cell>
          <cell r="C1422" t="str">
            <v>Сталь для крiплення повітропроводiв</v>
          </cell>
          <cell r="D1422" t="str">
            <v>кг</v>
          </cell>
          <cell r="E1422">
            <v>200</v>
          </cell>
          <cell r="F1422">
            <v>42.15</v>
          </cell>
          <cell r="G1422">
            <v>8430</v>
          </cell>
        </row>
        <row r="1423">
          <cell r="B1423" t="str">
            <v>С1630-522</v>
          </cell>
          <cell r="C1423" t="str">
            <v>Лючок для виміру параметрів повітря</v>
          </cell>
          <cell r="D1423" t="str">
            <v>шт</v>
          </cell>
          <cell r="E1423">
            <v>1</v>
          </cell>
          <cell r="F1423">
            <v>43.85</v>
          </cell>
          <cell r="G1423">
            <v>43.85</v>
          </cell>
        </row>
        <row r="1424">
          <cell r="B1424" t="str">
            <v>С1630-451</v>
          </cell>
          <cell r="C1424" t="str">
            <v>Дросель-клапани круглого перерізу з
ніпельним з'єднанням дiаметр  100 мм ДКН-
ф100</v>
          </cell>
          <cell r="D1424" t="str">
            <v>шт</v>
          </cell>
          <cell r="E1424">
            <v>1</v>
          </cell>
          <cell r="F1424">
            <v>148.19999999999999</v>
          </cell>
          <cell r="G1424">
            <v>148.19999999999999</v>
          </cell>
        </row>
        <row r="1425">
          <cell r="B1425" t="str">
            <v>С1630-452</v>
          </cell>
          <cell r="C1425" t="str">
            <v>Дросель-клапани круглого перерізу з
ніпельним з'єднанням дiаметр  160 мм ДКН-
ф160</v>
          </cell>
          <cell r="D1425" t="str">
            <v>шт</v>
          </cell>
          <cell r="E1425">
            <v>3</v>
          </cell>
          <cell r="F1425">
            <v>230.68</v>
          </cell>
          <cell r="G1425">
            <v>692.04</v>
          </cell>
        </row>
        <row r="1426">
          <cell r="B1426" t="str">
            <v>С1630-453</v>
          </cell>
          <cell r="C1426" t="str">
            <v>Дросель-клапани круглого перерізу з
ніпельним з'єднанням дiаметр  200 мм ДКН-
ф200</v>
          </cell>
          <cell r="D1426" t="str">
            <v>шт</v>
          </cell>
          <cell r="E1426">
            <v>3</v>
          </cell>
          <cell r="F1426">
            <v>1240.8399999999999</v>
          </cell>
          <cell r="G1426">
            <v>3722.52</v>
          </cell>
        </row>
        <row r="1427">
          <cell r="B1427" t="str">
            <v>С1630-461</v>
          </cell>
          <cell r="C1427" t="str">
            <v>Дросель-клапан прямокутного перерізу з
фланцевим зєднанням розм. 200х150h ДКП-
200Х150</v>
          </cell>
          <cell r="D1427" t="str">
            <v>шт</v>
          </cell>
          <cell r="E1427">
            <v>1</v>
          </cell>
          <cell r="F1427">
            <v>1358.68</v>
          </cell>
          <cell r="G1427">
            <v>1358.68</v>
          </cell>
        </row>
        <row r="1428">
          <cell r="B1428" t="str">
            <v>С1630-461</v>
          </cell>
          <cell r="C1428" t="str">
            <v>Дросель-клапан прямокутного перерізу з
фланцевим зєднанням розм. 300х200h ДКП-
300Х200</v>
          </cell>
          <cell r="D1428" t="str">
            <v>шт</v>
          </cell>
          <cell r="E1428">
            <v>1</v>
          </cell>
          <cell r="F1428">
            <v>1635.57</v>
          </cell>
          <cell r="G1428">
            <v>1635.57</v>
          </cell>
        </row>
        <row r="1429">
          <cell r="B1429" t="str">
            <v>С1630-465</v>
          </cell>
          <cell r="C1429" t="str">
            <v>Дросель-клапан прямокутного перерізу з
фланцевим зєднанням розм. 500х250h ДКП-
500Х250</v>
          </cell>
          <cell r="D1429" t="str">
            <v>шт</v>
          </cell>
          <cell r="E1429">
            <v>1</v>
          </cell>
          <cell r="F1429">
            <v>1941.47</v>
          </cell>
          <cell r="G1429">
            <v>1941.47</v>
          </cell>
        </row>
        <row r="1430">
          <cell r="B1430" t="str">
            <v>Е20-32-1</v>
          </cell>
          <cell r="C1430" t="str">
            <v>Установлення вентиляторiв осьових
масою до 0,025 т</v>
          </cell>
          <cell r="D1430" t="str">
            <v>шт</v>
          </cell>
          <cell r="E1430">
            <v>1</v>
          </cell>
          <cell r="F1430">
            <v>438.24</v>
          </cell>
          <cell r="G1430">
            <v>438.24</v>
          </cell>
        </row>
        <row r="1431">
          <cell r="B1431" t="str">
            <v>С130-62-2</v>
          </cell>
          <cell r="C1431" t="str">
            <v>Вентилятор канальний L=270 м3/год, Р=160
Па, з електродвигуном N=0,072 кВт, n=2360
об/хв СК 125 С "OSTBERG" у комплекті з   
регулятором   швидкості VRS 0,5 U</v>
          </cell>
          <cell r="D1431" t="str">
            <v>шт</v>
          </cell>
          <cell r="E1431">
            <v>1</v>
          </cell>
          <cell r="F1431">
            <v>3787.26</v>
          </cell>
          <cell r="G1431">
            <v>3787.26</v>
          </cell>
        </row>
        <row r="1432">
          <cell r="B1432" t="str">
            <v>С113-1885</v>
          </cell>
          <cell r="C1432" t="str">
            <v>Швидкорознімний хомут, дiам. 125 мм, МК
125 "OSTBERG"</v>
          </cell>
          <cell r="D1432" t="str">
            <v>шт</v>
          </cell>
          <cell r="E1432">
            <v>2</v>
          </cell>
          <cell r="F1432">
            <v>191.23</v>
          </cell>
          <cell r="G1432">
            <v>382.46</v>
          </cell>
        </row>
        <row r="1433">
          <cell r="B1433" t="str">
            <v>Е20-13-1</v>
          </cell>
          <cell r="C1433" t="str">
            <v>Установлення клапанiв зворотних
дiаметром до 355 мм</v>
          </cell>
          <cell r="D1433" t="str">
            <v>клапан</v>
          </cell>
          <cell r="E1433">
            <v>1</v>
          </cell>
          <cell r="F1433">
            <v>158.96</v>
          </cell>
          <cell r="G1433">
            <v>158.96</v>
          </cell>
        </row>
        <row r="1434">
          <cell r="B1434" t="str">
            <v>С1630-1776</v>
          </cell>
          <cell r="C1434" t="str">
            <v>Зворотнiй клапан, дiаметр 125 мм, L=100 
RSK 125 "OSTBERG"</v>
          </cell>
          <cell r="D1434" t="str">
            <v>шт</v>
          </cell>
          <cell r="E1434">
            <v>1</v>
          </cell>
          <cell r="F1434">
            <v>652.5</v>
          </cell>
          <cell r="G1434">
            <v>652.5</v>
          </cell>
        </row>
        <row r="1435">
          <cell r="B1435" t="str">
            <v>Е20-3-1</v>
          </cell>
          <cell r="C1435" t="str">
            <v>Прокладання вузлу прохода, дiаметром до
200 мм</v>
          </cell>
          <cell r="D1435" t="str">
            <v>100м2</v>
          </cell>
          <cell r="E1435">
            <v>6.7000000000000002E-3</v>
          </cell>
          <cell r="F1435">
            <v>22487.91</v>
          </cell>
          <cell r="G1435">
            <v>150.66999999999999</v>
          </cell>
        </row>
        <row r="1436">
          <cell r="B1436" t="str">
            <v>С130-1127</v>
          </cell>
          <cell r="C1436" t="str">
            <v>Вузол проходу, дiаметр 200 мм УП1, с.5.904-
45</v>
          </cell>
          <cell r="D1436" t="str">
            <v>м2</v>
          </cell>
          <cell r="E1436">
            <v>0.67</v>
          </cell>
          <cell r="F1436">
            <v>2042.75</v>
          </cell>
          <cell r="G1436">
            <v>1368.64</v>
          </cell>
        </row>
        <row r="1437">
          <cell r="B1437" t="str">
            <v>Е20-18-1</v>
          </cell>
          <cell r="C1437" t="str">
            <v>Установлення над шахтами зонтiв iз
листової сталi круглого перерiзу
дiаметром 200 мм</v>
          </cell>
          <cell r="D1437" t="str">
            <v>зонт</v>
          </cell>
          <cell r="E1437">
            <v>1</v>
          </cell>
          <cell r="F1437">
            <v>45.87</v>
          </cell>
          <cell r="G1437">
            <v>45.87</v>
          </cell>
        </row>
        <row r="1438">
          <cell r="B1438" t="str">
            <v>С130-296</v>
          </cell>
          <cell r="C1438" t="str">
            <v>Зонт круглий, дiаметр 200 мм ЗК.00.000,
с.5.904-51</v>
          </cell>
          <cell r="D1438" t="str">
            <v>шт</v>
          </cell>
          <cell r="E1438">
            <v>1</v>
          </cell>
          <cell r="F1438">
            <v>409.35</v>
          </cell>
          <cell r="G1438">
            <v>409.35</v>
          </cell>
        </row>
        <row r="1439">
          <cell r="B1439" t="str">
            <v>Е20-11-1</v>
          </cell>
          <cell r="C1439" t="str">
            <v>Установлення грат жалюзiйних площею у
просвiтi до 0,25 м2</v>
          </cell>
          <cell r="D1439" t="str">
            <v>грати</v>
          </cell>
          <cell r="E1439">
            <v>2</v>
          </cell>
          <cell r="F1439">
            <v>145.96</v>
          </cell>
          <cell r="G1439">
            <v>291.92</v>
          </cell>
        </row>
        <row r="1440">
          <cell r="B1440" t="str">
            <v>С1630-725-1</v>
          </cell>
          <cell r="C1440" t="str">
            <v>Круглий дифузор, фіксовані кільця,
кріплення до регулятора, регулятор витрат
повітря, типорозмір 2 OD1/8-L2 розм. 2 IMP
Klima  Lindab</v>
          </cell>
          <cell r="D1440" t="str">
            <v>шт</v>
          </cell>
          <cell r="E1440">
            <v>2</v>
          </cell>
          <cell r="F1440">
            <v>2488.9699999999998</v>
          </cell>
          <cell r="G1440">
            <v>4977.9399999999996</v>
          </cell>
        </row>
        <row r="1441">
          <cell r="B1441" t="str">
            <v>Е20-3-1</v>
          </cell>
          <cell r="C1441" t="str">
            <v>Прокладання повiтроводiв з оцинкованої
сталi класу Н [нормальнi] товщиною 0,5
мм, дiаметром до 200 мм</v>
          </cell>
          <cell r="D1441" t="str">
            <v>100м2</v>
          </cell>
          <cell r="E1441">
            <v>7.3099999999999998E-2</v>
          </cell>
          <cell r="F1441">
            <v>22487.91</v>
          </cell>
          <cell r="G1441">
            <v>1643.87</v>
          </cell>
        </row>
        <row r="1442">
          <cell r="B1442" t="str">
            <v>С130-1124</v>
          </cell>
          <cell r="C1442" t="str">
            <v>Повiтровод з оцинкованої сталi товщиною 0,
5 мм, круглого перерiзу, спирально-
навивний, дiаметр 100 мм</v>
          </cell>
          <cell r="D1442" t="str">
            <v>м2</v>
          </cell>
          <cell r="E1442">
            <v>0.94</v>
          </cell>
          <cell r="F1442">
            <v>673.89</v>
          </cell>
          <cell r="G1442">
            <v>633.46</v>
          </cell>
        </row>
        <row r="1443">
          <cell r="B1443" t="str">
            <v>С130-1124</v>
          </cell>
          <cell r="C1443" t="str">
            <v>Повiтровод з оцинкованої сталi товщиною 0,
5 мм, круглого перерiзу, спирально-
навивний, дiаметр 125 мм</v>
          </cell>
          <cell r="D1443" t="str">
            <v>м2</v>
          </cell>
          <cell r="E1443">
            <v>2.36</v>
          </cell>
          <cell r="F1443">
            <v>673.89</v>
          </cell>
          <cell r="G1443">
            <v>1590.38</v>
          </cell>
        </row>
        <row r="1444">
          <cell r="B1444" t="str">
            <v>С130-1124</v>
          </cell>
          <cell r="C1444" t="str">
            <v>Повiтровод з оцинкованої сталi товщиною 0,
5 мм, круглого перерiзу, спирально-
навивний, дiаметр 200 мм</v>
          </cell>
          <cell r="D1444" t="str">
            <v>м2</v>
          </cell>
          <cell r="E1444">
            <v>1.26</v>
          </cell>
          <cell r="F1444">
            <v>673.89</v>
          </cell>
          <cell r="G1444">
            <v>849.1</v>
          </cell>
        </row>
        <row r="1445">
          <cell r="B1445" t="str">
            <v>С130-1124</v>
          </cell>
          <cell r="C1445" t="str">
            <v>Повiтровод з оцинкованої сталi товщиною 0,
8 мм, круглого перерiзу, спирально-
навивний, дiаметр 125 мм</v>
          </cell>
          <cell r="D1445" t="str">
            <v>м2</v>
          </cell>
          <cell r="E1445">
            <v>2.75</v>
          </cell>
          <cell r="F1445">
            <v>673.89</v>
          </cell>
          <cell r="G1445">
            <v>1853.2</v>
          </cell>
        </row>
        <row r="1446">
          <cell r="B1446" t="str">
            <v>С1630-114</v>
          </cell>
          <cell r="C1446" t="str">
            <v>Сталь для крiплення повітропроводiв</v>
          </cell>
          <cell r="D1446" t="str">
            <v>кг</v>
          </cell>
          <cell r="E1446">
            <v>20</v>
          </cell>
          <cell r="F1446">
            <v>42.15</v>
          </cell>
          <cell r="G1446">
            <v>843</v>
          </cell>
        </row>
        <row r="1447">
          <cell r="B1447" t="str">
            <v>С1630-522</v>
          </cell>
          <cell r="C1447" t="str">
            <v>Лючок для виміру параметрів повітря</v>
          </cell>
          <cell r="D1447" t="str">
            <v>шт</v>
          </cell>
          <cell r="E1447">
            <v>2</v>
          </cell>
          <cell r="F1447">
            <v>43.85</v>
          </cell>
          <cell r="G1447">
            <v>87.7</v>
          </cell>
        </row>
        <row r="1448">
          <cell r="B1448" t="str">
            <v>Е20-32-1</v>
          </cell>
          <cell r="C1448" t="str">
            <v>Установлення вентиляторiв осьових
масою до 0,025 т</v>
          </cell>
          <cell r="D1448" t="str">
            <v>шт</v>
          </cell>
          <cell r="E1448">
            <v>1</v>
          </cell>
          <cell r="F1448">
            <v>438.24</v>
          </cell>
          <cell r="G1448">
            <v>438.24</v>
          </cell>
        </row>
        <row r="1449">
          <cell r="B1449" t="str">
            <v>С130-62-2</v>
          </cell>
          <cell r="C1449" t="str">
            <v>Вентилятор канальний L=980 м3/год, Р=340
Па, з електродвигуном N=0,284 кВт, n=2370
об/хв СК 315 С "OSTBERG" у комплекті з    
регулятором   швидкості VRS 2,0 U</v>
          </cell>
          <cell r="D1449" t="str">
            <v>шт</v>
          </cell>
          <cell r="E1449">
            <v>1</v>
          </cell>
          <cell r="F1449">
            <v>8987.83</v>
          </cell>
          <cell r="G1449">
            <v>8987.83</v>
          </cell>
        </row>
        <row r="1450">
          <cell r="B1450" t="str">
            <v>С113-1885</v>
          </cell>
          <cell r="C1450" t="str">
            <v>Швидкорознімний хомут, дiам. 315 мм, МК
315 "OSTBERG"</v>
          </cell>
          <cell r="D1450" t="str">
            <v>шт</v>
          </cell>
          <cell r="E1450">
            <v>2</v>
          </cell>
          <cell r="F1450">
            <v>382.44</v>
          </cell>
          <cell r="G1450">
            <v>764.88</v>
          </cell>
        </row>
        <row r="1451">
          <cell r="B1451" t="str">
            <v>Е20-13-1</v>
          </cell>
          <cell r="C1451" t="str">
            <v>Установлення клапанiв зворотних
дiаметром до 355 мм</v>
          </cell>
          <cell r="D1451" t="str">
            <v>клапан</v>
          </cell>
          <cell r="E1451">
            <v>1</v>
          </cell>
          <cell r="F1451">
            <v>158.96</v>
          </cell>
          <cell r="G1451">
            <v>158.96</v>
          </cell>
        </row>
        <row r="1452">
          <cell r="B1452" t="str">
            <v>С1630-1776</v>
          </cell>
          <cell r="C1452" t="str">
            <v>Зворотнiй клапан, дiаметр 250 мм, L=140 
RSK 250 "OSTBERG"</v>
          </cell>
          <cell r="D1452" t="str">
            <v>шт</v>
          </cell>
          <cell r="E1452">
            <v>1</v>
          </cell>
          <cell r="F1452">
            <v>1226.0899999999999</v>
          </cell>
          <cell r="G1452">
            <v>1226.0899999999999</v>
          </cell>
        </row>
        <row r="1453">
          <cell r="B1453" t="str">
            <v>Е20-3-4</v>
          </cell>
          <cell r="C1453" t="str">
            <v>Прокладання вузлу прохода, дiаметром до
250 мм</v>
          </cell>
          <cell r="D1453" t="str">
            <v>100м2</v>
          </cell>
          <cell r="E1453">
            <v>8.3999999999999995E-3</v>
          </cell>
          <cell r="F1453">
            <v>22485.62</v>
          </cell>
          <cell r="G1453">
            <v>188.88</v>
          </cell>
        </row>
        <row r="1454">
          <cell r="B1454" t="str">
            <v>С130-1127</v>
          </cell>
          <cell r="C1454" t="str">
            <v>Вузол проходу, дiаметр 250 мм УП1-01,
с.5.904-45</v>
          </cell>
          <cell r="D1454" t="str">
            <v>м2</v>
          </cell>
          <cell r="E1454">
            <v>0.84</v>
          </cell>
          <cell r="F1454">
            <v>2233.9299999999998</v>
          </cell>
          <cell r="G1454">
            <v>1876.5</v>
          </cell>
        </row>
        <row r="1455">
          <cell r="B1455" t="str">
            <v>Е20-18-2</v>
          </cell>
          <cell r="C1455" t="str">
            <v>Установлення над шахтами зонтiв iз
листової сталi круглого перерiзу
дiаметром 250 мм</v>
          </cell>
          <cell r="D1455" t="str">
            <v>зонт</v>
          </cell>
          <cell r="E1455">
            <v>1</v>
          </cell>
          <cell r="F1455">
            <v>45.87</v>
          </cell>
          <cell r="G1455">
            <v>45.87</v>
          </cell>
        </row>
        <row r="1456">
          <cell r="B1456" t="str">
            <v>С130-297</v>
          </cell>
          <cell r="C1456" t="str">
            <v>Зонт круглий, дiаметр 250 мм ЗК.00.000-01,
с.5.904-51</v>
          </cell>
          <cell r="D1456" t="str">
            <v>шт</v>
          </cell>
          <cell r="E1456">
            <v>1</v>
          </cell>
          <cell r="F1456">
            <v>433.36</v>
          </cell>
          <cell r="G1456">
            <v>433.36</v>
          </cell>
        </row>
        <row r="1457">
          <cell r="B1457" t="str">
            <v>Е20-11-1</v>
          </cell>
          <cell r="C1457" t="str">
            <v>Установлення грат жалюзiйних площею у
просвiтi до 0,25 м2</v>
          </cell>
          <cell r="D1457" t="str">
            <v>грати</v>
          </cell>
          <cell r="E1457">
            <v>6</v>
          </cell>
          <cell r="F1457">
            <v>145.96</v>
          </cell>
          <cell r="G1457">
            <v>875.76</v>
          </cell>
        </row>
        <row r="1458">
          <cell r="B1458" t="str">
            <v>С1630-725-1</v>
          </cell>
          <cell r="C1458" t="str">
            <v>Круглий дифузор, фіксовані кільця,
кріплення до регулятора, регулятор витрат
повітря, типорозмір 1 OD1/8-L2 розм. 1 IMP
Klima  Lindab</v>
          </cell>
          <cell r="D1458" t="str">
            <v>шт</v>
          </cell>
          <cell r="E1458">
            <v>2</v>
          </cell>
          <cell r="F1458">
            <v>2213.64</v>
          </cell>
          <cell r="G1458">
            <v>4427.28</v>
          </cell>
        </row>
        <row r="1459">
          <cell r="B1459" t="str">
            <v>С1630-725-1</v>
          </cell>
          <cell r="C1459" t="str">
            <v>Круглий дифузор, фіксовані кільця,
кріплення до регулятора, регулятор витрат
повітря, типорозмір 3 OD1/8-L2 розм. 3 IMP
Klima  Lindab</v>
          </cell>
          <cell r="D1459" t="str">
            <v>шт</v>
          </cell>
          <cell r="E1459">
            <v>4</v>
          </cell>
          <cell r="F1459">
            <v>2947.83</v>
          </cell>
          <cell r="G1459">
            <v>11791.32</v>
          </cell>
        </row>
        <row r="1460">
          <cell r="B1460" t="str">
            <v>Е20-3-1</v>
          </cell>
          <cell r="C1460" t="str">
            <v>Прокладання повiтроводiв з оцинкованої
сталi класу Н [нормальнi] товщиною 0,5
мм, дiаметром до 200 мм</v>
          </cell>
          <cell r="D1460" t="str">
            <v>100м2</v>
          </cell>
          <cell r="E1460">
            <v>5.9000000000000004E-2</v>
          </cell>
          <cell r="F1460">
            <v>22487.91</v>
          </cell>
          <cell r="G1460">
            <v>1326.79</v>
          </cell>
        </row>
        <row r="1461">
          <cell r="B1461" t="str">
            <v>С130-1124</v>
          </cell>
          <cell r="C1461" t="str">
            <v>Повiтровод з оцинкованої сталi товщиною 0,
5 мм, круглого перерiзу, спирально-
навивний, дiаметр 100 мм</v>
          </cell>
          <cell r="D1461" t="str">
            <v>м2</v>
          </cell>
          <cell r="E1461">
            <v>1.88</v>
          </cell>
          <cell r="F1461">
            <v>673.89</v>
          </cell>
          <cell r="G1461">
            <v>1266.9100000000001</v>
          </cell>
        </row>
        <row r="1462">
          <cell r="B1462" t="str">
            <v>С130-1124</v>
          </cell>
          <cell r="C1462" t="str">
            <v>Повiтровод з оцинкованої сталi товщиною 0,
5 мм, круглого перерiзу, спирально-
навивний, дiаметр 125 мм</v>
          </cell>
          <cell r="D1462" t="str">
            <v>м2</v>
          </cell>
          <cell r="E1462">
            <v>1.57</v>
          </cell>
          <cell r="F1462">
            <v>673.89</v>
          </cell>
          <cell r="G1462">
            <v>1058.01</v>
          </cell>
        </row>
        <row r="1463">
          <cell r="B1463" t="str">
            <v>С130-1124</v>
          </cell>
          <cell r="C1463" t="str">
            <v>Повiтровод з оцинкованої сталi товщиною 0,
5 мм, круглого перерiзу, спирально-
навивний, дiаметр 180 мм</v>
          </cell>
          <cell r="D1463" t="str">
            <v>м2</v>
          </cell>
          <cell r="E1463">
            <v>0.57000000000000006</v>
          </cell>
          <cell r="F1463">
            <v>673.89</v>
          </cell>
          <cell r="G1463">
            <v>384.12</v>
          </cell>
        </row>
        <row r="1464">
          <cell r="B1464" t="str">
            <v>С130-1124</v>
          </cell>
          <cell r="C1464" t="str">
            <v>Повiтровод з оцинкованої сталi товщиною 0,
5 мм, круглого перерiзу, спирально-
навивний, дiаметр 200 мм</v>
          </cell>
          <cell r="D1464" t="str">
            <v>м2</v>
          </cell>
          <cell r="E1464">
            <v>1.88</v>
          </cell>
          <cell r="F1464">
            <v>673.89</v>
          </cell>
          <cell r="G1464">
            <v>1266.9100000000001</v>
          </cell>
        </row>
        <row r="1465">
          <cell r="B1465" t="str">
            <v>Е20-3-4</v>
          </cell>
          <cell r="C1465" t="str">
            <v>Прокладання повiтроводiв з оцинкованої
сталi класу Н [нормальнi] товщиною 0,6
мм, дiаметром до 250 мм</v>
          </cell>
          <cell r="D1465" t="str">
            <v>100м2</v>
          </cell>
          <cell r="E1465">
            <v>0.157</v>
          </cell>
          <cell r="F1465">
            <v>22485.62</v>
          </cell>
          <cell r="G1465">
            <v>3530.24</v>
          </cell>
        </row>
        <row r="1466">
          <cell r="B1466" t="str">
            <v>С130-1126</v>
          </cell>
          <cell r="C1466" t="str">
            <v>Повiтровод з оцинкованої сталi товщиною 0,
6 мм, круглого перерiзу, спирально-
навивний, дiаметр 250 мм</v>
          </cell>
          <cell r="D1466" t="str">
            <v>м2</v>
          </cell>
          <cell r="E1466">
            <v>9.42</v>
          </cell>
          <cell r="F1466">
            <v>605.17999999999995</v>
          </cell>
          <cell r="G1466">
            <v>5700.8</v>
          </cell>
        </row>
        <row r="1467">
          <cell r="B1467" t="str">
            <v>С130-1126</v>
          </cell>
          <cell r="C1467" t="str">
            <v>Повiтровод з оцинкованої сталi товщиною 0,
8 мм, круглого перерiзу, спирально-
навивний, дiаметр 250 мм</v>
          </cell>
          <cell r="D1467" t="str">
            <v>м2</v>
          </cell>
          <cell r="E1467">
            <v>6.28</v>
          </cell>
          <cell r="F1467">
            <v>605.17999999999995</v>
          </cell>
          <cell r="G1467">
            <v>3800.53</v>
          </cell>
        </row>
        <row r="1468">
          <cell r="B1468" t="str">
            <v>С1630-114</v>
          </cell>
          <cell r="C1468" t="str">
            <v>Сталь для крiплення повітропроводiв</v>
          </cell>
          <cell r="D1468" t="str">
            <v>кг</v>
          </cell>
          <cell r="E1468">
            <v>35</v>
          </cell>
          <cell r="F1468">
            <v>42.15</v>
          </cell>
          <cell r="G1468">
            <v>1475.25</v>
          </cell>
        </row>
        <row r="1469">
          <cell r="B1469" t="str">
            <v>С1630-522</v>
          </cell>
          <cell r="C1469" t="str">
            <v>Лючок для виміру параметрів повітря</v>
          </cell>
          <cell r="D1469" t="str">
            <v>шт</v>
          </cell>
          <cell r="E1469">
            <v>2</v>
          </cell>
          <cell r="F1469">
            <v>43.85</v>
          </cell>
          <cell r="G1469">
            <v>87.7</v>
          </cell>
        </row>
        <row r="1470">
          <cell r="B1470" t="str">
            <v>Е20-32-1</v>
          </cell>
          <cell r="C1470" t="str">
            <v>Установлення вентиляторiв осьових
масою до 0,025 т</v>
          </cell>
          <cell r="D1470" t="str">
            <v>шт</v>
          </cell>
          <cell r="E1470">
            <v>1</v>
          </cell>
          <cell r="F1470">
            <v>438.24</v>
          </cell>
          <cell r="G1470">
            <v>438.24</v>
          </cell>
        </row>
        <row r="1471">
          <cell r="B1471" t="str">
            <v>С130-62-2</v>
          </cell>
          <cell r="C1471" t="str">
            <v>Вентилятор канальний L=210 м3/год, Р=180
Па, з електродвигуном N=0,072 кВт, n=2360
об/хв СК 125 С "OSTBERG" у комплекті з     
регулятором   швидкості VRS 0,5 U</v>
          </cell>
          <cell r="D1471" t="str">
            <v>шт</v>
          </cell>
          <cell r="E1471">
            <v>1</v>
          </cell>
          <cell r="F1471">
            <v>3901.97</v>
          </cell>
          <cell r="G1471">
            <v>3901.97</v>
          </cell>
        </row>
        <row r="1472">
          <cell r="B1472" t="str">
            <v>С113-1885</v>
          </cell>
          <cell r="C1472" t="str">
            <v>Швидкорознімний хомут, дiам. 125 мм, МК
125 "OSTBERG"</v>
          </cell>
          <cell r="D1472" t="str">
            <v>шт</v>
          </cell>
          <cell r="E1472">
            <v>2</v>
          </cell>
          <cell r="F1472">
            <v>191.23</v>
          </cell>
          <cell r="G1472">
            <v>382.46</v>
          </cell>
        </row>
        <row r="1473">
          <cell r="B1473" t="str">
            <v>Е20-13-1</v>
          </cell>
          <cell r="C1473" t="str">
            <v>Установлення клапанiв зворотних
дiаметром до 355 мм</v>
          </cell>
          <cell r="D1473" t="str">
            <v>клапан</v>
          </cell>
          <cell r="E1473">
            <v>1</v>
          </cell>
          <cell r="F1473">
            <v>158.96</v>
          </cell>
          <cell r="G1473">
            <v>158.96</v>
          </cell>
        </row>
        <row r="1474">
          <cell r="B1474" t="str">
            <v>С1630-1776</v>
          </cell>
          <cell r="C1474" t="str">
            <v>Зворотнiй клапан, дiаметр 125 мм, L=100 
RSK 125 "OSTBERG"</v>
          </cell>
          <cell r="D1474" t="str">
            <v>шт</v>
          </cell>
          <cell r="E1474">
            <v>1</v>
          </cell>
          <cell r="F1474">
            <v>652.5</v>
          </cell>
          <cell r="G1474">
            <v>652.5</v>
          </cell>
        </row>
        <row r="1475">
          <cell r="B1475" t="str">
            <v>Е20-3-1</v>
          </cell>
          <cell r="C1475" t="str">
            <v>Прокладання вузлу прохода, дiаметром до
200 мм</v>
          </cell>
          <cell r="D1475" t="str">
            <v>100м2</v>
          </cell>
          <cell r="E1475">
            <v>8.3999999999999995E-3</v>
          </cell>
          <cell r="F1475">
            <v>22487.91</v>
          </cell>
          <cell r="G1475">
            <v>188.9</v>
          </cell>
        </row>
        <row r="1476">
          <cell r="B1476" t="str">
            <v>С130-1127</v>
          </cell>
          <cell r="C1476" t="str">
            <v>Вузол проходу, дiаметр 200 мм УП1, с.5.904-
45</v>
          </cell>
          <cell r="D1476" t="str">
            <v>м2</v>
          </cell>
          <cell r="E1476">
            <v>0.84</v>
          </cell>
          <cell r="F1476">
            <v>2042.75</v>
          </cell>
          <cell r="G1476">
            <v>1715.91</v>
          </cell>
        </row>
        <row r="1477">
          <cell r="B1477" t="str">
            <v>Е20-18-1</v>
          </cell>
          <cell r="C1477" t="str">
            <v>Установлення над шахтами зонтiв iз
листової сталi круглого перерiзу
дiаметром 200 мм</v>
          </cell>
          <cell r="D1477" t="str">
            <v>зонт</v>
          </cell>
          <cell r="E1477">
            <v>1</v>
          </cell>
          <cell r="F1477">
            <v>45.87</v>
          </cell>
          <cell r="G1477">
            <v>45.87</v>
          </cell>
        </row>
        <row r="1478">
          <cell r="B1478" t="str">
            <v>С130-296</v>
          </cell>
          <cell r="C1478" t="str">
            <v>Зонт круглий, дiаметр 200 мм ЗК.00.000,
с.5.904-51</v>
          </cell>
          <cell r="D1478" t="str">
            <v>шт</v>
          </cell>
          <cell r="E1478">
            <v>1</v>
          </cell>
          <cell r="F1478">
            <v>409.35</v>
          </cell>
          <cell r="G1478">
            <v>409.35</v>
          </cell>
        </row>
        <row r="1479">
          <cell r="B1479" t="str">
            <v>Е20-11-1</v>
          </cell>
          <cell r="C1479" t="str">
            <v>Установлення грат жалюзiйних площею у
просвiтi до 0,25 м2</v>
          </cell>
          <cell r="D1479" t="str">
            <v>грати</v>
          </cell>
          <cell r="E1479">
            <v>2</v>
          </cell>
          <cell r="F1479">
            <v>145.96</v>
          </cell>
          <cell r="G1479">
            <v>291.92</v>
          </cell>
        </row>
        <row r="1480">
          <cell r="B1480" t="str">
            <v>С1630-725-1</v>
          </cell>
          <cell r="C1480" t="str">
            <v>Круглий дифузор, фіксовані кільця,
кріплення до регулятора, регулятор витрат
повітря, типорозмір 2 OD1/8-L2 розм. 2 IMP
Klima  Lindab</v>
          </cell>
          <cell r="D1480" t="str">
            <v>шт</v>
          </cell>
          <cell r="E1480">
            <v>2</v>
          </cell>
          <cell r="F1480">
            <v>2488.9699999999998</v>
          </cell>
          <cell r="G1480">
            <v>4977.9399999999996</v>
          </cell>
        </row>
        <row r="1481">
          <cell r="B1481" t="str">
            <v>Е20-3-1</v>
          </cell>
          <cell r="C1481" t="str">
            <v>Прокладання повiтроводiв з оцинкованої
сталi класу Н [нормальнi] товщиною 0,5
мм, дiаметром до 200 мм</v>
          </cell>
          <cell r="D1481" t="str">
            <v>100м2</v>
          </cell>
          <cell r="E1481">
            <v>9.8100000000000007E-2</v>
          </cell>
          <cell r="F1481">
            <v>22487.91</v>
          </cell>
          <cell r="G1481">
            <v>2206.06</v>
          </cell>
        </row>
        <row r="1482">
          <cell r="B1482" t="str">
            <v>С130-1124</v>
          </cell>
          <cell r="C1482" t="str">
            <v>Повiтровод з оцинкованої сталi товщиною 0,
5 мм, круглого перерiзу, спирально-
навивний, дiаметр 100 мм</v>
          </cell>
          <cell r="D1482" t="str">
            <v>м2</v>
          </cell>
          <cell r="E1482">
            <v>1.88</v>
          </cell>
          <cell r="F1482">
            <v>673.89</v>
          </cell>
          <cell r="G1482">
            <v>1266.9100000000001</v>
          </cell>
        </row>
        <row r="1483">
          <cell r="B1483" t="str">
            <v>С130-1124</v>
          </cell>
          <cell r="C1483" t="str">
            <v>Повiтровод з оцинкованої сталi товщиною 0,
5 мм, круглого перерiзу, спирально-
навивний, дiаметр 125 мм</v>
          </cell>
          <cell r="D1483" t="str">
            <v>м2</v>
          </cell>
          <cell r="E1483">
            <v>3.53</v>
          </cell>
          <cell r="F1483">
            <v>673.89</v>
          </cell>
          <cell r="G1483">
            <v>2378.83</v>
          </cell>
        </row>
        <row r="1484">
          <cell r="B1484" t="str">
            <v>С130-1124</v>
          </cell>
          <cell r="C1484" t="str">
            <v>Повiтровод з оцинкованої сталi товщиною 0,
5 мм, круглого перерiзу, спирально-
навивний, дiаметр 200 мм</v>
          </cell>
          <cell r="D1484" t="str">
            <v>м2</v>
          </cell>
          <cell r="E1484">
            <v>1.26</v>
          </cell>
          <cell r="F1484">
            <v>673.89</v>
          </cell>
          <cell r="G1484">
            <v>849.1</v>
          </cell>
        </row>
        <row r="1485">
          <cell r="B1485" t="str">
            <v>С130-1124</v>
          </cell>
          <cell r="C1485" t="str">
            <v>Повiтровод з оцинкованої сталi товщиною 0,
8 мм, круглого перерiзу, спирально-
навивний, дiаметр 125 мм</v>
          </cell>
          <cell r="D1485" t="str">
            <v>м2</v>
          </cell>
          <cell r="E1485">
            <v>3.14</v>
          </cell>
          <cell r="F1485">
            <v>673.89</v>
          </cell>
          <cell r="G1485">
            <v>2116.0100000000002</v>
          </cell>
        </row>
        <row r="1486">
          <cell r="B1486" t="str">
            <v>С1630-114</v>
          </cell>
          <cell r="C1486" t="str">
            <v>Сталь для крiплення повітропроводiв</v>
          </cell>
          <cell r="D1486" t="str">
            <v>кг</v>
          </cell>
          <cell r="E1486">
            <v>40</v>
          </cell>
          <cell r="F1486">
            <v>42.15</v>
          </cell>
          <cell r="G1486">
            <v>1686</v>
          </cell>
        </row>
        <row r="1487">
          <cell r="B1487" t="str">
            <v>С1630-522</v>
          </cell>
          <cell r="C1487" t="str">
            <v>Лючок для виміру параметрів повітря</v>
          </cell>
          <cell r="D1487" t="str">
            <v>шт</v>
          </cell>
          <cell r="E1487">
            <v>2</v>
          </cell>
          <cell r="F1487">
            <v>43.85</v>
          </cell>
          <cell r="G1487">
            <v>87.7</v>
          </cell>
        </row>
        <row r="1488">
          <cell r="B1488" t="str">
            <v>Е20-32-1</v>
          </cell>
          <cell r="C1488" t="str">
            <v>Установлення вентиляторiв осьових
масою до 0,025 т</v>
          </cell>
          <cell r="D1488" t="str">
            <v>шт</v>
          </cell>
          <cell r="E1488">
            <v>1</v>
          </cell>
          <cell r="F1488">
            <v>438.24</v>
          </cell>
          <cell r="G1488">
            <v>438.24</v>
          </cell>
        </row>
        <row r="1489">
          <cell r="B1489" t="str">
            <v>С130-62-2</v>
          </cell>
          <cell r="C1489" t="str">
            <v>Вентилятор канальний L=650 м3/год, Р=300
Па, з електродвигуном N=0,158 кВт, n=2500
об/хв СК 200 С "OSTBERG" у комплекті з 
регулятором швидкості VRS 1,0 U</v>
          </cell>
          <cell r="D1489" t="str">
            <v>шт</v>
          </cell>
          <cell r="E1489">
            <v>1</v>
          </cell>
          <cell r="F1489">
            <v>6043.37</v>
          </cell>
          <cell r="G1489">
            <v>6043.37</v>
          </cell>
        </row>
        <row r="1490">
          <cell r="B1490" t="str">
            <v>С113-1885</v>
          </cell>
          <cell r="C1490" t="str">
            <v>Швидкорознімний хомут, дiам. 200 мм, МК
200 "OSTBERG"</v>
          </cell>
          <cell r="D1490" t="str">
            <v>шт</v>
          </cell>
          <cell r="E1490">
            <v>2</v>
          </cell>
          <cell r="F1490">
            <v>267.73</v>
          </cell>
          <cell r="G1490">
            <v>535.46</v>
          </cell>
        </row>
        <row r="1491">
          <cell r="B1491" t="str">
            <v>Е20-13-1</v>
          </cell>
          <cell r="C1491" t="str">
            <v>Установлення клапанiв зворотних
дiаметром до 355 мм</v>
          </cell>
          <cell r="D1491" t="str">
            <v>клапан</v>
          </cell>
          <cell r="E1491">
            <v>1</v>
          </cell>
          <cell r="F1491">
            <v>158.96</v>
          </cell>
          <cell r="G1491">
            <v>158.96</v>
          </cell>
        </row>
        <row r="1492">
          <cell r="B1492" t="str">
            <v>С1630-1776</v>
          </cell>
          <cell r="C1492" t="str">
            <v>Зворотнiй клапан, дiаметр 200 мм, L=140 
RSK 200 "OSTBERG"</v>
          </cell>
          <cell r="D1492" t="str">
            <v>шт</v>
          </cell>
          <cell r="E1492">
            <v>1</v>
          </cell>
          <cell r="F1492">
            <v>843.7</v>
          </cell>
          <cell r="G1492">
            <v>843.7</v>
          </cell>
        </row>
        <row r="1493">
          <cell r="B1493" t="str">
            <v>Е20-3-1</v>
          </cell>
          <cell r="C1493" t="str">
            <v>Прокладання вузлу прохода, дiаметром до
200 мм</v>
          </cell>
          <cell r="D1493" t="str">
            <v>100м2</v>
          </cell>
          <cell r="E1493">
            <v>8.3999999999999995E-3</v>
          </cell>
          <cell r="F1493">
            <v>22487.91</v>
          </cell>
          <cell r="G1493">
            <v>188.9</v>
          </cell>
        </row>
        <row r="1494">
          <cell r="B1494" t="str">
            <v>С130-1127</v>
          </cell>
          <cell r="C1494" t="str">
            <v>Вузол проходу, дiаметр 200 мм УП1, с.5.904-
45</v>
          </cell>
          <cell r="D1494" t="str">
            <v>м2</v>
          </cell>
          <cell r="E1494">
            <v>0.84</v>
          </cell>
          <cell r="F1494">
            <v>2042.75</v>
          </cell>
          <cell r="G1494">
            <v>1715.91</v>
          </cell>
        </row>
        <row r="1495">
          <cell r="B1495" t="str">
            <v>Е20-18-1</v>
          </cell>
          <cell r="C1495" t="str">
            <v>Установлення над шахтами зонтiв iз
листової сталi круглого перерiзу
дiаметром 200 мм</v>
          </cell>
          <cell r="D1495" t="str">
            <v>зонт</v>
          </cell>
          <cell r="E1495">
            <v>1</v>
          </cell>
          <cell r="F1495">
            <v>45.87</v>
          </cell>
          <cell r="G1495">
            <v>45.87</v>
          </cell>
        </row>
        <row r="1496">
          <cell r="B1496" t="str">
            <v>С130-296</v>
          </cell>
          <cell r="C1496" t="str">
            <v>Зонт круглий, дiаметр 200 мм ЗК.00.000,
с.5.904-51</v>
          </cell>
          <cell r="D1496" t="str">
            <v>шт</v>
          </cell>
          <cell r="E1496">
            <v>1</v>
          </cell>
          <cell r="F1496">
            <v>409.35</v>
          </cell>
          <cell r="G1496">
            <v>409.35</v>
          </cell>
        </row>
        <row r="1497">
          <cell r="B1497" t="str">
            <v>Е20-11-1</v>
          </cell>
          <cell r="C1497" t="str">
            <v>Установлення грат жалюзiйних площею у
просвiтi до 0,25 м2</v>
          </cell>
          <cell r="D1497" t="str">
            <v>грати</v>
          </cell>
          <cell r="E1497">
            <v>4</v>
          </cell>
          <cell r="F1497">
            <v>145.96</v>
          </cell>
          <cell r="G1497">
            <v>583.84</v>
          </cell>
        </row>
        <row r="1498">
          <cell r="B1498" t="str">
            <v>С1630-725-1</v>
          </cell>
          <cell r="C1498" t="str">
            <v>Круглий дифузор, фіксовані кільця,
кріплення до регулятора, регулятор витрат
повітря, типорозмір 1 OD1/8-L2 розм. 1 IMP
Klima  Lindab</v>
          </cell>
          <cell r="D1498" t="str">
            <v>шт</v>
          </cell>
          <cell r="E1498">
            <v>1</v>
          </cell>
          <cell r="F1498">
            <v>2213.64</v>
          </cell>
          <cell r="G1498">
            <v>2213.64</v>
          </cell>
        </row>
        <row r="1499">
          <cell r="B1499" t="str">
            <v>С1630-725-1</v>
          </cell>
          <cell r="C1499" t="str">
            <v>Круглий дифузор, фіксовані кільця,
кріплення до регулятора, регулятор витрат
повітря, типорозмір 3 OD1/8-L2 розм. 3 IMP
Klima  Lindab</v>
          </cell>
          <cell r="D1499" t="str">
            <v>шт</v>
          </cell>
          <cell r="E1499">
            <v>3</v>
          </cell>
          <cell r="F1499">
            <v>2947.83</v>
          </cell>
          <cell r="G1499">
            <v>8843.49</v>
          </cell>
        </row>
        <row r="1500">
          <cell r="B1500" t="str">
            <v>Е20-3-1</v>
          </cell>
          <cell r="C1500" t="str">
            <v>Прокладання повiтроводiв з оцинкованої
сталi класу Н [нормальнi] товщиною 0,5
мм, дiаметром до 200 мм</v>
          </cell>
          <cell r="D1500" t="str">
            <v>100м2</v>
          </cell>
          <cell r="E1500">
            <v>0.14250000000000002</v>
          </cell>
          <cell r="F1500">
            <v>22487.91</v>
          </cell>
          <cell r="G1500">
            <v>3204.53</v>
          </cell>
        </row>
        <row r="1501">
          <cell r="B1501" t="str">
            <v>С130-1124</v>
          </cell>
          <cell r="C1501" t="str">
            <v>Повiтровод з оцинкованої сталi товщиною 0,
5 мм, круглого перерiзу, спирально-
навивний, дiаметр 100 мм</v>
          </cell>
          <cell r="D1501" t="str">
            <v>м2</v>
          </cell>
          <cell r="E1501">
            <v>0.63</v>
          </cell>
          <cell r="F1501">
            <v>673.89</v>
          </cell>
          <cell r="G1501">
            <v>424.55</v>
          </cell>
        </row>
        <row r="1502">
          <cell r="B1502" t="str">
            <v>С130-1124</v>
          </cell>
          <cell r="C1502" t="str">
            <v>Повiтровод з оцинкованої сталi товщиною 0,
5 мм, круглого перерiзу, спирально-
навивний, дiаметр 125 мм</v>
          </cell>
          <cell r="D1502" t="str">
            <v>м2</v>
          </cell>
          <cell r="E1502">
            <v>1.18</v>
          </cell>
          <cell r="F1502">
            <v>673.89</v>
          </cell>
          <cell r="G1502">
            <v>795.19</v>
          </cell>
        </row>
        <row r="1503">
          <cell r="B1503" t="str">
            <v>С130-1124</v>
          </cell>
          <cell r="C1503" t="str">
            <v>Повiтровод з оцинкованої сталi товщиною 0,
5 мм, круглого перерiзу, спирально-
навивний, дiаметр 180 мм</v>
          </cell>
          <cell r="D1503" t="str">
            <v>м2</v>
          </cell>
          <cell r="E1503">
            <v>1.1299999999999999</v>
          </cell>
          <cell r="F1503">
            <v>673.89</v>
          </cell>
          <cell r="G1503">
            <v>761.5</v>
          </cell>
        </row>
        <row r="1504">
          <cell r="B1504" t="str">
            <v>С130-1124</v>
          </cell>
          <cell r="C1504" t="str">
            <v>Повiтровод з оцинкованої сталi товщиною 0,
5 мм, круглого перерiзу, спирально-
навивний, дiаметр 200 мм</v>
          </cell>
          <cell r="D1504" t="str">
            <v>м2</v>
          </cell>
          <cell r="E1504">
            <v>6.28</v>
          </cell>
          <cell r="F1504">
            <v>673.89</v>
          </cell>
          <cell r="G1504">
            <v>4232.03</v>
          </cell>
        </row>
        <row r="1505">
          <cell r="B1505" t="str">
            <v>С130-1124</v>
          </cell>
          <cell r="C1505" t="str">
            <v>Повiтровод з оцинкованої сталi товщиною 0,
8 мм, круглого перерiзу, спирально-
навивний, дiаметр 200 мм</v>
          </cell>
          <cell r="D1505" t="str">
            <v>м2</v>
          </cell>
          <cell r="E1505">
            <v>5.03</v>
          </cell>
          <cell r="F1505">
            <v>673.89</v>
          </cell>
          <cell r="G1505">
            <v>3389.67</v>
          </cell>
        </row>
        <row r="1506">
          <cell r="B1506" t="str">
            <v>С1630-114</v>
          </cell>
          <cell r="C1506" t="str">
            <v>Сталь для крiплення повітропроводiв</v>
          </cell>
          <cell r="D1506" t="str">
            <v>кг</v>
          </cell>
          <cell r="E1506">
            <v>25</v>
          </cell>
          <cell r="F1506">
            <v>42.15</v>
          </cell>
          <cell r="G1506">
            <v>1053.75</v>
          </cell>
        </row>
        <row r="1507">
          <cell r="B1507" t="str">
            <v>С1630-522</v>
          </cell>
          <cell r="C1507" t="str">
            <v>Лючок для виміру параметрів повітря</v>
          </cell>
          <cell r="D1507" t="str">
            <v>шт</v>
          </cell>
          <cell r="E1507">
            <v>2</v>
          </cell>
          <cell r="F1507">
            <v>43.85</v>
          </cell>
          <cell r="G1507">
            <v>87.7</v>
          </cell>
        </row>
        <row r="1508">
          <cell r="B1508" t="str">
            <v>Е20-32-1</v>
          </cell>
          <cell r="C1508" t="str">
            <v>Установлення вентиляторiв осьових
масою до 0,025 т</v>
          </cell>
          <cell r="D1508" t="str">
            <v>шт</v>
          </cell>
          <cell r="E1508">
            <v>1</v>
          </cell>
          <cell r="F1508">
            <v>438.24</v>
          </cell>
          <cell r="G1508">
            <v>438.24</v>
          </cell>
        </row>
        <row r="1509">
          <cell r="B1509" t="str">
            <v>С130-62-2</v>
          </cell>
          <cell r="C1509" t="str">
            <v>Вентилятор канальний L=650 м3/год, Р=300
Па, з електродвигуном N=0,158 кВт, n=2500
об/хв СК 200 С "OSTBERG" у комплекті з 
регулятором швидкості VRS 1,0 U</v>
          </cell>
          <cell r="D1509" t="str">
            <v>шт</v>
          </cell>
          <cell r="E1509">
            <v>1</v>
          </cell>
          <cell r="F1509">
            <v>6043.37</v>
          </cell>
          <cell r="G1509">
            <v>6043.37</v>
          </cell>
        </row>
        <row r="1510">
          <cell r="B1510" t="str">
            <v>С113-1885</v>
          </cell>
          <cell r="C1510" t="str">
            <v>Швидкорознімний хомут, дiам. 200 мм, МК
200 "OSTBERG"</v>
          </cell>
          <cell r="D1510" t="str">
            <v>шт</v>
          </cell>
          <cell r="E1510">
            <v>2</v>
          </cell>
          <cell r="F1510">
            <v>267.73</v>
          </cell>
          <cell r="G1510">
            <v>535.46</v>
          </cell>
        </row>
        <row r="1511">
          <cell r="B1511" t="str">
            <v>Е20-13-1</v>
          </cell>
          <cell r="C1511" t="str">
            <v>Установлення клапанiв зворотних
дiаметром до 355 мм</v>
          </cell>
          <cell r="D1511" t="str">
            <v>клапан</v>
          </cell>
          <cell r="E1511">
            <v>1</v>
          </cell>
          <cell r="F1511">
            <v>158.96</v>
          </cell>
          <cell r="G1511">
            <v>158.96</v>
          </cell>
        </row>
        <row r="1512">
          <cell r="B1512" t="str">
            <v>С1630-1776</v>
          </cell>
          <cell r="C1512" t="str">
            <v>Зворотнiй клапан, дiаметр 200 мм, L=140 
RSK 200 "OSTBERG"</v>
          </cell>
          <cell r="D1512" t="str">
            <v>шт</v>
          </cell>
          <cell r="E1512">
            <v>1</v>
          </cell>
          <cell r="F1512">
            <v>843.7</v>
          </cell>
          <cell r="G1512">
            <v>843.7</v>
          </cell>
        </row>
        <row r="1513">
          <cell r="B1513" t="str">
            <v>Е20-3-1</v>
          </cell>
          <cell r="C1513" t="str">
            <v>Прокладання вузлу прохода, дiаметром до
200 мм</v>
          </cell>
          <cell r="D1513" t="str">
            <v>100м2</v>
          </cell>
          <cell r="E1513">
            <v>8.3999999999999995E-3</v>
          </cell>
          <cell r="F1513">
            <v>22487.91</v>
          </cell>
          <cell r="G1513">
            <v>188.9</v>
          </cell>
        </row>
        <row r="1514">
          <cell r="B1514" t="str">
            <v>С130-1127</v>
          </cell>
          <cell r="C1514" t="str">
            <v>Вузол проходу, дiаметр 200 мм УП1, с.5.904-
45</v>
          </cell>
          <cell r="D1514" t="str">
            <v>м2</v>
          </cell>
          <cell r="E1514">
            <v>0.84</v>
          </cell>
          <cell r="F1514">
            <v>2042.75</v>
          </cell>
          <cell r="G1514">
            <v>1715.91</v>
          </cell>
        </row>
        <row r="1515">
          <cell r="B1515" t="str">
            <v>Е20-18-1</v>
          </cell>
          <cell r="C1515" t="str">
            <v>Установлення над шахтами зонтiв iз
листової сталi круглого перерiзу
дiаметром 200 мм</v>
          </cell>
          <cell r="D1515" t="str">
            <v>зонт</v>
          </cell>
          <cell r="E1515">
            <v>1</v>
          </cell>
          <cell r="F1515">
            <v>45.87</v>
          </cell>
          <cell r="G1515">
            <v>45.87</v>
          </cell>
        </row>
        <row r="1516">
          <cell r="B1516" t="str">
            <v>С130-296</v>
          </cell>
          <cell r="C1516" t="str">
            <v>Зонт круглий, дiаметр 200 мм ЗК.00.000,
с.5.904-51</v>
          </cell>
          <cell r="D1516" t="str">
            <v>шт</v>
          </cell>
          <cell r="E1516">
            <v>1</v>
          </cell>
          <cell r="F1516">
            <v>409.35</v>
          </cell>
          <cell r="G1516">
            <v>409.35</v>
          </cell>
        </row>
        <row r="1517">
          <cell r="B1517" t="str">
            <v>Е20-11-1</v>
          </cell>
          <cell r="C1517" t="str">
            <v>Установлення грат жалюзiйних площею у
просвiтi до 0,25 м2</v>
          </cell>
          <cell r="D1517" t="str">
            <v>грати</v>
          </cell>
          <cell r="E1517">
            <v>4</v>
          </cell>
          <cell r="F1517">
            <v>145.96</v>
          </cell>
          <cell r="G1517">
            <v>583.84</v>
          </cell>
        </row>
        <row r="1518">
          <cell r="B1518" t="str">
            <v>С1630-725-1</v>
          </cell>
          <cell r="C1518" t="str">
            <v>Круглий дифузор, фіксовані кільця,
кріплення до регулятора, регулятор витрат
повітря, типорозмір 1 OD1/8-L2 розм. 1 IMP
Klima  Lindab</v>
          </cell>
          <cell r="D1518" t="str">
            <v>шт</v>
          </cell>
          <cell r="E1518">
            <v>1</v>
          </cell>
          <cell r="F1518">
            <v>2213.64</v>
          </cell>
          <cell r="G1518">
            <v>2213.64</v>
          </cell>
        </row>
        <row r="1519">
          <cell r="B1519" t="str">
            <v>С1630-725-1</v>
          </cell>
          <cell r="C1519" t="str">
            <v>Круглий дифузор, фіксовані кільця,
кріплення до регулятора, регулятор витрат
повітря, типорозмір 3 OD1/8-L2 розм. 3 IMP
Klima  Lindab</v>
          </cell>
          <cell r="D1519" t="str">
            <v>шт</v>
          </cell>
          <cell r="E1519">
            <v>3</v>
          </cell>
          <cell r="F1519">
            <v>2947.83</v>
          </cell>
          <cell r="G1519">
            <v>8843.49</v>
          </cell>
        </row>
        <row r="1520">
          <cell r="B1520" t="str">
            <v>Е20-3-1</v>
          </cell>
          <cell r="C1520" t="str">
            <v>Прокладання повiтроводiв з оцинкованої
сталi класу Н [нормальнi] товщиною 0,5
мм, дiаметром до 200 мм</v>
          </cell>
          <cell r="D1520" t="str">
            <v>100м2</v>
          </cell>
          <cell r="E1520">
            <v>0.13620000000000002</v>
          </cell>
          <cell r="F1520">
            <v>22487.91</v>
          </cell>
          <cell r="G1520">
            <v>3062.85</v>
          </cell>
        </row>
        <row r="1521">
          <cell r="B1521" t="str">
            <v>С130-1124</v>
          </cell>
          <cell r="C1521" t="str">
            <v>Повiтровод з оцинкованої сталi товщиною 0,
5 мм, круглого перерiзу, спирально-
навивний, дiаметр 100 мм</v>
          </cell>
          <cell r="D1521" t="str">
            <v>м2</v>
          </cell>
          <cell r="E1521">
            <v>0.63</v>
          </cell>
          <cell r="F1521">
            <v>673.89</v>
          </cell>
          <cell r="G1521">
            <v>424.55</v>
          </cell>
        </row>
        <row r="1522">
          <cell r="B1522" t="str">
            <v>С130-1124</v>
          </cell>
          <cell r="C1522" t="str">
            <v>Повiтровод з оцинкованої сталi товщиною 0,
5 мм, круглого перерiзу, спирально-
навивний, дiаметр 125 мм</v>
          </cell>
          <cell r="D1522" t="str">
            <v>м2</v>
          </cell>
          <cell r="E1522">
            <v>1.18</v>
          </cell>
          <cell r="F1522">
            <v>673.89</v>
          </cell>
          <cell r="G1522">
            <v>795.19</v>
          </cell>
        </row>
        <row r="1523">
          <cell r="B1523" t="str">
            <v>С130-1124</v>
          </cell>
          <cell r="C1523" t="str">
            <v>Повiтровод з оцинкованої сталi товщиною 0,
5 мм, круглого перерiзу, спирально-
навивний, дiаметр 180 мм</v>
          </cell>
          <cell r="D1523" t="str">
            <v>м2</v>
          </cell>
          <cell r="E1523">
            <v>1.1299999999999999</v>
          </cell>
          <cell r="F1523">
            <v>673.89</v>
          </cell>
          <cell r="G1523">
            <v>761.5</v>
          </cell>
        </row>
        <row r="1524">
          <cell r="B1524" t="str">
            <v>С130-1124</v>
          </cell>
          <cell r="C1524" t="str">
            <v>Повiтровод з оцинкованої сталi товщиною 0,
5 мм, круглого перерiзу, спирально-
навивний, дiаметр 200 мм</v>
          </cell>
          <cell r="D1524" t="str">
            <v>м2</v>
          </cell>
          <cell r="E1524">
            <v>5.65</v>
          </cell>
          <cell r="F1524">
            <v>673.89</v>
          </cell>
          <cell r="G1524">
            <v>3807.48</v>
          </cell>
        </row>
        <row r="1525">
          <cell r="B1525" t="str">
            <v>С130-1124</v>
          </cell>
          <cell r="C1525" t="str">
            <v>Повiтровод з оцинкованої сталi товщиною 0,
8 мм, круглого перерiзу, спирально-
навивний, дiаметр 200 мм</v>
          </cell>
          <cell r="D1525" t="str">
            <v>м2</v>
          </cell>
          <cell r="E1525">
            <v>5.03</v>
          </cell>
          <cell r="F1525">
            <v>673.89</v>
          </cell>
          <cell r="G1525">
            <v>3389.67</v>
          </cell>
        </row>
        <row r="1526">
          <cell r="B1526" t="str">
            <v>С1630-114</v>
          </cell>
          <cell r="C1526" t="str">
            <v>Сталь для крiплення повітропроводiв</v>
          </cell>
          <cell r="D1526" t="str">
            <v>кг</v>
          </cell>
          <cell r="E1526">
            <v>25</v>
          </cell>
          <cell r="F1526">
            <v>42.15</v>
          </cell>
          <cell r="G1526">
            <v>1053.75</v>
          </cell>
        </row>
        <row r="1527">
          <cell r="B1527" t="str">
            <v>С1630-522</v>
          </cell>
          <cell r="C1527" t="str">
            <v>Лючок для виміру параметрів повітря</v>
          </cell>
          <cell r="D1527" t="str">
            <v>шт</v>
          </cell>
          <cell r="E1527">
            <v>2</v>
          </cell>
          <cell r="F1527">
            <v>43.85</v>
          </cell>
          <cell r="G1527">
            <v>87.7</v>
          </cell>
        </row>
        <row r="1528">
          <cell r="B1528" t="str">
            <v>Е20-32-1</v>
          </cell>
          <cell r="C1528" t="str">
            <v>Установлення вентиляторiв осьових
масою до 0,025 т</v>
          </cell>
          <cell r="D1528" t="str">
            <v>шт</v>
          </cell>
          <cell r="E1528">
            <v>1</v>
          </cell>
          <cell r="F1528">
            <v>438.24</v>
          </cell>
          <cell r="G1528">
            <v>438.24</v>
          </cell>
        </row>
        <row r="1529">
          <cell r="B1529" t="str">
            <v>С130-62-2</v>
          </cell>
          <cell r="C1529" t="str">
            <v>Вентилятор канальний L=530 м3/год, Р=300
Па, з електродвигуном N=0,158 кВт, n=2500
об/хв СК 200 С "OSTBERG" у комплекті з  
регулятором швидкості VRS 1,0 U</v>
          </cell>
          <cell r="D1529" t="str">
            <v>шт</v>
          </cell>
          <cell r="E1529">
            <v>1</v>
          </cell>
          <cell r="F1529">
            <v>6043.37</v>
          </cell>
          <cell r="G1529">
            <v>6043.37</v>
          </cell>
        </row>
        <row r="1530">
          <cell r="B1530" t="str">
            <v>С113-1885</v>
          </cell>
          <cell r="C1530" t="str">
            <v>Швидкорознімний хомут, дiам. 200 мм, МК
200 "OSTBERG"</v>
          </cell>
          <cell r="D1530" t="str">
            <v>шт</v>
          </cell>
          <cell r="E1530">
            <v>2</v>
          </cell>
          <cell r="F1530">
            <v>267.73</v>
          </cell>
          <cell r="G1530">
            <v>535.46</v>
          </cell>
        </row>
        <row r="1531">
          <cell r="B1531" t="str">
            <v>Е20-13-1</v>
          </cell>
          <cell r="C1531" t="str">
            <v>Установлення клапанiв зворотних
дiаметром до 355 мм</v>
          </cell>
          <cell r="D1531" t="str">
            <v>клапан</v>
          </cell>
          <cell r="E1531">
            <v>1</v>
          </cell>
          <cell r="F1531">
            <v>158.96</v>
          </cell>
          <cell r="G1531">
            <v>158.96</v>
          </cell>
        </row>
        <row r="1532">
          <cell r="B1532" t="str">
            <v>С1630-1776</v>
          </cell>
          <cell r="C1532" t="str">
            <v>Зворотнiй клапан, дiаметр 200 мм, L=140 
RSK 200 "OSTBERG"</v>
          </cell>
          <cell r="D1532" t="str">
            <v>шт</v>
          </cell>
          <cell r="E1532">
            <v>1</v>
          </cell>
          <cell r="F1532">
            <v>843.7</v>
          </cell>
          <cell r="G1532">
            <v>843.7</v>
          </cell>
        </row>
        <row r="1533">
          <cell r="B1533" t="str">
            <v>Е20-3-1</v>
          </cell>
          <cell r="C1533" t="str">
            <v>Прокладання вузлу прохода, дiаметром до
200 мм</v>
          </cell>
          <cell r="D1533" t="str">
            <v>100м2</v>
          </cell>
          <cell r="E1533">
            <v>8.3999999999999995E-3</v>
          </cell>
          <cell r="F1533">
            <v>22487.91</v>
          </cell>
          <cell r="G1533">
            <v>188.9</v>
          </cell>
        </row>
        <row r="1534">
          <cell r="B1534" t="str">
            <v>С130-1127</v>
          </cell>
          <cell r="C1534" t="str">
            <v>Вузол проходу, дiаметр 200 мм УП1, с.5.904-
45</v>
          </cell>
          <cell r="D1534" t="str">
            <v>м2</v>
          </cell>
          <cell r="E1534">
            <v>0.84</v>
          </cell>
          <cell r="F1534">
            <v>2042.75</v>
          </cell>
          <cell r="G1534">
            <v>1715.91</v>
          </cell>
        </row>
        <row r="1535">
          <cell r="B1535" t="str">
            <v>Е20-18-1</v>
          </cell>
          <cell r="C1535" t="str">
            <v>Установлення над шахтами зонтiв iз
листової сталi круглого перерiзу
дiаметром 200 мм</v>
          </cell>
          <cell r="D1535" t="str">
            <v>зонт</v>
          </cell>
          <cell r="E1535">
            <v>1</v>
          </cell>
          <cell r="F1535">
            <v>45.87</v>
          </cell>
          <cell r="G1535">
            <v>45.87</v>
          </cell>
        </row>
        <row r="1536">
          <cell r="B1536" t="str">
            <v>С130-296</v>
          </cell>
          <cell r="C1536" t="str">
            <v>Зонт круглий, дiаметр 200 мм ЗК.00.000,
с.5.904-51</v>
          </cell>
          <cell r="D1536" t="str">
            <v>шт</v>
          </cell>
          <cell r="E1536">
            <v>1</v>
          </cell>
          <cell r="F1536">
            <v>409.35</v>
          </cell>
          <cell r="G1536">
            <v>409.35</v>
          </cell>
        </row>
        <row r="1537">
          <cell r="B1537" t="str">
            <v>Е20-11-1</v>
          </cell>
          <cell r="C1537" t="str">
            <v>Установлення грат жалюзiйних площею у
просвiтi до 0,25 м2</v>
          </cell>
          <cell r="D1537" t="str">
            <v>грати</v>
          </cell>
          <cell r="E1537">
            <v>4</v>
          </cell>
          <cell r="F1537">
            <v>145.96</v>
          </cell>
          <cell r="G1537">
            <v>583.84</v>
          </cell>
        </row>
        <row r="1538">
          <cell r="B1538" t="str">
            <v>С1630-725-1</v>
          </cell>
          <cell r="C1538" t="str">
            <v>Круглий дифузор, фіксовані кільця,
кріплення до регулятора, регулятор витрат
повітря, типорозмір 1 OD1/8-L2 розм. 1 IMP
Klima  Lindab</v>
          </cell>
          <cell r="D1538" t="str">
            <v>шт</v>
          </cell>
          <cell r="E1538">
            <v>1</v>
          </cell>
          <cell r="F1538">
            <v>2213.64</v>
          </cell>
          <cell r="G1538">
            <v>2213.64</v>
          </cell>
        </row>
        <row r="1539">
          <cell r="B1539" t="str">
            <v>С1630-725-1</v>
          </cell>
          <cell r="C1539" t="str">
            <v>Круглий дифузор, фіксовані кільця,
кріплення до регулятора, регулятор витрат
повітря, типорозмір 3 OD1/8-L2 розм. 3 IMP
Klima  Lindab</v>
          </cell>
          <cell r="D1539" t="str">
            <v>шт</v>
          </cell>
          <cell r="E1539">
            <v>3</v>
          </cell>
          <cell r="F1539">
            <v>2947.83</v>
          </cell>
          <cell r="G1539">
            <v>8843.49</v>
          </cell>
        </row>
        <row r="1540">
          <cell r="B1540" t="str">
            <v>Е20-3-1</v>
          </cell>
          <cell r="C1540" t="str">
            <v>Прокладання повiтроводiв з оцинкованої
сталi класу Н [нормальнi] товщиною 0,5
мм, дiаметром до 200 мм</v>
          </cell>
          <cell r="D1540" t="str">
            <v>100м2</v>
          </cell>
          <cell r="E1540">
            <v>0.13290000000000002</v>
          </cell>
          <cell r="F1540">
            <v>22487.91</v>
          </cell>
          <cell r="G1540">
            <v>2988.64</v>
          </cell>
        </row>
        <row r="1541">
          <cell r="B1541" t="str">
            <v>С130-1124</v>
          </cell>
          <cell r="C1541" t="str">
            <v>Повiтровод з оцинкованої сталi товщиною 0,
5 мм, круглого перерiзу, спирально-
навивний, дiаметр 100 мм</v>
          </cell>
          <cell r="D1541" t="str">
            <v>м2</v>
          </cell>
          <cell r="E1541">
            <v>1.88</v>
          </cell>
          <cell r="F1541">
            <v>673.89</v>
          </cell>
          <cell r="G1541">
            <v>1266.9100000000001</v>
          </cell>
        </row>
        <row r="1542">
          <cell r="B1542" t="str">
            <v>С130-1124</v>
          </cell>
          <cell r="C1542" t="str">
            <v>Повiтровод з оцинкованої сталi товщиною 0,
5 мм, круглого перерiзу, спирально-
навивний, дiаметр 125 мм</v>
          </cell>
          <cell r="D1542" t="str">
            <v>м2</v>
          </cell>
          <cell r="E1542">
            <v>0.79</v>
          </cell>
          <cell r="F1542">
            <v>673.89</v>
          </cell>
          <cell r="G1542">
            <v>532.37</v>
          </cell>
        </row>
        <row r="1543">
          <cell r="B1543" t="str">
            <v>С130-1124</v>
          </cell>
          <cell r="C1543" t="str">
            <v>Повiтровод з оцинкованої сталi товщиною 0,
5 мм, круглого перерiзу, спирально-
навивний, дiаметр 180 мм</v>
          </cell>
          <cell r="D1543" t="str">
            <v>м2</v>
          </cell>
          <cell r="E1543">
            <v>0.57000000000000006</v>
          </cell>
          <cell r="F1543">
            <v>673.89</v>
          </cell>
          <cell r="G1543">
            <v>384.12</v>
          </cell>
        </row>
        <row r="1544">
          <cell r="B1544" t="str">
            <v>С130-1124</v>
          </cell>
          <cell r="C1544" t="str">
            <v>Повiтровод з оцинкованої сталi товщиною 0,
5 мм, круглого перерiзу, спирально-
навивний, дiаметр 200 мм</v>
          </cell>
          <cell r="D1544" t="str">
            <v>м2</v>
          </cell>
          <cell r="E1544">
            <v>4.4000000000000004</v>
          </cell>
          <cell r="F1544">
            <v>673.89</v>
          </cell>
          <cell r="G1544">
            <v>2965.12</v>
          </cell>
        </row>
        <row r="1545">
          <cell r="B1545" t="str">
            <v>С130-1124</v>
          </cell>
          <cell r="C1545" t="str">
            <v>Повiтровод з оцинкованої сталi товщиною 0,
8 мм, круглого перерiзу, спирально-
навивний, дiаметр 200 мм</v>
          </cell>
          <cell r="D1545" t="str">
            <v>м2</v>
          </cell>
          <cell r="E1545">
            <v>5.65</v>
          </cell>
          <cell r="F1545">
            <v>673.89</v>
          </cell>
          <cell r="G1545">
            <v>3807.48</v>
          </cell>
        </row>
        <row r="1546">
          <cell r="B1546" t="str">
            <v>С1630-114</v>
          </cell>
          <cell r="C1546" t="str">
            <v>Сталь для крiплення повітропроводiв</v>
          </cell>
          <cell r="D1546" t="str">
            <v>кг</v>
          </cell>
          <cell r="E1546">
            <v>25</v>
          </cell>
          <cell r="F1546">
            <v>42.15</v>
          </cell>
          <cell r="G1546">
            <v>1053.75</v>
          </cell>
        </row>
        <row r="1547">
          <cell r="B1547" t="str">
            <v>С1630-522</v>
          </cell>
          <cell r="C1547" t="str">
            <v>Лючок для виміру параметрів повітря</v>
          </cell>
          <cell r="D1547" t="str">
            <v>шт</v>
          </cell>
          <cell r="E1547">
            <v>2</v>
          </cell>
          <cell r="F1547">
            <v>43.85</v>
          </cell>
          <cell r="G1547">
            <v>87.7</v>
          </cell>
        </row>
        <row r="1548">
          <cell r="B1548" t="str">
            <v>Е20-32-1</v>
          </cell>
          <cell r="C1548" t="str">
            <v>Установлення вентиляторiв осьових
масою до 0,025 т</v>
          </cell>
          <cell r="D1548" t="str">
            <v>шт</v>
          </cell>
          <cell r="E1548">
            <v>1</v>
          </cell>
          <cell r="F1548">
            <v>438.24</v>
          </cell>
          <cell r="G1548">
            <v>438.24</v>
          </cell>
        </row>
        <row r="1549">
          <cell r="B1549" t="str">
            <v>С130-62-2</v>
          </cell>
          <cell r="C1549" t="str">
            <v>Вентилятор канальний L=590 м3/год, Р=300
Па, з електродвигуном N=0,158 кВт, n=2500
об/хв СК 200 С "OSTBERG" у комплекті з   
регулятором швидкості VRS 1,0 U</v>
          </cell>
          <cell r="D1549" t="str">
            <v>шт</v>
          </cell>
          <cell r="E1549">
            <v>1</v>
          </cell>
          <cell r="F1549">
            <v>6234.59</v>
          </cell>
          <cell r="G1549">
            <v>6234.59</v>
          </cell>
        </row>
        <row r="1550">
          <cell r="B1550" t="str">
            <v>С113-1885</v>
          </cell>
          <cell r="C1550" t="str">
            <v>Швидкорознімний хомут, дiам. 200 мм, МК
200 "OSTBERG"</v>
          </cell>
          <cell r="D1550" t="str">
            <v>шт</v>
          </cell>
          <cell r="E1550">
            <v>2</v>
          </cell>
          <cell r="F1550">
            <v>267.73</v>
          </cell>
          <cell r="G1550">
            <v>535.46</v>
          </cell>
        </row>
        <row r="1551">
          <cell r="B1551" t="str">
            <v>Е20-13-1</v>
          </cell>
          <cell r="C1551" t="str">
            <v>Установлення клапанiв зворотних
дiаметром до 355 мм</v>
          </cell>
          <cell r="D1551" t="str">
            <v>клапан</v>
          </cell>
          <cell r="E1551">
            <v>1</v>
          </cell>
          <cell r="F1551">
            <v>158.96</v>
          </cell>
          <cell r="G1551">
            <v>158.96</v>
          </cell>
        </row>
        <row r="1552">
          <cell r="B1552" t="str">
            <v>С1630-1776</v>
          </cell>
          <cell r="C1552" t="str">
            <v>Зворотнiй клапан, дiаметр 200 мм, L=140 
RSK 200 "OSTBERG"</v>
          </cell>
          <cell r="D1552" t="str">
            <v>шт</v>
          </cell>
          <cell r="E1552">
            <v>1</v>
          </cell>
          <cell r="F1552">
            <v>843.7</v>
          </cell>
          <cell r="G1552">
            <v>843.7</v>
          </cell>
        </row>
        <row r="1553">
          <cell r="B1553" t="str">
            <v>Е20-3-1</v>
          </cell>
          <cell r="C1553" t="str">
            <v>Прокладання вузлу прохода, дiаметром до
200 мм</v>
          </cell>
          <cell r="D1553" t="str">
            <v>100м2</v>
          </cell>
          <cell r="E1553">
            <v>8.3999999999999995E-3</v>
          </cell>
          <cell r="F1553">
            <v>22487.91</v>
          </cell>
          <cell r="G1553">
            <v>188.9</v>
          </cell>
        </row>
        <row r="1554">
          <cell r="B1554" t="str">
            <v>С130-1127</v>
          </cell>
          <cell r="C1554" t="str">
            <v>Вузол проходу, дiаметр 200 мм УП1, с.5.904-
45</v>
          </cell>
          <cell r="D1554" t="str">
            <v>м2</v>
          </cell>
          <cell r="E1554">
            <v>0.84</v>
          </cell>
          <cell r="F1554">
            <v>2042.75</v>
          </cell>
          <cell r="G1554">
            <v>1715.91</v>
          </cell>
        </row>
        <row r="1555">
          <cell r="B1555" t="str">
            <v>Е20-18-1</v>
          </cell>
          <cell r="C1555" t="str">
            <v>Установлення над шахтами зонтiв iз
листової сталi круглого перерiзу
дiаметром 200 мм</v>
          </cell>
          <cell r="D1555" t="str">
            <v>зонт</v>
          </cell>
          <cell r="E1555">
            <v>1</v>
          </cell>
          <cell r="F1555">
            <v>45.87</v>
          </cell>
          <cell r="G1555">
            <v>45.87</v>
          </cell>
        </row>
        <row r="1556">
          <cell r="B1556" t="str">
            <v>С130-296</v>
          </cell>
          <cell r="C1556" t="str">
            <v>Зонт круглий, дiаметр 200 мм ЗК.00.000,
с.5.904-51</v>
          </cell>
          <cell r="D1556" t="str">
            <v>шт</v>
          </cell>
          <cell r="E1556">
            <v>1</v>
          </cell>
          <cell r="F1556">
            <v>409.35</v>
          </cell>
          <cell r="G1556">
            <v>409.35</v>
          </cell>
        </row>
        <row r="1557">
          <cell r="B1557" t="str">
            <v>Е20-11-1</v>
          </cell>
          <cell r="C1557" t="str">
            <v>Установлення грат жалюзiйних площею у
просвiтi до 0,25 м2</v>
          </cell>
          <cell r="D1557" t="str">
            <v>грати</v>
          </cell>
          <cell r="E1557">
            <v>4</v>
          </cell>
          <cell r="F1557">
            <v>145.96</v>
          </cell>
          <cell r="G1557">
            <v>583.84</v>
          </cell>
        </row>
        <row r="1558">
          <cell r="B1558" t="str">
            <v>С1630-725-1</v>
          </cell>
          <cell r="C1558" t="str">
            <v>Круглий дифузор, фіксовані кільця,
кріплення до регулятора, регулятор витрат
повітря, типорозмір 1 OD1/8-L2 розм. 1 IMP
Klima  Lindab</v>
          </cell>
          <cell r="D1558" t="str">
            <v>шт</v>
          </cell>
          <cell r="E1558">
            <v>1</v>
          </cell>
          <cell r="F1558">
            <v>2213.64</v>
          </cell>
          <cell r="G1558">
            <v>2213.64</v>
          </cell>
        </row>
        <row r="1559">
          <cell r="B1559" t="str">
            <v>С1630-725-1</v>
          </cell>
          <cell r="C1559" t="str">
            <v>Круглий дифузор, фіксовані кільця,
кріплення до регулятора, регулятор витрат
повітря, типорозмір 3 OD1/8-L2 розм. 3 IMP
Klima  Lindab</v>
          </cell>
          <cell r="D1559" t="str">
            <v>шт</v>
          </cell>
          <cell r="E1559">
            <v>3</v>
          </cell>
          <cell r="F1559">
            <v>2947.83</v>
          </cell>
          <cell r="G1559">
            <v>8843.49</v>
          </cell>
        </row>
        <row r="1560">
          <cell r="B1560" t="str">
            <v>Е20-3-1</v>
          </cell>
          <cell r="C1560" t="str">
            <v>Прокладання повiтроводiв з оцинкованої
сталi класу Н [нормальнi] товщиною 0,5
мм, дiаметром до 200 мм</v>
          </cell>
          <cell r="D1560" t="str">
            <v>100м2</v>
          </cell>
          <cell r="E1560">
            <v>0.14360000000000001</v>
          </cell>
          <cell r="F1560">
            <v>22487.91</v>
          </cell>
          <cell r="G1560">
            <v>3229.26</v>
          </cell>
        </row>
        <row r="1561">
          <cell r="B1561" t="str">
            <v>С130-1124</v>
          </cell>
          <cell r="C1561" t="str">
            <v>Повiтровод з оцинкованої сталi товщиною 0,
5 мм, круглого перерiзу, спирально-
навивний, дiаметр 100 мм</v>
          </cell>
          <cell r="D1561" t="str">
            <v>м2</v>
          </cell>
          <cell r="E1561">
            <v>1.26</v>
          </cell>
          <cell r="F1561">
            <v>673.89</v>
          </cell>
          <cell r="G1561">
            <v>849.1</v>
          </cell>
        </row>
        <row r="1562">
          <cell r="B1562" t="str">
            <v>С130-1124</v>
          </cell>
          <cell r="C1562" t="str">
            <v>Повiтровод з оцинкованої сталi товщиною 0,
5 мм, круглого перерiзу, спирально-
навивний, дiаметр 125 мм</v>
          </cell>
          <cell r="D1562" t="str">
            <v>м2</v>
          </cell>
          <cell r="E1562">
            <v>0.59</v>
          </cell>
          <cell r="F1562">
            <v>673.89</v>
          </cell>
          <cell r="G1562">
            <v>397.6</v>
          </cell>
        </row>
        <row r="1563">
          <cell r="B1563" t="str">
            <v>С130-1124</v>
          </cell>
          <cell r="C1563" t="str">
            <v>Повiтровод з оцинкованої сталi товщиною 0,
5 мм, круглого перерiзу, спирально-
навивний, дiаметр 180 мм</v>
          </cell>
          <cell r="D1563" t="str">
            <v>м2</v>
          </cell>
          <cell r="E1563">
            <v>0.57000000000000006</v>
          </cell>
          <cell r="F1563">
            <v>673.89</v>
          </cell>
          <cell r="G1563">
            <v>384.12</v>
          </cell>
        </row>
        <row r="1564">
          <cell r="B1564" t="str">
            <v>С130-1124</v>
          </cell>
          <cell r="C1564" t="str">
            <v>Повiтровод з оцинкованої сталi товщиною 0,
5 мм, круглого перерiзу, спирально-
навивний, дiаметр 200 мм</v>
          </cell>
          <cell r="D1564" t="str">
            <v>м2</v>
          </cell>
          <cell r="E1564">
            <v>6.91</v>
          </cell>
          <cell r="F1564">
            <v>673.89</v>
          </cell>
          <cell r="G1564">
            <v>4656.58</v>
          </cell>
        </row>
        <row r="1565">
          <cell r="B1565" t="str">
            <v>С130-1124</v>
          </cell>
          <cell r="C1565" t="str">
            <v>Повiтровод з оцинкованої сталi товщиною 0,
8 мм, круглого перерiзу, спирально-
навивний, дiаметр 200 мм</v>
          </cell>
          <cell r="D1565" t="str">
            <v>м2</v>
          </cell>
          <cell r="E1565">
            <v>5.03</v>
          </cell>
          <cell r="F1565">
            <v>673.89</v>
          </cell>
          <cell r="G1565">
            <v>3389.67</v>
          </cell>
        </row>
        <row r="1566">
          <cell r="B1566" t="str">
            <v>С1630-114</v>
          </cell>
          <cell r="C1566" t="str">
            <v>Сталь для крiплення повітропроводiв</v>
          </cell>
          <cell r="D1566" t="str">
            <v>кг</v>
          </cell>
          <cell r="E1566">
            <v>40</v>
          </cell>
          <cell r="F1566">
            <v>42.15</v>
          </cell>
          <cell r="G1566">
            <v>1686</v>
          </cell>
        </row>
        <row r="1567">
          <cell r="B1567" t="str">
            <v>С1630-522</v>
          </cell>
          <cell r="C1567" t="str">
            <v>Лючок для виміру параметрів повітря</v>
          </cell>
          <cell r="D1567" t="str">
            <v>шт</v>
          </cell>
          <cell r="E1567">
            <v>2</v>
          </cell>
          <cell r="F1567">
            <v>43.85</v>
          </cell>
          <cell r="G1567">
            <v>87.7</v>
          </cell>
        </row>
        <row r="1568">
          <cell r="B1568" t="str">
            <v>Е20-32-1</v>
          </cell>
          <cell r="C1568" t="str">
            <v>Установлення вентиляторiв осьових
масою до 0,025 т</v>
          </cell>
          <cell r="D1568" t="str">
            <v>шт</v>
          </cell>
          <cell r="E1568">
            <v>1</v>
          </cell>
          <cell r="F1568">
            <v>438.24</v>
          </cell>
          <cell r="G1568">
            <v>438.24</v>
          </cell>
        </row>
        <row r="1569">
          <cell r="B1569" t="str">
            <v>С130-62-2</v>
          </cell>
          <cell r="C1569" t="str">
            <v>Вентилятор канальний L=275 м3/год, Р=300
Па, з електродвигуном N=0,1 кВт, n=2480
об/хв KVFU 160 С "OSTBERG" у комплекті з 
регулятором швидкості VRS 1,0 U</v>
          </cell>
          <cell r="D1569" t="str">
            <v>шт</v>
          </cell>
          <cell r="E1569">
            <v>1</v>
          </cell>
          <cell r="F1569">
            <v>6502.26</v>
          </cell>
          <cell r="G1569">
            <v>6502.26</v>
          </cell>
        </row>
        <row r="1570">
          <cell r="B1570" t="str">
            <v>Е20-13-1</v>
          </cell>
          <cell r="C1570" t="str">
            <v>Установлення клапанiв зворотних
дiаметром до 355 мм</v>
          </cell>
          <cell r="D1570" t="str">
            <v>клапан</v>
          </cell>
          <cell r="E1570">
            <v>1</v>
          </cell>
          <cell r="F1570">
            <v>158.96</v>
          </cell>
          <cell r="G1570">
            <v>158.96</v>
          </cell>
        </row>
        <row r="1571">
          <cell r="B1571" t="str">
            <v>С1630-1776</v>
          </cell>
          <cell r="C1571" t="str">
            <v>Зворотнiй клапан, дiаметр 160 мм, L=120 
RSK 160 "OSTBERG"</v>
          </cell>
          <cell r="D1571" t="str">
            <v>шт</v>
          </cell>
          <cell r="E1571">
            <v>1</v>
          </cell>
          <cell r="F1571">
            <v>767.21</v>
          </cell>
          <cell r="G1571">
            <v>767.21</v>
          </cell>
        </row>
        <row r="1572">
          <cell r="B1572" t="str">
            <v>Е20-11-1</v>
          </cell>
          <cell r="C1572" t="str">
            <v>Установлення грат жалюзiйних площею у
просвiтi до 0,25 м2</v>
          </cell>
          <cell r="D1572" t="str">
            <v>грати</v>
          </cell>
          <cell r="E1572">
            <v>2</v>
          </cell>
          <cell r="F1572">
            <v>145.96</v>
          </cell>
          <cell r="G1572">
            <v>291.92</v>
          </cell>
        </row>
        <row r="1573">
          <cell r="B1573" t="str">
            <v>С126-1294-1</v>
          </cell>
          <cell r="C1573" t="str">
            <v>Інерційна гратка, розм. 440х400h VK 40
"OSTBERG"</v>
          </cell>
          <cell r="D1573" t="str">
            <v>шт</v>
          </cell>
          <cell r="E1573">
            <v>1</v>
          </cell>
          <cell r="F1573">
            <v>1965.05</v>
          </cell>
          <cell r="G1573">
            <v>1965.05</v>
          </cell>
        </row>
        <row r="1574">
          <cell r="B1574" t="str">
            <v>С126-1294-1</v>
          </cell>
          <cell r="C1574" t="str">
            <v>Захисна гратка, діам. 160 RSK 160
"OSTBERG"</v>
          </cell>
          <cell r="D1574" t="str">
            <v>шт</v>
          </cell>
          <cell r="E1574">
            <v>1</v>
          </cell>
          <cell r="F1574">
            <v>454.22</v>
          </cell>
          <cell r="G1574">
            <v>454.22</v>
          </cell>
        </row>
        <row r="1575">
          <cell r="B1575" t="str">
            <v>С1630-451</v>
          </cell>
          <cell r="C1575" t="str">
            <v>Дросель-клапани круглого перерізу з
ніпельним з'єднанням дiаметр  100 мм ДКН-
ф100</v>
          </cell>
          <cell r="D1575" t="str">
            <v>шт</v>
          </cell>
          <cell r="E1575">
            <v>3</v>
          </cell>
          <cell r="F1575">
            <v>148.19999999999999</v>
          </cell>
          <cell r="G1575">
            <v>444.6</v>
          </cell>
        </row>
        <row r="1577">
          <cell r="B1577" t="str">
            <v>Е18-13-1</v>
          </cell>
          <cell r="C1577" t="str">
            <v>Установлення насосiв вiдцентрових з
електродвигуном, маса агрегату до 0,1 т</v>
          </cell>
          <cell r="D1577" t="str">
            <v>шт</v>
          </cell>
          <cell r="E1577">
            <v>6</v>
          </cell>
          <cell r="F1577">
            <v>2178.98</v>
          </cell>
          <cell r="G1577">
            <v>13073.88</v>
          </cell>
        </row>
        <row r="1578">
          <cell r="B1578" t="str">
            <v>2301-1196-1</v>
          </cell>
          <cell r="C1578" t="str">
            <v>Насос циркуляційний UPS 40-60/2F</v>
          </cell>
          <cell r="D1578" t="str">
            <v>шт</v>
          </cell>
          <cell r="E1578">
            <v>2</v>
          </cell>
          <cell r="F1578">
            <v>12427.19</v>
          </cell>
          <cell r="G1578">
            <v>24854.38</v>
          </cell>
        </row>
        <row r="1579">
          <cell r="B1579" t="str">
            <v>2301-1196-2</v>
          </cell>
          <cell r="C1579" t="str">
            <v>Насос системи опалення, G=0,26м3/год.,
H=4м, N=163Вт, U=230В MAGNA3 25-100</v>
          </cell>
          <cell r="D1579" t="str">
            <v>шт</v>
          </cell>
          <cell r="E1579">
            <v>2</v>
          </cell>
          <cell r="F1579">
            <v>19425.599999999999</v>
          </cell>
          <cell r="G1579">
            <v>38851.199999999997</v>
          </cell>
        </row>
        <row r="1580">
          <cell r="B1580" t="str">
            <v>2301-1196-1</v>
          </cell>
          <cell r="C1580" t="str">
            <v>Насос системи опалення MAGNA3 32-120F</v>
          </cell>
          <cell r="D1580" t="str">
            <v>шт</v>
          </cell>
          <cell r="E1580">
            <v>2</v>
          </cell>
          <cell r="F1580">
            <v>27312.5</v>
          </cell>
          <cell r="G1580">
            <v>54625</v>
          </cell>
        </row>
        <row r="1581">
          <cell r="B1581" t="str">
            <v>2301-1196-2</v>
          </cell>
          <cell r="C1581" t="str">
            <v>Насос системи вентиляції, G=1,86м3/год.,
H=3м, N=124Вт, U=230В MAGNA3 25-80</v>
          </cell>
          <cell r="D1581" t="str">
            <v>шт</v>
          </cell>
          <cell r="E1581">
            <v>1</v>
          </cell>
          <cell r="F1581">
            <v>17533.2</v>
          </cell>
          <cell r="G1581">
            <v>17533.2</v>
          </cell>
        </row>
        <row r="1582">
          <cell r="B1582" t="str">
            <v>2301-1196-2</v>
          </cell>
          <cell r="C1582" t="str">
            <v>Насос системи вентиляції ПВ2, П1, G=2,
48м3/год., H=8м, N=193Вт, U=230В
MAGNA3 32-120</v>
          </cell>
          <cell r="D1582" t="str">
            <v>шт</v>
          </cell>
          <cell r="E1582">
            <v>1</v>
          </cell>
          <cell r="F1582">
            <v>20930.400000000001</v>
          </cell>
          <cell r="G1582">
            <v>20930.400000000001</v>
          </cell>
        </row>
        <row r="1583">
          <cell r="B1583" t="str">
            <v>2301-1196-2</v>
          </cell>
          <cell r="C1583" t="str">
            <v>Насос системи опалення, G=0,48/год., H=5м,
N=193Вт, U=230В MAGNA3 25-120</v>
          </cell>
          <cell r="D1583" t="str">
            <v>шт</v>
          </cell>
          <cell r="E1583">
            <v>2</v>
          </cell>
          <cell r="F1583">
            <v>21842.400000000001</v>
          </cell>
          <cell r="G1583">
            <v>43684.800000000003</v>
          </cell>
        </row>
        <row r="1584">
          <cell r="B1584" t="str">
            <v>Е18-10-1</v>
          </cell>
          <cell r="C1584" t="str">
            <v>Установлення бакiв розширювальних
круглих i прямокутних мiсткiстю 0,1 м3</v>
          </cell>
          <cell r="D1584" t="str">
            <v>шт</v>
          </cell>
          <cell r="E1584">
            <v>1</v>
          </cell>
          <cell r="F1584">
            <v>427.62</v>
          </cell>
          <cell r="G1584">
            <v>427.62</v>
          </cell>
        </row>
        <row r="1585">
          <cell r="B1585" t="str">
            <v>С130-10</v>
          </cell>
          <cell r="C1585" t="str">
            <v>Мембранний розширювальний бак V=80л 
Reflex N80/6</v>
          </cell>
          <cell r="D1585" t="str">
            <v>шт</v>
          </cell>
          <cell r="E1585">
            <v>1</v>
          </cell>
          <cell r="F1585">
            <v>2908.28</v>
          </cell>
          <cell r="G1585">
            <v>2908.28</v>
          </cell>
        </row>
        <row r="1586">
          <cell r="B1586" t="str">
            <v>Е16-15-3</v>
          </cell>
          <cell r="C1586" t="str">
            <v>Установлення вентилiв, засувок, затворiв,
клапанiв зворотних, кранiв прохiдних на
трубопроводах iз стальних труб
дiаметром до 100 мм</v>
          </cell>
          <cell r="D1586" t="str">
            <v>шт</v>
          </cell>
          <cell r="E1586">
            <v>3</v>
          </cell>
          <cell r="F1586">
            <v>458.68</v>
          </cell>
          <cell r="G1586">
            <v>1376.04</v>
          </cell>
        </row>
        <row r="1587">
          <cell r="B1587" t="str">
            <v>С1630-2019</v>
          </cell>
          <cell r="C1587" t="str">
            <v>Заслінка дискова поворотна Ду65 мм, Ру1,
6МПа із фланцями та кріпильними
виробами, VFY-WH "Danfoss"</v>
          </cell>
          <cell r="D1587" t="str">
            <v>шт</v>
          </cell>
          <cell r="E1587">
            <v>3</v>
          </cell>
          <cell r="F1587">
            <v>2709.52</v>
          </cell>
          <cell r="G1587">
            <v>8128.56</v>
          </cell>
        </row>
        <row r="1588">
          <cell r="B1588" t="str">
            <v>С1630-644</v>
          </cell>
          <cell r="C1588" t="str">
            <v>Крани шарові муфтовi, дiаметр 40 мм
"TIEMME", 2230G0708</v>
          </cell>
          <cell r="D1588" t="str">
            <v>шт</v>
          </cell>
          <cell r="E1588">
            <v>4</v>
          </cell>
          <cell r="F1588">
            <v>1362.61</v>
          </cell>
          <cell r="G1588">
            <v>5450.44</v>
          </cell>
        </row>
        <row r="1589">
          <cell r="B1589" t="str">
            <v>С1630-644</v>
          </cell>
          <cell r="C1589" t="str">
            <v>Крани шарові муфтовi, дiаметр 40 мм
"TIEMME", 2231G0708</v>
          </cell>
          <cell r="D1589" t="str">
            <v>шт</v>
          </cell>
          <cell r="E1589">
            <v>4</v>
          </cell>
          <cell r="F1589">
            <v>1424.33</v>
          </cell>
          <cell r="G1589">
            <v>5697.32</v>
          </cell>
        </row>
        <row r="1590">
          <cell r="B1590" t="str">
            <v>С1630-644</v>
          </cell>
          <cell r="C1590" t="str">
            <v>Крани шарові муфтовi, дiаметр 32 мм
"TIEMME", 2230G0707</v>
          </cell>
          <cell r="D1590" t="str">
            <v>шт</v>
          </cell>
          <cell r="E1590">
            <v>2</v>
          </cell>
          <cell r="F1590">
            <v>650.41999999999996</v>
          </cell>
          <cell r="G1590">
            <v>1300.8399999999999</v>
          </cell>
        </row>
        <row r="1591">
          <cell r="B1591" t="str">
            <v>С1630-644</v>
          </cell>
          <cell r="C1591" t="str">
            <v>Крани шарові муфтовi, дiаметр 32 мм
"TIEMME", 2231G0707</v>
          </cell>
          <cell r="D1591" t="str">
            <v>шт</v>
          </cell>
          <cell r="E1591">
            <v>2</v>
          </cell>
          <cell r="F1591">
            <v>733.8</v>
          </cell>
          <cell r="G1591">
            <v>1467.6</v>
          </cell>
        </row>
        <row r="1592">
          <cell r="B1592" t="str">
            <v>С1630-644</v>
          </cell>
          <cell r="C1592" t="str">
            <v>Крани шарові муфтовi, дiаметр 25 мм
"TIEMME", 2230G0706</v>
          </cell>
          <cell r="D1592" t="str">
            <v>шт</v>
          </cell>
          <cell r="E1592">
            <v>5</v>
          </cell>
          <cell r="F1592">
            <v>408.48</v>
          </cell>
          <cell r="G1592">
            <v>2042.4</v>
          </cell>
        </row>
        <row r="1593">
          <cell r="B1593" t="str">
            <v>С1630-644</v>
          </cell>
          <cell r="C1593" t="str">
            <v>Крани шарові муфтовi, дiаметр 25 мм
"TIEMME", 2231G0706</v>
          </cell>
          <cell r="D1593" t="str">
            <v>шт</v>
          </cell>
          <cell r="E1593">
            <v>2</v>
          </cell>
          <cell r="F1593">
            <v>476.01</v>
          </cell>
          <cell r="G1593">
            <v>952.02</v>
          </cell>
        </row>
        <row r="1594">
          <cell r="B1594" t="str">
            <v>С1630-644</v>
          </cell>
          <cell r="C1594" t="str">
            <v>Крани шарові муфтовi, дiаметр 20 мм
"TIEMME", 2230G0705</v>
          </cell>
          <cell r="D1594" t="str">
            <v>шт</v>
          </cell>
          <cell r="E1594">
            <v>2</v>
          </cell>
          <cell r="F1594">
            <v>242.06</v>
          </cell>
          <cell r="G1594">
            <v>484.12</v>
          </cell>
        </row>
        <row r="1595">
          <cell r="B1595" t="str">
            <v>С1630-644</v>
          </cell>
          <cell r="C1595" t="str">
            <v>Крани шарові муфтовi, дiаметр 20 мм
"TIEMME", 2231G0705</v>
          </cell>
          <cell r="D1595" t="str">
            <v>шт</v>
          </cell>
          <cell r="E1595">
            <v>2</v>
          </cell>
          <cell r="F1595">
            <v>295.18</v>
          </cell>
          <cell r="G1595">
            <v>590.36</v>
          </cell>
        </row>
        <row r="1596">
          <cell r="B1596" t="str">
            <v>Е16-15-3</v>
          </cell>
          <cell r="C1596" t="str">
            <v>Установлення вентилiв, засувок, затворiв,
клапанiв зворотних, кранiв прохiдних на
трубопроводах iз стальних труб
дiаметром до 100 мм</v>
          </cell>
          <cell r="D1596" t="str">
            <v>шт</v>
          </cell>
          <cell r="E1596">
            <v>2</v>
          </cell>
          <cell r="F1596">
            <v>458.68</v>
          </cell>
          <cell r="G1596">
            <v>917.36</v>
          </cell>
        </row>
        <row r="1597">
          <cell r="B1597" t="str">
            <v>С1630-1404</v>
          </cell>
          <cell r="C1597" t="str">
            <v>Клапан зворотнiй міжфланцевий із
фланцями та кріпильними виробами,
дiаметр 65 мм Gestra RK 41</v>
          </cell>
          <cell r="D1597" t="str">
            <v>шт</v>
          </cell>
          <cell r="E1597">
            <v>2</v>
          </cell>
          <cell r="F1597">
            <v>5645.74</v>
          </cell>
          <cell r="G1597">
            <v>11291.48</v>
          </cell>
        </row>
        <row r="1598">
          <cell r="B1598" t="str">
            <v>С1630-539</v>
          </cell>
          <cell r="C1598" t="str">
            <v>Клапани зворотнi пiдйомнi муфтовi, дiаметр
40 мм "TIEMME", 3500G2808</v>
          </cell>
          <cell r="D1598" t="str">
            <v>шт</v>
          </cell>
          <cell r="E1598">
            <v>2</v>
          </cell>
          <cell r="F1598">
            <v>543.62</v>
          </cell>
          <cell r="G1598">
            <v>1087.24</v>
          </cell>
        </row>
        <row r="1599">
          <cell r="B1599" t="str">
            <v>С1630-539</v>
          </cell>
          <cell r="C1599" t="str">
            <v>Клапани зворотнi пiдйомнi муфтовi, дiаметр
32 мм "TIEMME", 3500G2807</v>
          </cell>
          <cell r="D1599" t="str">
            <v>шт</v>
          </cell>
          <cell r="E1599">
            <v>1</v>
          </cell>
          <cell r="F1599">
            <v>361.26</v>
          </cell>
          <cell r="G1599">
            <v>361.26</v>
          </cell>
        </row>
        <row r="1600">
          <cell r="B1600" t="str">
            <v>С1630-539</v>
          </cell>
          <cell r="C1600" t="str">
            <v>Клапани зворотнi пiдйомнi муфтовi, дiаметр
25 мм "TIEMME", 3500G2806</v>
          </cell>
          <cell r="D1600" t="str">
            <v>шт</v>
          </cell>
          <cell r="E1600">
            <v>1</v>
          </cell>
          <cell r="F1600">
            <v>250.21</v>
          </cell>
          <cell r="G1600">
            <v>250.21</v>
          </cell>
        </row>
        <row r="1601">
          <cell r="B1601" t="str">
            <v>С1630-539</v>
          </cell>
          <cell r="C1601" t="str">
            <v>Клапани зворотнi пiдйомнi муфтовi, дiаметр
20 мм "TIEMME", 3500G2805</v>
          </cell>
          <cell r="D1601" t="str">
            <v>шт</v>
          </cell>
          <cell r="E1601">
            <v>1</v>
          </cell>
          <cell r="F1601">
            <v>188.39</v>
          </cell>
          <cell r="G1601">
            <v>188.39</v>
          </cell>
        </row>
        <row r="1602">
          <cell r="B1602" t="str">
            <v>Е18-21-5</v>
          </cell>
          <cell r="C1602" t="str">
            <v>Установлення фiльтрiв для очищення
води у трубопроводах систем опалення
дiаметром 65 мм</v>
          </cell>
          <cell r="D1602" t="str">
            <v>10шт</v>
          </cell>
          <cell r="E1602">
            <v>0.1</v>
          </cell>
          <cell r="F1602">
            <v>1525.33</v>
          </cell>
          <cell r="G1602">
            <v>152.53</v>
          </cell>
        </row>
        <row r="1603">
          <cell r="B1603" t="str">
            <v>С1630-107-1</v>
          </cell>
          <cell r="C1603" t="str">
            <v>Фiльтр осадний Ду65 фланцевий із
фланцями у відповідь та кріпильними
виробами, Zetkama тип 821</v>
          </cell>
          <cell r="D1603" t="str">
            <v>шт</v>
          </cell>
          <cell r="E1603">
            <v>1</v>
          </cell>
          <cell r="F1603">
            <v>2304.21</v>
          </cell>
          <cell r="G1603">
            <v>2304.21</v>
          </cell>
        </row>
        <row r="1604">
          <cell r="B1604" t="str">
            <v>Е18-21-3</v>
          </cell>
          <cell r="C1604" t="str">
            <v>Установлення фiльтрiв для очищення
води у трубопроводах систем опалення
дiаметром 40 мм</v>
          </cell>
          <cell r="D1604" t="str">
            <v>10шт</v>
          </cell>
          <cell r="E1604">
            <v>0.2</v>
          </cell>
          <cell r="F1604">
            <v>1255.43</v>
          </cell>
          <cell r="G1604">
            <v>251.09</v>
          </cell>
        </row>
        <row r="1605">
          <cell r="B1605" t="str">
            <v>С1630-107-1</v>
          </cell>
          <cell r="C1605" t="str">
            <v>Фiльтр сітчастий муфтовий Ду40, "TIEMME"
3670G2808</v>
          </cell>
          <cell r="D1605" t="str">
            <v>шт</v>
          </cell>
          <cell r="E1605">
            <v>2</v>
          </cell>
          <cell r="F1605">
            <v>828.04</v>
          </cell>
          <cell r="G1605">
            <v>1656.08</v>
          </cell>
        </row>
        <row r="1606">
          <cell r="B1606" t="str">
            <v>Е18-21-2</v>
          </cell>
          <cell r="C1606" t="str">
            <v>Установлення фiльтрiв для очищення
води у трубопроводах систем опалення
дiаметром 32 мм</v>
          </cell>
          <cell r="D1606" t="str">
            <v>10шт</v>
          </cell>
          <cell r="E1606">
            <v>0.1</v>
          </cell>
          <cell r="F1606">
            <v>1057.71</v>
          </cell>
          <cell r="G1606">
            <v>105.77</v>
          </cell>
        </row>
        <row r="1607">
          <cell r="B1607" t="str">
            <v>С1630-107-1</v>
          </cell>
          <cell r="C1607" t="str">
            <v>Фiльтр сітчастий муфтовий Ду32, "TIEMME"
3670G2807</v>
          </cell>
          <cell r="D1607" t="str">
            <v>шт</v>
          </cell>
          <cell r="E1607">
            <v>1</v>
          </cell>
          <cell r="F1607">
            <v>564.17999999999995</v>
          </cell>
          <cell r="G1607">
            <v>564.17999999999995</v>
          </cell>
        </row>
        <row r="1608">
          <cell r="B1608" t="str">
            <v>Е18-21-1</v>
          </cell>
          <cell r="C1608" t="str">
            <v>Установлення фiльтрiв для очищення
води у трубопроводах систем опалення
дiаметром 25 мм</v>
          </cell>
          <cell r="D1608" t="str">
            <v>10шт</v>
          </cell>
          <cell r="E1608">
            <v>0.2</v>
          </cell>
          <cell r="F1608">
            <v>1028.44</v>
          </cell>
          <cell r="G1608">
            <v>205.69</v>
          </cell>
        </row>
        <row r="1609">
          <cell r="B1609" t="str">
            <v>С1630-107-1</v>
          </cell>
          <cell r="C1609" t="str">
            <v>Фiльтр сітчастий муфтовий Ду25, "TIEMME"
3670G2806</v>
          </cell>
          <cell r="D1609" t="str">
            <v>шт</v>
          </cell>
          <cell r="E1609">
            <v>1</v>
          </cell>
          <cell r="F1609">
            <v>399.67</v>
          </cell>
          <cell r="G1609">
            <v>399.67</v>
          </cell>
        </row>
        <row r="1610">
          <cell r="B1610" t="str">
            <v>С1630-107-1</v>
          </cell>
          <cell r="C1610" t="str">
            <v>Фiльтр сітчастий муфтовий Ду20, "TIEMME"
3670G2805</v>
          </cell>
          <cell r="D1610" t="str">
            <v>шт</v>
          </cell>
          <cell r="E1610">
            <v>1</v>
          </cell>
          <cell r="F1610">
            <v>237.04</v>
          </cell>
          <cell r="G1610">
            <v>237.04</v>
          </cell>
        </row>
        <row r="1611">
          <cell r="B1611" t="str">
            <v>М12-790-1_в.в._п.13.1.2_к=1,25</v>
          </cell>
          <cell r="C1611" t="str">
            <v>Вентилi, засувки, клапани сталевi
фланцевi запобiжнi, пружиннi одноважiльнi
та двоважiльнi зворотнi пiдiймальнi на
умовний тиск до 2,5 МПа [25 кгс/см2],
дiаметр умовного проходу 15-25
мм_[електричний або електромагнiтний
привiд]</v>
          </cell>
          <cell r="D1611" t="str">
            <v>10 шт</v>
          </cell>
          <cell r="E1611">
            <v>0.30000000000000004</v>
          </cell>
          <cell r="F1611">
            <v>4718.5600000000004</v>
          </cell>
          <cell r="G1611">
            <v>1415.57</v>
          </cell>
        </row>
        <row r="1612">
          <cell r="B1612" t="str">
            <v>1704-50064-1</v>
          </cell>
          <cell r="C1612" t="str">
            <v>Клапан змішувальний триходовий
регулювальний VRG3 діам.20 мм, Кvs=6,3
м3/ч ф. "Danfoss" з електроприводом
AMV435</v>
          </cell>
          <cell r="D1612" t="str">
            <v>шт</v>
          </cell>
          <cell r="E1612">
            <v>1</v>
          </cell>
          <cell r="F1612">
            <v>6972.97</v>
          </cell>
          <cell r="G1612">
            <v>6972.97</v>
          </cell>
        </row>
        <row r="1613">
          <cell r="B1613" t="str">
            <v>1704-50064-1</v>
          </cell>
          <cell r="C1613" t="str">
            <v>Клапан змішувальний триходовий
регулювальний VRG3 діам.15 мм, Кvs=2,5
м3/ч ф. "Danfoss" з електроприводом
AMV435</v>
          </cell>
          <cell r="D1613" t="str">
            <v>шт</v>
          </cell>
          <cell r="E1613">
            <v>1</v>
          </cell>
          <cell r="F1613">
            <v>6623.93</v>
          </cell>
          <cell r="G1613">
            <v>6623.93</v>
          </cell>
        </row>
        <row r="1614">
          <cell r="B1614" t="str">
            <v>1704-50064-1</v>
          </cell>
          <cell r="C1614" t="str">
            <v>Клапан змішувальний триходовий
регулювальний VRG3 діам.15 мм, Кvs=1,0
м3/ч ф. "Danfoss" з електроприводом
AMV435</v>
          </cell>
          <cell r="D1614" t="str">
            <v>шт</v>
          </cell>
          <cell r="E1614">
            <v>1</v>
          </cell>
          <cell r="F1614">
            <v>6623.93</v>
          </cell>
          <cell r="G1614">
            <v>6623.93</v>
          </cell>
        </row>
        <row r="1615">
          <cell r="B1615" t="str">
            <v>С1630-538</v>
          </cell>
          <cell r="C1615" t="str">
            <v>Клапан, захищений від ненавмисного
закриття Ду25 мм, "TIEMME" 2240R0706</v>
          </cell>
          <cell r="D1615" t="str">
            <v>шт</v>
          </cell>
          <cell r="E1615">
            <v>1</v>
          </cell>
          <cell r="F1615">
            <v>659</v>
          </cell>
          <cell r="G1615">
            <v>659</v>
          </cell>
        </row>
        <row r="1616">
          <cell r="B1616" t="str">
            <v>Е18-17-10</v>
          </cell>
          <cell r="C1616" t="str">
            <v>Установлення повітровідвідників</v>
          </cell>
          <cell r="D1616" t="str">
            <v>шт</v>
          </cell>
          <cell r="E1616">
            <v>2</v>
          </cell>
          <cell r="F1616">
            <v>129.83000000000001</v>
          </cell>
          <cell r="G1616">
            <v>259.66000000000003</v>
          </cell>
        </row>
        <row r="1617">
          <cell r="B1617" t="str">
            <v>С1630-2009</v>
          </cell>
          <cell r="C1617" t="str">
            <v>Автоматичний повітряник Ду15 мм, 80D
1/2"G "Ferrero"</v>
          </cell>
          <cell r="D1617" t="str">
            <v>шт</v>
          </cell>
          <cell r="E1617">
            <v>2</v>
          </cell>
          <cell r="F1617">
            <v>190.09</v>
          </cell>
          <cell r="G1617">
            <v>380.18</v>
          </cell>
        </row>
        <row r="1618">
          <cell r="B1618" t="str">
            <v>Е18-15-1</v>
          </cell>
          <cell r="C1618" t="str">
            <v>Установлення гребiнок
пароводорозподiльних зi стальних труб,
зовнiшнiй дiаметр корпуса 108 мм</v>
          </cell>
          <cell r="D1618" t="str">
            <v>шт</v>
          </cell>
          <cell r="E1618">
            <v>2</v>
          </cell>
          <cell r="F1618">
            <v>3155.55</v>
          </cell>
          <cell r="G1618">
            <v>6311.1</v>
          </cell>
        </row>
        <row r="1619">
          <cell r="B1619" t="str">
            <v>С1534-367</v>
          </cell>
          <cell r="C1619" t="str">
            <v>Заглушки елiптичнi з вуглецевої сталi марки
20, дiаметр умовного проходу 100 мм,
зовнiшнiй дiаметр 108 мм, товщина стiнки 4,
0 мм</v>
          </cell>
          <cell r="D1619" t="str">
            <v>шт</v>
          </cell>
          <cell r="E1619">
            <v>4</v>
          </cell>
          <cell r="F1619">
            <v>73.53</v>
          </cell>
          <cell r="G1619">
            <v>294.12</v>
          </cell>
        </row>
        <row r="1620">
          <cell r="B1620" t="str">
            <v>Е16-10-1</v>
          </cell>
          <cell r="C1620" t="str">
            <v>Прокладання трубопроводiв опалення i
водопостачання зi стальних
електрозварних труб дiаметром до 40 мм</v>
          </cell>
          <cell r="D1620" t="str">
            <v>100м</v>
          </cell>
          <cell r="E1620">
            <v>0.23500000000000001</v>
          </cell>
          <cell r="F1620">
            <v>7778.62</v>
          </cell>
          <cell r="G1620">
            <v>1827.98</v>
          </cell>
        </row>
        <row r="1621">
          <cell r="B1621" t="str">
            <v>С113-129</v>
          </cell>
          <cell r="C1621" t="str">
            <v>Труби сталевi електрозварнi прямошовнi iз
сталi марки 20, зовнiшнiй дiаметр 20 мм,
товщина стiнки 2 мм</v>
          </cell>
          <cell r="D1621" t="str">
            <v>м</v>
          </cell>
          <cell r="E1621">
            <v>2</v>
          </cell>
          <cell r="F1621">
            <v>48.95</v>
          </cell>
          <cell r="G1621">
            <v>97.9</v>
          </cell>
        </row>
        <row r="1622">
          <cell r="B1622" t="str">
            <v>С113-130</v>
          </cell>
          <cell r="C1622" t="str">
            <v>Труби сталевi електрозварнi прямошовнi iз
сталi марки 20, зовнiшнiй дiаметр 25 мм,
товщина стiнки 2,5 мм</v>
          </cell>
          <cell r="D1622" t="str">
            <v>м</v>
          </cell>
          <cell r="E1622">
            <v>4.3650000000000002</v>
          </cell>
          <cell r="F1622">
            <v>65.91</v>
          </cell>
          <cell r="G1622">
            <v>287.7</v>
          </cell>
        </row>
        <row r="1623">
          <cell r="B1623" t="str">
            <v>С113-131</v>
          </cell>
          <cell r="C1623" t="str">
            <v>Труби сталевi електрозварнi прямошовнi iз
сталi марки 20, зовнiшнiй дiаметр 32 мм,
товщина стiнки 2,5 мм</v>
          </cell>
          <cell r="D1623" t="str">
            <v>м</v>
          </cell>
          <cell r="E1623">
            <v>5.335</v>
          </cell>
          <cell r="F1623">
            <v>83.99</v>
          </cell>
          <cell r="G1623">
            <v>448.09</v>
          </cell>
        </row>
        <row r="1624">
          <cell r="B1624" t="str">
            <v>С113-132-1</v>
          </cell>
          <cell r="C1624" t="str">
            <v>Труби сталевi електрозварнi прямошовнi iз
сталi марки 20, зовнiшнiй дiаметр 38 мм,
товщина стiнки 2,5 мм</v>
          </cell>
          <cell r="D1624" t="str">
            <v>м</v>
          </cell>
          <cell r="E1624">
            <v>3.395</v>
          </cell>
          <cell r="F1624">
            <v>94.15</v>
          </cell>
          <cell r="G1624">
            <v>319.64</v>
          </cell>
        </row>
        <row r="1625">
          <cell r="B1625" t="str">
            <v>С113-134</v>
          </cell>
          <cell r="C1625" t="str">
            <v>Труби сталевi електрозварнi прямошовнi iз
сталi марки 20, зовнiшнiй дiаметр 45 мм,
товщина стiнки 2,5 мм</v>
          </cell>
          <cell r="D1625" t="str">
            <v>м</v>
          </cell>
          <cell r="E1625">
            <v>7.76</v>
          </cell>
          <cell r="F1625">
            <v>122.5</v>
          </cell>
          <cell r="G1625">
            <v>950.6</v>
          </cell>
        </row>
        <row r="1626">
          <cell r="B1626" t="str">
            <v>Е16-10-3</v>
          </cell>
          <cell r="C1626" t="str">
            <v>Прокладання трубопроводiв опалення i
водопостачання зi стальних
електрозварних труб дiаметром 65 мм</v>
          </cell>
          <cell r="D1626" t="str">
            <v>100м</v>
          </cell>
          <cell r="E1626">
            <v>0.26</v>
          </cell>
          <cell r="F1626">
            <v>8860.89</v>
          </cell>
          <cell r="G1626">
            <v>2303.83</v>
          </cell>
        </row>
        <row r="1627">
          <cell r="B1627" t="str">
            <v>С113-144</v>
          </cell>
          <cell r="C1627" t="str">
            <v>Труби сталевi електрозварнi прямошовнi iз
сталi марки 20, зовнiшнiй дiаметр 76 мм,
товщина стiнки 3,5 мм</v>
          </cell>
          <cell r="D1627" t="str">
            <v>м</v>
          </cell>
          <cell r="E1627">
            <v>25.22</v>
          </cell>
          <cell r="F1627">
            <v>221.87</v>
          </cell>
          <cell r="G1627">
            <v>5595.56</v>
          </cell>
        </row>
        <row r="1628">
          <cell r="B1628" t="str">
            <v>С1534-12</v>
          </cell>
          <cell r="C1628" t="str">
            <v>Вiдводи гнутi пiд кутом 90 град. iз сталi
марки 20, радiус кривизни 1,5 Ду, Ру 10 МПа
[100 кгс/см2], дiаметр умовного проходу 65
мм, зовнiшнiй дiаметр 76 мм, товщина
стiнки 3,5 мм</v>
          </cell>
          <cell r="D1628" t="str">
            <v>шт</v>
          </cell>
          <cell r="E1628">
            <v>10</v>
          </cell>
          <cell r="F1628">
            <v>103.44</v>
          </cell>
          <cell r="G1628">
            <v>1034.4000000000001</v>
          </cell>
        </row>
        <row r="1629">
          <cell r="B1629" t="str">
            <v>С1534-260</v>
          </cell>
          <cell r="C1629" t="str">
            <v>Переходи штампованi концентричнi,
дiаметр умовного проходу 65х40 мм,
зовнiшнiй дiаметр та товщина стiнки 76х3,5-
45х2,5 мм</v>
          </cell>
          <cell r="D1629" t="str">
            <v>шт</v>
          </cell>
          <cell r="E1629">
            <v>2</v>
          </cell>
          <cell r="F1629">
            <v>122.33</v>
          </cell>
          <cell r="G1629">
            <v>244.66</v>
          </cell>
        </row>
        <row r="1630">
          <cell r="B1630" t="str">
            <v>С1534-256</v>
          </cell>
          <cell r="C1630" t="str">
            <v>Переходи штампованi концентричнi,
зовнiшнiй дiаметр та товщина стiнки 45х2,5-
38х2,0 мм</v>
          </cell>
          <cell r="D1630" t="str">
            <v>шт</v>
          </cell>
          <cell r="E1630">
            <v>2</v>
          </cell>
          <cell r="F1630">
            <v>47.51</v>
          </cell>
          <cell r="G1630">
            <v>95.02</v>
          </cell>
        </row>
        <row r="1631">
          <cell r="B1631" t="str">
            <v>С1534-256</v>
          </cell>
          <cell r="C1631" t="str">
            <v>Переходи штампованi концентричнi,
зовнiшнiй дiаметр та товщина стiнки 45х2,5-
32х2,0 мм</v>
          </cell>
          <cell r="D1631" t="str">
            <v>шт</v>
          </cell>
          <cell r="E1631">
            <v>2</v>
          </cell>
          <cell r="F1631">
            <v>46.09</v>
          </cell>
          <cell r="G1631">
            <v>92.18</v>
          </cell>
        </row>
        <row r="1632">
          <cell r="B1632" t="str">
            <v>С1534-256</v>
          </cell>
          <cell r="C1632" t="str">
            <v>Переходи штампованi концентричнi,
зовнiшнiй дiаметр та товщина стiнки 38х2,0-
25х1,6 мм</v>
          </cell>
          <cell r="D1632" t="str">
            <v>шт</v>
          </cell>
          <cell r="E1632">
            <v>2</v>
          </cell>
          <cell r="F1632">
            <v>42.77</v>
          </cell>
          <cell r="G1632">
            <v>85.54</v>
          </cell>
        </row>
        <row r="1633">
          <cell r="B1633" t="str">
            <v>С1534-256</v>
          </cell>
          <cell r="C1633" t="str">
            <v>Переходи штампованi концентричнi,
зовнiшнiй дiаметр та товщина стiнки 33,7х2,
3-26,9х2,0 мм</v>
          </cell>
          <cell r="D1633" t="str">
            <v>шт</v>
          </cell>
          <cell r="E1633">
            <v>1</v>
          </cell>
          <cell r="F1633">
            <v>42.77</v>
          </cell>
          <cell r="G1633">
            <v>42.77</v>
          </cell>
        </row>
        <row r="1634">
          <cell r="B1634" t="str">
            <v>С1534-256</v>
          </cell>
          <cell r="C1634" t="str">
            <v>Переходи штампованi концентричнi,
зовнiшнiй дiаметр та товщина стiнки 33,7х2,
3-21,3х2,0 мм</v>
          </cell>
          <cell r="D1634" t="str">
            <v>шт</v>
          </cell>
          <cell r="E1634">
            <v>3</v>
          </cell>
          <cell r="F1634">
            <v>38.020000000000003</v>
          </cell>
          <cell r="G1634">
            <v>114.06</v>
          </cell>
        </row>
        <row r="1635">
          <cell r="B1635" t="str">
            <v>С1534-256</v>
          </cell>
          <cell r="C1635" t="str">
            <v>Переходи штампованi концентричнi,
зовнiшнiй дiаметр та товщина стiнки 26,9х2,
0-21,3х2,0 мм</v>
          </cell>
          <cell r="D1635" t="str">
            <v>шт</v>
          </cell>
          <cell r="E1635">
            <v>1</v>
          </cell>
          <cell r="F1635">
            <v>31.69</v>
          </cell>
          <cell r="G1635">
            <v>31.69</v>
          </cell>
        </row>
        <row r="1636">
          <cell r="B1636" t="str">
            <v>Е9-62-4</v>
          </cell>
          <cell r="C1636" t="str">
            <v>Опори пiд трубопроводи, опорнi частини,
сiдла, кронштейни, хомути</v>
          </cell>
          <cell r="D1636" t="str">
            <v>т</v>
          </cell>
          <cell r="E1636">
            <v>6.7540000000000003E-2</v>
          </cell>
          <cell r="F1636">
            <v>3385.87</v>
          </cell>
          <cell r="G1636">
            <v>228.68</v>
          </cell>
        </row>
        <row r="1637">
          <cell r="B1637" t="str">
            <v>С121-782</v>
          </cell>
          <cell r="C1637" t="str">
            <v>Металевi конструкцiї</v>
          </cell>
          <cell r="D1637" t="str">
            <v>т</v>
          </cell>
          <cell r="E1637">
            <v>6.7540000000000003E-2</v>
          </cell>
          <cell r="F1637">
            <v>33035.82</v>
          </cell>
          <cell r="G1637">
            <v>2231.2399999999998</v>
          </cell>
        </row>
        <row r="1638">
          <cell r="B1638" t="str">
            <v>С1536-28</v>
          </cell>
          <cell r="C1638" t="str">
            <v>Опори рухомi приварнi для сталевих
трубопроводiв, з iзоляцiєю, тип ОПП-2,
висота опори 150 мм, дiаметр умовного
проходу 70 мм</v>
          </cell>
          <cell r="D1638" t="str">
            <v>шт</v>
          </cell>
          <cell r="E1638">
            <v>2</v>
          </cell>
          <cell r="F1638">
            <v>136.02000000000001</v>
          </cell>
          <cell r="G1638">
            <v>272.04000000000002</v>
          </cell>
        </row>
        <row r="1639">
          <cell r="B1639" t="str">
            <v>С113-160</v>
          </cell>
          <cell r="C1639" t="str">
            <v>Труби сталевi електрозварнi прямошовнi iз
сталi марки 20, зовнiшнiй дiаметр 108 мм,
товщина стiнки 3,5 мм</v>
          </cell>
          <cell r="D1639" t="str">
            <v>м</v>
          </cell>
          <cell r="E1639">
            <v>0.88</v>
          </cell>
          <cell r="F1639">
            <v>327.35000000000002</v>
          </cell>
          <cell r="G1639">
            <v>288.07</v>
          </cell>
        </row>
        <row r="1640">
          <cell r="B1640" t="str">
            <v>С1630-114</v>
          </cell>
          <cell r="C1640" t="str">
            <v>Крiплення для трубопроводiв [кронштейни,
планки, хомути]</v>
          </cell>
          <cell r="D1640" t="str">
            <v>кг</v>
          </cell>
          <cell r="E1640">
            <v>5</v>
          </cell>
          <cell r="F1640">
            <v>42.15</v>
          </cell>
          <cell r="G1640">
            <v>210.75</v>
          </cell>
        </row>
        <row r="1641">
          <cell r="B1641" t="str">
            <v>Е16-29-1</v>
          </cell>
          <cell r="C1641" t="str">
            <v>Гiдравлiчне випробування трубопроводiв
систем опалення, водопроводу i гарячого
водопостачання дiаметром до 50 мм</v>
          </cell>
          <cell r="D1641" t="str">
            <v>100м</v>
          </cell>
          <cell r="E1641">
            <v>0.23500000000000001</v>
          </cell>
          <cell r="F1641">
            <v>753.69</v>
          </cell>
          <cell r="G1641">
            <v>177.12</v>
          </cell>
        </row>
        <row r="1642">
          <cell r="B1642" t="str">
            <v>Е16-29-2</v>
          </cell>
          <cell r="C1642" t="str">
            <v>Гiдравлiчне випробування трубопроводiв
систем опалення, водопроводу i гарячого
водопостачання дiаметром до 100 мм</v>
          </cell>
          <cell r="D1642" t="str">
            <v>100м</v>
          </cell>
          <cell r="E1642">
            <v>0.26</v>
          </cell>
          <cell r="F1642">
            <v>821.61</v>
          </cell>
          <cell r="G1642">
            <v>213.62</v>
          </cell>
        </row>
        <row r="1643">
          <cell r="B1643" t="str">
            <v>ЕН15-171-4</v>
          </cell>
          <cell r="C1643" t="str">
            <v>Фарбування ізоліруємих поверхонь фарбою
БТ-177 за два рази по грунтовці ГФ-021</v>
          </cell>
          <cell r="D1643" t="str">
            <v>100м2</v>
          </cell>
          <cell r="E1643">
            <v>0.11</v>
          </cell>
          <cell r="F1643">
            <v>8036.51</v>
          </cell>
          <cell r="G1643">
            <v>884.02</v>
          </cell>
        </row>
        <row r="1644">
          <cell r="B1644" t="str">
            <v>ЕН26-2-1</v>
          </cell>
          <cell r="C1644" t="str">
            <v>Iзоляцiя трубопроводiв дiаметром 25 мм
напiвцилiндрами з мiнеральної вати на
синтетичному зв'язуючому, товщина
iзоляцiйного шару 40 мм</v>
          </cell>
          <cell r="D1644" t="str">
            <v>10м</v>
          </cell>
          <cell r="E1644">
            <v>0.65</v>
          </cell>
          <cell r="F1644">
            <v>222.93</v>
          </cell>
          <cell r="G1644">
            <v>144.9</v>
          </cell>
        </row>
        <row r="1645">
          <cell r="B1645" t="str">
            <v>С114-35-14</v>
          </cell>
          <cell r="C1645" t="str">
            <v>Напівциліндри теплоізоляційні з
базальтового волокна товщиною 30мм Д=20
мм</v>
          </cell>
          <cell r="D1645" t="str">
            <v>м</v>
          </cell>
          <cell r="E1645">
            <v>2</v>
          </cell>
          <cell r="F1645">
            <v>47.86</v>
          </cell>
          <cell r="G1645">
            <v>95.72</v>
          </cell>
        </row>
        <row r="1646">
          <cell r="B1646" t="str">
            <v>С114-35-14</v>
          </cell>
          <cell r="C1646" t="str">
            <v>Напівциліндри теплоізоляційні з
базальтового волокна товщиною 30мм Д=25
мм</v>
          </cell>
          <cell r="D1646" t="str">
            <v>м</v>
          </cell>
          <cell r="E1646">
            <v>4.5</v>
          </cell>
          <cell r="F1646">
            <v>51.83</v>
          </cell>
          <cell r="G1646">
            <v>233.24</v>
          </cell>
        </row>
        <row r="1647">
          <cell r="B1647" t="str">
            <v>ЕН26-2-3</v>
          </cell>
          <cell r="C1647" t="str">
            <v>Iзоляцiя трубопроводiв дiаметром 32 мм
напiвцилiндрами з мiнеральної вати на
синтетичному зв'язуючому, товщина
iзоляцiйного шару 30 мм</v>
          </cell>
          <cell r="D1647" t="str">
            <v>10м</v>
          </cell>
          <cell r="E1647">
            <v>0.55000000000000004</v>
          </cell>
          <cell r="F1647">
            <v>222.93</v>
          </cell>
          <cell r="G1647">
            <v>122.61</v>
          </cell>
        </row>
        <row r="1648">
          <cell r="B1648" t="str">
            <v>С114-35-14</v>
          </cell>
          <cell r="C1648" t="str">
            <v>Напівциліндри теплоізоляційні з
базальтового волокна товщиною 30мм
Д=32мм</v>
          </cell>
          <cell r="D1648" t="str">
            <v>м</v>
          </cell>
          <cell r="E1648">
            <v>5.5</v>
          </cell>
          <cell r="F1648">
            <v>55.76</v>
          </cell>
          <cell r="G1648">
            <v>306.68</v>
          </cell>
        </row>
        <row r="1649">
          <cell r="B1649" t="str">
            <v>ЕН26-2-5</v>
          </cell>
          <cell r="C1649" t="str">
            <v>Iзоляцiя трубопроводiв дiаметром 38 мм
напiвцилiндрами з мiнеральної вати на
синтетичному зв'язуючому, товщина
iзоляцiйного шару 30 мм</v>
          </cell>
          <cell r="D1649" t="str">
            <v>10м</v>
          </cell>
          <cell r="E1649">
            <v>0.35</v>
          </cell>
          <cell r="F1649">
            <v>233.7</v>
          </cell>
          <cell r="G1649">
            <v>81.8</v>
          </cell>
        </row>
        <row r="1650">
          <cell r="B1650" t="str">
            <v>С114-35-13</v>
          </cell>
          <cell r="C1650" t="str">
            <v>Напівциліндри теплоізоляційні з
базальтового волокна товщиною 30мм
Д=38мм</v>
          </cell>
          <cell r="D1650" t="str">
            <v>м</v>
          </cell>
          <cell r="E1650">
            <v>3.5</v>
          </cell>
          <cell r="F1650">
            <v>60.61</v>
          </cell>
          <cell r="G1650">
            <v>212.14</v>
          </cell>
        </row>
        <row r="1651">
          <cell r="B1651" t="str">
            <v>ЕН26-2-7</v>
          </cell>
          <cell r="C1651" t="str">
            <v>Iзоляцiя трубопроводiв дiаметром 45 мм
напiвцилiндрами з мiнеральної вати на
синтетичному зв'язуючому, товщина
iзоляцiйного шару 30 мм</v>
          </cell>
          <cell r="D1651" t="str">
            <v>10м</v>
          </cell>
          <cell r="E1651">
            <v>0.8</v>
          </cell>
          <cell r="F1651">
            <v>244.48</v>
          </cell>
          <cell r="G1651">
            <v>195.58</v>
          </cell>
        </row>
        <row r="1652">
          <cell r="B1652" t="str">
            <v>С114-35-13</v>
          </cell>
          <cell r="C1652" t="str">
            <v>Напівциліндри теплоізоляційні з
базальтового волокна товщиною 30мм Д=45
мм</v>
          </cell>
          <cell r="D1652" t="str">
            <v>м</v>
          </cell>
          <cell r="E1652">
            <v>8</v>
          </cell>
          <cell r="F1652">
            <v>69.3</v>
          </cell>
          <cell r="G1652">
            <v>554.4</v>
          </cell>
        </row>
        <row r="1653">
          <cell r="B1653" t="str">
            <v>ЕН26-2-11</v>
          </cell>
          <cell r="C1653" t="str">
            <v>Iзоляцiя трубопроводiв дiаметром 76 мм
напiвцилiндрами з мiнеральної вати на
синтетичному зв'язуючому, товщина
iзоляцiйного шару до 40 мм</v>
          </cell>
          <cell r="D1653" t="str">
            <v>10м</v>
          </cell>
          <cell r="E1653">
            <v>2.6</v>
          </cell>
          <cell r="F1653">
            <v>341.46</v>
          </cell>
          <cell r="G1653">
            <v>887.8</v>
          </cell>
        </row>
        <row r="1654">
          <cell r="B1654" t="str">
            <v>С114-35-9</v>
          </cell>
          <cell r="C1654" t="str">
            <v>Напівциліндри теплоізоляційні з
базальтового волокна товщиною 30мм
Д=76мм</v>
          </cell>
          <cell r="D1654" t="str">
            <v>м</v>
          </cell>
          <cell r="E1654">
            <v>14</v>
          </cell>
          <cell r="F1654">
            <v>92.43</v>
          </cell>
          <cell r="G1654">
            <v>1294.02</v>
          </cell>
        </row>
        <row r="1655">
          <cell r="B1655" t="str">
            <v>С114-35-9</v>
          </cell>
          <cell r="C1655" t="str">
            <v>Напівциліндри теплоізоляційні з
базальтового волокна товщиною 40мм Д=76
мм</v>
          </cell>
          <cell r="D1655" t="str">
            <v>м</v>
          </cell>
          <cell r="E1655">
            <v>12</v>
          </cell>
          <cell r="F1655">
            <v>116.16</v>
          </cell>
          <cell r="G1655">
            <v>1393.92</v>
          </cell>
        </row>
        <row r="1656">
          <cell r="B1656" t="str">
            <v>ЕН26-2-15</v>
          </cell>
          <cell r="C1656" t="str">
            <v>Iзоляцiя трубопроводiв дiаметром 108 мм
напiвцилiндрами з мiнеральної вати на
синтетичному зв'язуючому, товщина
iзоляцiйного шару 40 мм</v>
          </cell>
          <cell r="D1656" t="str">
            <v>10м</v>
          </cell>
          <cell r="E1656">
            <v>0.35</v>
          </cell>
          <cell r="F1656">
            <v>395.34</v>
          </cell>
          <cell r="G1656">
            <v>138.37</v>
          </cell>
        </row>
        <row r="1657">
          <cell r="B1657" t="str">
            <v>С114-35-9</v>
          </cell>
          <cell r="C1657" t="str">
            <v>Напівциліндри теплоізоляційні з
базальтового волокна товщиною 40мм
Д=108 мм</v>
          </cell>
          <cell r="D1657" t="str">
            <v>м</v>
          </cell>
          <cell r="E1657">
            <v>3.5</v>
          </cell>
          <cell r="F1657">
            <v>179.46</v>
          </cell>
          <cell r="G1657">
            <v>628.11</v>
          </cell>
        </row>
        <row r="1658">
          <cell r="B1658" t="str">
            <v>С111-540-1</v>
          </cell>
          <cell r="C1658" t="str">
            <v>Стрiчка алюмінієва самоклеюча АА-130</v>
          </cell>
          <cell r="D1658" t="str">
            <v>м.п.</v>
          </cell>
          <cell r="E1658">
            <v>65</v>
          </cell>
          <cell r="F1658">
            <v>11.23</v>
          </cell>
          <cell r="G1658">
            <v>729.95</v>
          </cell>
        </row>
        <row r="1659">
          <cell r="B1659" t="str">
            <v>ЕН26-24-4</v>
          </cell>
          <cell r="C1659" t="str">
            <v>Iзоляцiя фасонних поверхонь матами
мiнераловатними прошивними на
склотканинi або металевiй сiтцi</v>
          </cell>
          <cell r="D1659" t="str">
            <v>10 м2</v>
          </cell>
          <cell r="E1659">
            <v>0.30000000000000004</v>
          </cell>
          <cell r="F1659">
            <v>1252.18</v>
          </cell>
          <cell r="G1659">
            <v>375.65</v>
          </cell>
        </row>
        <row r="1660">
          <cell r="B1660" t="str">
            <v>С114-49-У</v>
          </cell>
          <cell r="C1660" t="str">
            <v>Мати мiнераловатнi прошивнi в обкладках з
металевої сітки</v>
          </cell>
          <cell r="D1660" t="str">
            <v>м3</v>
          </cell>
          <cell r="E1660">
            <v>0.12</v>
          </cell>
          <cell r="F1660">
            <v>3714.59</v>
          </cell>
          <cell r="G1660">
            <v>445.75</v>
          </cell>
        </row>
        <row r="1661">
          <cell r="B1661" t="str">
            <v>ЕН26-26-2</v>
          </cell>
          <cell r="C1661" t="str">
            <v>Покриття iзоляцiї фасонних поверхонь
оцинкованою сталлю</v>
          </cell>
          <cell r="D1661" t="str">
            <v>10 м2</v>
          </cell>
          <cell r="E1661">
            <v>0.45</v>
          </cell>
          <cell r="F1661">
            <v>2558.27</v>
          </cell>
          <cell r="G1661">
            <v>1151.22</v>
          </cell>
        </row>
        <row r="1662">
          <cell r="B1662" t="str">
            <v>С111-1797</v>
          </cell>
          <cell r="C1662" t="str">
            <v>Сталь листова оцинкована, товщина листа
0,5 мм</v>
          </cell>
          <cell r="D1662" t="str">
            <v>т</v>
          </cell>
          <cell r="E1662">
            <v>1.77E-2</v>
          </cell>
          <cell r="F1662">
            <v>90811.51</v>
          </cell>
          <cell r="G1662">
            <v>1607.36</v>
          </cell>
        </row>
        <row r="1663">
          <cell r="B1663" t="str">
            <v>М12-698-1</v>
          </cell>
          <cell r="C1663" t="str">
            <v>Монтаж бобишок, штуцерiв на умовний
тиск до 10 МПа [100 кгс/см2]</v>
          </cell>
          <cell r="D1663" t="str">
            <v>10 шт</v>
          </cell>
          <cell r="E1663">
            <v>1.1000000000000001</v>
          </cell>
          <cell r="F1663">
            <v>927.02</v>
          </cell>
          <cell r="G1663">
            <v>1019.72</v>
          </cell>
        </row>
        <row r="1664">
          <cell r="B1664" t="str">
            <v>С1545-8</v>
          </cell>
          <cell r="C1664" t="str">
            <v>Бобишки БК 1/2"</v>
          </cell>
          <cell r="D1664" t="str">
            <v>шт</v>
          </cell>
          <cell r="E1664">
            <v>11</v>
          </cell>
          <cell r="F1664">
            <v>90.33</v>
          </cell>
          <cell r="G1664">
            <v>993.63</v>
          </cell>
        </row>
        <row r="1665">
          <cell r="B1665" t="str">
            <v>М12-699-1</v>
          </cell>
          <cell r="C1665" t="str">
            <v>Монтаж закладного пристрою вiдбирання
тиску [розрiдження]</v>
          </cell>
          <cell r="D1665" t="str">
            <v>10 шт</v>
          </cell>
          <cell r="E1665">
            <v>0.60000000000000009</v>
          </cell>
          <cell r="F1665">
            <v>1213.3399999999999</v>
          </cell>
          <cell r="G1665">
            <v>728</v>
          </cell>
        </row>
        <row r="1666">
          <cell r="B1666" t="str">
            <v>С113-948-2</v>
          </cell>
          <cell r="C1666" t="str">
            <v>Відбірний пристрій тиску 1,6-225У</v>
          </cell>
          <cell r="D1666" t="str">
            <v>шт</v>
          </cell>
          <cell r="E1666">
            <v>6</v>
          </cell>
          <cell r="F1666">
            <v>213.73</v>
          </cell>
          <cell r="G1666">
            <v>1282.3800000000001</v>
          </cell>
        </row>
        <row r="1667">
          <cell r="B1667" t="str">
            <v>РН15-56-3</v>
          </cell>
          <cell r="C1667" t="str">
            <v>Демонтаж водопiдiгрiвачiв</v>
          </cell>
          <cell r="D1667" t="str">
            <v>шт</v>
          </cell>
          <cell r="E1667">
            <v>1</v>
          </cell>
          <cell r="F1667">
            <v>1035.6300000000001</v>
          </cell>
          <cell r="G1667">
            <v>1035.6300000000001</v>
          </cell>
        </row>
        <row r="1668">
          <cell r="B1668" t="str">
            <v>РН15-64-1</v>
          </cell>
          <cell r="C1668" t="str">
            <v>Нарощування пластин існуючого підігрівача</v>
          </cell>
          <cell r="D1668" t="str">
            <v>100шт</v>
          </cell>
          <cell r="E1668">
            <v>0.18</v>
          </cell>
          <cell r="F1668">
            <v>21747.84</v>
          </cell>
          <cell r="G1668">
            <v>3914.61</v>
          </cell>
        </row>
        <row r="1669">
          <cell r="B1669" t="str">
            <v>С1630-1256-1</v>
          </cell>
          <cell r="C1669" t="str">
            <v>Пластина для підігрівача ТПР -7-PN16/2-44-
TKTL76 з ущільненнями</v>
          </cell>
          <cell r="D1669" t="str">
            <v>шт</v>
          </cell>
          <cell r="E1669">
            <v>18</v>
          </cell>
          <cell r="F1669">
            <v>394.29</v>
          </cell>
          <cell r="G1669">
            <v>7097.22</v>
          </cell>
        </row>
        <row r="1670">
          <cell r="B1670" t="str">
            <v>С1541-63-2</v>
          </cell>
          <cell r="C1670" t="str">
            <v>Ущільнення</v>
          </cell>
          <cell r="D1670" t="str">
            <v>шт</v>
          </cell>
          <cell r="E1670">
            <v>26</v>
          </cell>
          <cell r="F1670">
            <v>177.34</v>
          </cell>
          <cell r="G1670">
            <v>4610.84</v>
          </cell>
        </row>
        <row r="1671">
          <cell r="B1671" t="str">
            <v>С111-1430-1</v>
          </cell>
          <cell r="C1671" t="str">
            <v>Комплект для монтажу (2 направляючих та
шпильки для підігрівача ТПР-7-PN16/2-44-
TKTL76</v>
          </cell>
          <cell r="D1671" t="str">
            <v>компл.</v>
          </cell>
          <cell r="E1671">
            <v>1</v>
          </cell>
          <cell r="F1671">
            <v>504.1</v>
          </cell>
          <cell r="G1671">
            <v>504.1</v>
          </cell>
        </row>
        <row r="1672">
          <cell r="B1672" t="str">
            <v>Е18-3-2</v>
          </cell>
          <cell r="C1672" t="str">
            <v>Установлення нарощенного
водопiдiгрiвника</v>
          </cell>
          <cell r="D1672" t="str">
            <v>шт</v>
          </cell>
          <cell r="E1672">
            <v>1</v>
          </cell>
          <cell r="F1672">
            <v>1998.6</v>
          </cell>
          <cell r="G1672">
            <v>1998.6</v>
          </cell>
        </row>
        <row r="1673">
          <cell r="B1673" t="str">
            <v>Е18-13-1</v>
          </cell>
          <cell r="C1673" t="str">
            <v>Установлення насосiв вiдцентрових з
електродвигуном, маса агрегату до 0,1 т</v>
          </cell>
          <cell r="D1673" t="str">
            <v>шт</v>
          </cell>
          <cell r="E1673">
            <v>1</v>
          </cell>
          <cell r="F1673">
            <v>2178.98</v>
          </cell>
          <cell r="G1673">
            <v>2178.98</v>
          </cell>
        </row>
        <row r="1674">
          <cell r="B1674" t="str">
            <v>2301-1196-3</v>
          </cell>
          <cell r="C1674" t="str">
            <v>Насос циркуляційний G=23м/год, H=7,2-8,7-
11,3м в. ст., N=1550Вт, U=400В, UPS 65-
180F "Grundfos"</v>
          </cell>
          <cell r="D1674" t="str">
            <v>шт</v>
          </cell>
          <cell r="E1674">
            <v>1</v>
          </cell>
          <cell r="F1674">
            <v>25104.74</v>
          </cell>
          <cell r="G1674">
            <v>25104.74</v>
          </cell>
        </row>
        <row r="1675">
          <cell r="B1675" t="str">
            <v>Е16-15-3</v>
          </cell>
          <cell r="C1675" t="str">
            <v>Установлення вентилiв, засувок, затворiв,
клапанiв зворотних, кранiв прохiдних на
трубопроводах iз стальних труб
дiаметром до 100 мм</v>
          </cell>
          <cell r="D1675" t="str">
            <v>шт</v>
          </cell>
          <cell r="E1675">
            <v>6</v>
          </cell>
          <cell r="F1675">
            <v>458.68</v>
          </cell>
          <cell r="G1675">
            <v>2752.08</v>
          </cell>
        </row>
        <row r="1676">
          <cell r="B1676" t="str">
            <v>С1630-2019</v>
          </cell>
          <cell r="C1676" t="str">
            <v>Заслінка дискова поворотна Ду80 мм, Ру1,
6МПа із фланцями та кріпильними
виробами, VFY-WH "Danfoss"</v>
          </cell>
          <cell r="D1676" t="str">
            <v>шт</v>
          </cell>
          <cell r="E1676">
            <v>6</v>
          </cell>
          <cell r="F1676">
            <v>3053.85</v>
          </cell>
          <cell r="G1676">
            <v>18323.099999999999</v>
          </cell>
        </row>
        <row r="1677">
          <cell r="B1677" t="str">
            <v>Е16-15-3</v>
          </cell>
          <cell r="C1677" t="str">
            <v>Установлення вентилiв, засувок, затворiв,
клапанiв зворотних, кранiв прохiдних на
трубопроводах iз стальних труб
дiаметром до 100 мм</v>
          </cell>
          <cell r="D1677" t="str">
            <v>шт</v>
          </cell>
          <cell r="E1677">
            <v>1</v>
          </cell>
          <cell r="F1677">
            <v>458.68</v>
          </cell>
          <cell r="G1677">
            <v>458.68</v>
          </cell>
        </row>
        <row r="1678">
          <cell r="B1678" t="str">
            <v>С1630-1404</v>
          </cell>
          <cell r="C1678" t="str">
            <v>Клапан зворотнiй міжфланцевий із
фланцями та кріпильними виробами,
дiаметр 80 мм Gestra RK 41</v>
          </cell>
          <cell r="D1678" t="str">
            <v>шт</v>
          </cell>
          <cell r="E1678">
            <v>1</v>
          </cell>
          <cell r="F1678">
            <v>9023.99</v>
          </cell>
          <cell r="G1678">
            <v>9023.99</v>
          </cell>
        </row>
        <row r="1679">
          <cell r="B1679" t="str">
            <v>Е18-21-6</v>
          </cell>
          <cell r="C1679" t="str">
            <v>Установлення фiльтрiв для очищення
води у трубопроводах систем опалення
дiаметром 80 мм</v>
          </cell>
          <cell r="D1679" t="str">
            <v>10шт</v>
          </cell>
          <cell r="E1679">
            <v>0.1</v>
          </cell>
          <cell r="F1679">
            <v>1908.25</v>
          </cell>
          <cell r="G1679">
            <v>190.83</v>
          </cell>
        </row>
        <row r="1680">
          <cell r="B1680" t="str">
            <v>С1630-107-1</v>
          </cell>
          <cell r="C1680" t="str">
            <v>Фiльтр осадний Ду80 фланцевий із
фланцями у відповідь та кріпильними
виробами, Zetkama тип 821</v>
          </cell>
          <cell r="D1680" t="str">
            <v>шт</v>
          </cell>
          <cell r="E1680">
            <v>1</v>
          </cell>
          <cell r="F1680">
            <v>2889.45</v>
          </cell>
          <cell r="G1680">
            <v>2889.45</v>
          </cell>
        </row>
        <row r="1681">
          <cell r="B1681" t="str">
            <v>Е18-17-10</v>
          </cell>
          <cell r="C1681" t="str">
            <v>Установлення повітровідвідників</v>
          </cell>
          <cell r="D1681" t="str">
            <v>шт</v>
          </cell>
          <cell r="E1681">
            <v>2</v>
          </cell>
          <cell r="F1681">
            <v>129.83000000000001</v>
          </cell>
          <cell r="G1681">
            <v>259.66000000000003</v>
          </cell>
        </row>
        <row r="1682">
          <cell r="B1682" t="str">
            <v>С1630-2009</v>
          </cell>
          <cell r="C1682" t="str">
            <v>Автоматичний повітряник Ду15 мм, 80D
1/2"G "Ferrero"</v>
          </cell>
          <cell r="D1682" t="str">
            <v>шт</v>
          </cell>
          <cell r="E1682">
            <v>2</v>
          </cell>
          <cell r="F1682">
            <v>190.09</v>
          </cell>
          <cell r="G1682">
            <v>380.18</v>
          </cell>
        </row>
        <row r="1683">
          <cell r="B1683" t="str">
            <v>Е16-10-4</v>
          </cell>
          <cell r="C1683" t="str">
            <v>Прокладання трубопроводiв опалення i
водопостачання зi стальних
електрозварних труб дiаметром 80 мм</v>
          </cell>
          <cell r="D1683" t="str">
            <v>100м</v>
          </cell>
          <cell r="E1683">
            <v>1</v>
          </cell>
          <cell r="F1683">
            <v>10113.549999999999</v>
          </cell>
          <cell r="G1683">
            <v>10113.549999999999</v>
          </cell>
        </row>
        <row r="1684">
          <cell r="B1684" t="str">
            <v>С113-154</v>
          </cell>
          <cell r="C1684" t="str">
            <v>Труби сталевi електрозварнi прямошовнi iз
сталi марки 20, зовнiшнiй дiаметр 89 мм,
товщина стiнки 3,5 мм</v>
          </cell>
          <cell r="D1684" t="str">
            <v>м</v>
          </cell>
          <cell r="E1684">
            <v>97</v>
          </cell>
          <cell r="F1684">
            <v>261.57</v>
          </cell>
          <cell r="G1684">
            <v>25372.29</v>
          </cell>
        </row>
        <row r="1685">
          <cell r="B1685" t="str">
            <v>С1534-15</v>
          </cell>
          <cell r="C1685" t="str">
            <v>Вiдводи гнутi пiд кутом 90 град. iз сталi
марки 20, радiус кривизни 1,5 Ду, Ру 10 МПа
[100 кгс/см2], дiаметр умовного проходу 80
мм, зовнiшнiй дiаметр 89 мм, товщина
стiнки 3,5 мм</v>
          </cell>
          <cell r="D1685" t="str">
            <v>шт</v>
          </cell>
          <cell r="E1685">
            <v>16</v>
          </cell>
          <cell r="F1685">
            <v>138.79</v>
          </cell>
          <cell r="G1685">
            <v>2220.64</v>
          </cell>
        </row>
        <row r="1686">
          <cell r="B1686" t="str">
            <v>С1534-264</v>
          </cell>
          <cell r="C1686" t="str">
            <v>Переходи штампованi концентричнi,
дiаметр умовного проходу 80х65 мм,
зовнiшнiй дiаметр та товщина стiнки 89х4,0-
76х3,5 мм</v>
          </cell>
          <cell r="D1686" t="str">
            <v>шт</v>
          </cell>
          <cell r="E1686">
            <v>2</v>
          </cell>
          <cell r="F1686">
            <v>130.49</v>
          </cell>
          <cell r="G1686">
            <v>260.98</v>
          </cell>
        </row>
        <row r="1687">
          <cell r="B1687" t="str">
            <v>С1534-267</v>
          </cell>
          <cell r="C1687" t="str">
            <v>Переходи штампованi концентричнi,
дiаметр умовного проходу 80х50 мм,
зовнiшнiй дiаметр та товщина стiнки 89х3,5-
57х3 мм</v>
          </cell>
          <cell r="D1687" t="str">
            <v>шт</v>
          </cell>
          <cell r="E1687">
            <v>2</v>
          </cell>
          <cell r="F1687">
            <v>130.49</v>
          </cell>
          <cell r="G1687">
            <v>260.98</v>
          </cell>
        </row>
        <row r="1688">
          <cell r="B1688" t="str">
            <v>С1630-114</v>
          </cell>
          <cell r="C1688" t="str">
            <v>Крiплення для трубопроводiв [кронштейни,
планки, хомути]</v>
          </cell>
          <cell r="D1688" t="str">
            <v>кг</v>
          </cell>
          <cell r="E1688">
            <v>10</v>
          </cell>
          <cell r="F1688">
            <v>42.15</v>
          </cell>
          <cell r="G1688">
            <v>421.5</v>
          </cell>
        </row>
        <row r="1689">
          <cell r="B1689" t="str">
            <v>С113-167</v>
          </cell>
          <cell r="C1689" t="str">
            <v>Труби сталевi електрозварнi прямошовнi iз
сталi марки 20, зовнiшнiй дiаметр 133 мм,
товщина стiнки 4 мм</v>
          </cell>
          <cell r="D1689" t="str">
            <v>м</v>
          </cell>
          <cell r="E1689">
            <v>2.48</v>
          </cell>
          <cell r="F1689">
            <v>454.15</v>
          </cell>
          <cell r="G1689">
            <v>1126.29</v>
          </cell>
        </row>
        <row r="1690">
          <cell r="B1690" t="str">
            <v>Е16-29-2</v>
          </cell>
          <cell r="C1690" t="str">
            <v>Гiдравлiчне випробування трубопроводiв
систем опалення, водопроводу i гарячого
водопостачання дiаметром до 100 мм</v>
          </cell>
          <cell r="D1690" t="str">
            <v>100м</v>
          </cell>
          <cell r="E1690">
            <v>1</v>
          </cell>
          <cell r="F1690">
            <v>821.61</v>
          </cell>
          <cell r="G1690">
            <v>821.61</v>
          </cell>
        </row>
        <row r="1691">
          <cell r="B1691" t="str">
            <v>ЕН15-171-4</v>
          </cell>
          <cell r="C1691" t="str">
            <v>Фарбування ізоліруємих поверхонь фарбою
БТ-177 за два рази по грунтовці ГФ-021</v>
          </cell>
          <cell r="D1691" t="str">
            <v>100м2</v>
          </cell>
          <cell r="E1691">
            <v>0.31</v>
          </cell>
          <cell r="F1691">
            <v>8036.51</v>
          </cell>
          <cell r="G1691">
            <v>2491.3200000000002</v>
          </cell>
        </row>
        <row r="1692">
          <cell r="B1692" t="str">
            <v>ЕН26-2-13</v>
          </cell>
          <cell r="C1692" t="str">
            <v>Iзоляцiя трубопроводiв дiаметром 89 мм
напiвцилiндрами з мiнеральної вати на
синтетичному зв'язуючому, товщина
iзоляцiйного шару 40 мм</v>
          </cell>
          <cell r="D1692" t="str">
            <v>10м</v>
          </cell>
          <cell r="E1692">
            <v>10</v>
          </cell>
          <cell r="F1692">
            <v>406.12</v>
          </cell>
          <cell r="G1692">
            <v>4061.2</v>
          </cell>
        </row>
        <row r="1693">
          <cell r="B1693" t="str">
            <v>С114-35-9</v>
          </cell>
          <cell r="C1693" t="str">
            <v>Напівциліндри теплоізоляційні з
базальтового волокна товщиною 40мм Д=89
мм</v>
          </cell>
          <cell r="D1693" t="str">
            <v>м</v>
          </cell>
          <cell r="E1693">
            <v>100</v>
          </cell>
          <cell r="F1693">
            <v>144.65</v>
          </cell>
          <cell r="G1693">
            <v>14465</v>
          </cell>
        </row>
        <row r="1694">
          <cell r="B1694" t="str">
            <v>С111-540-1</v>
          </cell>
          <cell r="C1694" t="str">
            <v>Стрiчка алюмінієва самоклеюча АА-130</v>
          </cell>
          <cell r="D1694" t="str">
            <v>м.п.</v>
          </cell>
          <cell r="E1694">
            <v>130</v>
          </cell>
          <cell r="F1694">
            <v>11.23</v>
          </cell>
          <cell r="G1694">
            <v>1459.9</v>
          </cell>
        </row>
        <row r="1695">
          <cell r="B1695" t="str">
            <v>ЕН26-24-4</v>
          </cell>
          <cell r="C1695" t="str">
            <v>Iзоляцiя фасонних поверхонь матами
мiнераловатними прошивними на
склотканинi або металевiй сiтцi</v>
          </cell>
          <cell r="D1695" t="str">
            <v>10 м2</v>
          </cell>
          <cell r="E1695">
            <v>0.42</v>
          </cell>
          <cell r="F1695">
            <v>1252.18</v>
          </cell>
          <cell r="G1695">
            <v>525.91999999999996</v>
          </cell>
        </row>
        <row r="1696">
          <cell r="B1696" t="str">
            <v>С114-49-У</v>
          </cell>
          <cell r="C1696" t="str">
            <v>Мати мiнераловатнi прошивнi в обкладках з
металевої сітки</v>
          </cell>
          <cell r="D1696" t="str">
            <v>м3</v>
          </cell>
          <cell r="E1696">
            <v>0.16800000000000001</v>
          </cell>
          <cell r="F1696">
            <v>3714.59</v>
          </cell>
          <cell r="G1696">
            <v>624.04999999999995</v>
          </cell>
        </row>
        <row r="1697">
          <cell r="B1697" t="str">
            <v>ЕН26-26-2</v>
          </cell>
          <cell r="C1697" t="str">
            <v>Покриття iзоляцiї фасонних поверхонь
оцинкованою сталлю</v>
          </cell>
          <cell r="D1697" t="str">
            <v>10 м2</v>
          </cell>
          <cell r="E1697">
            <v>0.60799999999999998</v>
          </cell>
          <cell r="F1697">
            <v>2558.27</v>
          </cell>
          <cell r="G1697">
            <v>1555.43</v>
          </cell>
        </row>
        <row r="1698">
          <cell r="B1698" t="str">
            <v>С111-1797</v>
          </cell>
          <cell r="C1698" t="str">
            <v>Сталь листова оцинкована, товщина листа
0,5 мм</v>
          </cell>
          <cell r="D1698" t="str">
            <v>т</v>
          </cell>
          <cell r="E1698">
            <v>2.3860000000000003E-2</v>
          </cell>
          <cell r="F1698">
            <v>90811.51</v>
          </cell>
          <cell r="G1698">
            <v>2166.7600000000002</v>
          </cell>
        </row>
        <row r="1699">
          <cell r="B1699" t="str">
            <v>Е16-27-7</v>
          </cell>
          <cell r="C1699" t="str">
            <v>Врiзування в дiючi внутрiшнi мережi
трубопроводу дiаметром 89х3,5 мм</v>
          </cell>
          <cell r="D1699" t="str">
            <v>шт</v>
          </cell>
          <cell r="E1699">
            <v>2</v>
          </cell>
          <cell r="F1699">
            <v>1003.18</v>
          </cell>
          <cell r="G1699">
            <v>2006.36</v>
          </cell>
        </row>
        <row r="1700">
          <cell r="B1700" t="str">
            <v>М12-698-1</v>
          </cell>
          <cell r="C1700" t="str">
            <v>Монтаж бобишок, штуцерiв на умовний
тиск до 10 МПа [100 кгс/см2]</v>
          </cell>
          <cell r="D1700" t="str">
            <v>10 шт</v>
          </cell>
          <cell r="E1700">
            <v>0.4</v>
          </cell>
          <cell r="F1700">
            <v>927.02</v>
          </cell>
          <cell r="G1700">
            <v>370.81</v>
          </cell>
        </row>
        <row r="1701">
          <cell r="B1701" t="str">
            <v>С1545-8</v>
          </cell>
          <cell r="C1701" t="str">
            <v>Бобишки БК 1/2"</v>
          </cell>
          <cell r="D1701" t="str">
            <v>шт</v>
          </cell>
          <cell r="E1701">
            <v>2</v>
          </cell>
          <cell r="F1701">
            <v>90.33</v>
          </cell>
          <cell r="G1701">
            <v>180.66</v>
          </cell>
        </row>
        <row r="1702">
          <cell r="B1702" t="str">
            <v>С1545-8</v>
          </cell>
          <cell r="C1702" t="str">
            <v>Бобишки БК 3/4"</v>
          </cell>
          <cell r="D1702" t="str">
            <v>шт</v>
          </cell>
          <cell r="E1702">
            <v>2</v>
          </cell>
          <cell r="F1702">
            <v>107.74</v>
          </cell>
          <cell r="G1702">
            <v>215.48</v>
          </cell>
        </row>
        <row r="1703">
          <cell r="B1703" t="str">
            <v>М12-699-1</v>
          </cell>
          <cell r="C1703" t="str">
            <v>Монтаж закладного пристрою вiдбирання
тиску [розрiдження]</v>
          </cell>
          <cell r="D1703" t="str">
            <v>10 шт</v>
          </cell>
          <cell r="E1703">
            <v>0.30000000000000004</v>
          </cell>
          <cell r="F1703">
            <v>1213.3399999999999</v>
          </cell>
          <cell r="G1703">
            <v>364</v>
          </cell>
        </row>
        <row r="1704">
          <cell r="B1704" t="str">
            <v>С113-948-2</v>
          </cell>
          <cell r="C1704" t="str">
            <v>Відбірний пристрій тиску 1,6-225У</v>
          </cell>
          <cell r="D1704" t="str">
            <v>шт</v>
          </cell>
          <cell r="E1704">
            <v>2</v>
          </cell>
          <cell r="F1704">
            <v>213.73</v>
          </cell>
          <cell r="G1704">
            <v>427.46</v>
          </cell>
        </row>
        <row r="1705">
          <cell r="B1705" t="str">
            <v>С113-948-2</v>
          </cell>
          <cell r="C1705" t="str">
            <v>Відбірний пристрій тиску 1,6-70У</v>
          </cell>
          <cell r="D1705" t="str">
            <v>шт</v>
          </cell>
          <cell r="E1705">
            <v>1</v>
          </cell>
          <cell r="F1705">
            <v>183.66</v>
          </cell>
          <cell r="G1705">
            <v>183.66</v>
          </cell>
        </row>
        <row r="1706">
          <cell r="B1706" t="str">
            <v>РН15-58-1</v>
          </cell>
          <cell r="C1706" t="str">
            <v>Демонтаж вiдцентрових насосiв з
електродвигуном масою до 0,1 т</v>
          </cell>
          <cell r="D1706" t="str">
            <v>насос</v>
          </cell>
          <cell r="E1706">
            <v>1</v>
          </cell>
          <cell r="F1706">
            <v>377.5</v>
          </cell>
          <cell r="G1706">
            <v>377.5</v>
          </cell>
        </row>
        <row r="1707">
          <cell r="B1707" t="str">
            <v>РН15-2-4</v>
          </cell>
          <cell r="C1707" t="str">
            <v>Демонтування заслінок Ду65 мм</v>
          </cell>
          <cell r="D1707" t="str">
            <v>100шт</v>
          </cell>
          <cell r="E1707">
            <v>0.04</v>
          </cell>
          <cell r="F1707">
            <v>9308.1299999999992</v>
          </cell>
          <cell r="G1707">
            <v>372.33</v>
          </cell>
        </row>
        <row r="1708">
          <cell r="B1708" t="str">
            <v>Е18-21-5к=0,4</v>
          </cell>
          <cell r="C1708" t="str">
            <v>Демонтування фiльтрiв дiаметром 65 мм</v>
          </cell>
          <cell r="D1708" t="str">
            <v>10шт</v>
          </cell>
          <cell r="E1708">
            <v>0.1</v>
          </cell>
          <cell r="F1708">
            <v>610.13</v>
          </cell>
          <cell r="G1708">
            <v>61.01</v>
          </cell>
        </row>
        <row r="1709">
          <cell r="B1709" t="str">
            <v>РН15-2-4</v>
          </cell>
          <cell r="C1709" t="str">
            <v>Демонтування клапанів Ду65 мм</v>
          </cell>
          <cell r="D1709" t="str">
            <v>100шт</v>
          </cell>
          <cell r="E1709">
            <v>0.01</v>
          </cell>
          <cell r="F1709">
            <v>9308.1299999999992</v>
          </cell>
          <cell r="G1709">
            <v>93.08</v>
          </cell>
        </row>
        <row r="1710">
          <cell r="B1710" t="str">
            <v>Е16-10-3к=0,4</v>
          </cell>
          <cell r="C1710" t="str">
            <v>Демонтування трубопроводiв опалення i
водопостачання зi стальних
електрозварних труб дiаметром 65 мм</v>
          </cell>
          <cell r="D1710" t="str">
            <v>100м</v>
          </cell>
          <cell r="E1710">
            <v>0.96</v>
          </cell>
          <cell r="F1710">
            <v>3498.88</v>
          </cell>
          <cell r="G1710">
            <v>3358.92</v>
          </cell>
        </row>
        <row r="1711">
          <cell r="B1711" t="str">
            <v>Е16-10-2к=0,4</v>
          </cell>
          <cell r="C1711" t="str">
            <v>Демонтування трубопроводiв опалення i
водопостачання зi стальних
електрозварних труб дiаметром 50 мм</v>
          </cell>
          <cell r="D1711" t="str">
            <v>100м</v>
          </cell>
          <cell r="E1711">
            <v>0.04</v>
          </cell>
          <cell r="F1711">
            <v>3094.2</v>
          </cell>
          <cell r="G1711">
            <v>123.77</v>
          </cell>
        </row>
        <row r="1712">
          <cell r="B1712" t="str">
            <v>С1545-104(зворотнiматерiали)</v>
          </cell>
          <cell r="C1712" t="str">
            <v>Брухт металевий
(зворотнi матерiали)</v>
          </cell>
          <cell r="D1712" t="str">
            <v>т</v>
          </cell>
          <cell r="E1712">
            <v>0.68999999999999984</v>
          </cell>
          <cell r="F1712" t="str">
            <v xml:space="preserve">   -   </v>
          </cell>
          <cell r="G1712" t="str">
            <v xml:space="preserve">   -   </v>
          </cell>
        </row>
        <row r="1714">
          <cell r="B1714" t="str">
            <v>М11-31-1</v>
          </cell>
          <cell r="C1714" t="str">
            <v>Прилади, що установлюються на
конструкцiях, маса до 5 кг</v>
          </cell>
          <cell r="D1714" t="str">
            <v>шт</v>
          </cell>
          <cell r="E1714">
            <v>1</v>
          </cell>
          <cell r="F1714">
            <v>82.62</v>
          </cell>
          <cell r="G1714">
            <v>82.62</v>
          </cell>
        </row>
        <row r="1715">
          <cell r="B1715" t="str">
            <v>1701-1043-1</v>
          </cell>
          <cell r="C1715" t="str">
            <v>Термоманометр, що показує межі виміру
0...120град С і 0...0,4МПа, діаметр корпусу
80мм, з автоматичним блокуючим клапаном,
штуцер    вісьовий, кл. т. 2,5 ДМТ-
В/0...120град С; 0...0,4МПа /2,5</v>
          </cell>
          <cell r="D1715" t="str">
            <v>шт</v>
          </cell>
          <cell r="E1715">
            <v>13</v>
          </cell>
          <cell r="F1715">
            <v>501.91</v>
          </cell>
          <cell r="G1715">
            <v>6524.83</v>
          </cell>
        </row>
        <row r="1716">
          <cell r="B1716" t="str">
            <v>1701-5005-Н</v>
          </cell>
          <cell r="C1716" t="str">
            <v>Електронний кімнатний термостат,
+5...+30_С С48</v>
          </cell>
          <cell r="D1716" t="str">
            <v>шт</v>
          </cell>
          <cell r="E1716">
            <v>1</v>
          </cell>
          <cell r="F1716">
            <v>2781.69</v>
          </cell>
          <cell r="G1716">
            <v>2781.69</v>
          </cell>
        </row>
        <row r="1717">
          <cell r="B1717" t="str">
            <v>1701-5005-Н1</v>
          </cell>
          <cell r="C1717" t="str">
            <v>Термостат занурювальний, +10...+90_С
С03А2</v>
          </cell>
          <cell r="D1717" t="str">
            <v>шт</v>
          </cell>
          <cell r="E1717">
            <v>1</v>
          </cell>
          <cell r="F1717">
            <v>1332.15</v>
          </cell>
          <cell r="G1717">
            <v>1332.15</v>
          </cell>
        </row>
        <row r="1718">
          <cell r="B1718" t="str">
            <v>1704-20023</v>
          </cell>
          <cell r="C1718" t="str">
            <v>Манометр, що показує, верхня межа виміру
0,4МПа, штуцер радіальний МП3-У-4</v>
          </cell>
          <cell r="D1718" t="str">
            <v>шт</v>
          </cell>
          <cell r="E1718">
            <v>7</v>
          </cell>
          <cell r="F1718">
            <v>257.85000000000002</v>
          </cell>
          <cell r="G1718">
            <v>1804.95</v>
          </cell>
        </row>
        <row r="1719">
          <cell r="B1719" t="str">
            <v>М8-80-1</v>
          </cell>
          <cell r="C1719" t="str">
            <v>Прилад вимiрювання i захисту, кiлькiсть
кiнцiв, що пiдключаються, до 2</v>
          </cell>
          <cell r="D1719" t="str">
            <v>шт</v>
          </cell>
          <cell r="E1719">
            <v>10</v>
          </cell>
          <cell r="F1719">
            <v>115.16</v>
          </cell>
          <cell r="G1719">
            <v>1151.5999999999999</v>
          </cell>
        </row>
        <row r="1720">
          <cell r="B1720" t="str">
            <v>М11-30-1</v>
          </cell>
          <cell r="C1720" t="str">
            <v>Прилади, що установлюються на
технологiчних трубопроводах i устаткуваннi
на закладних пристроях, з'єднання рiзальнi</v>
          </cell>
          <cell r="D1720" t="str">
            <v>шт</v>
          </cell>
          <cell r="E1720">
            <v>3</v>
          </cell>
          <cell r="F1720">
            <v>126.43</v>
          </cell>
          <cell r="G1720">
            <v>379.29</v>
          </cell>
        </row>
        <row r="1721">
          <cell r="B1721" t="str">
            <v>М11-31-1</v>
          </cell>
          <cell r="C1721" t="str">
            <v>Прилади, що установлюються на
конструкцiях, маса до 5 кг</v>
          </cell>
          <cell r="D1721" t="str">
            <v>шт</v>
          </cell>
          <cell r="E1721">
            <v>1</v>
          </cell>
          <cell r="F1721">
            <v>82.62</v>
          </cell>
          <cell r="G1721">
            <v>82.62</v>
          </cell>
        </row>
        <row r="1722">
          <cell r="B1722" t="str">
            <v>1701-1043-4</v>
          </cell>
          <cell r="C1722" t="str">
            <v>Реле тиску, -0,2/8 Бар, В12CN</v>
          </cell>
          <cell r="D1722" t="str">
            <v>шт</v>
          </cell>
          <cell r="E1722">
            <v>8</v>
          </cell>
          <cell r="F1722">
            <v>2154.37</v>
          </cell>
          <cell r="G1722">
            <v>17234.96</v>
          </cell>
        </row>
        <row r="1723">
          <cell r="B1723" t="str">
            <v>1704-10320-Н</v>
          </cell>
          <cell r="C1723" t="str">
            <v>Датчик температури зовнішнього повітря
AF20</v>
          </cell>
          <cell r="D1723" t="str">
            <v>шт</v>
          </cell>
          <cell r="E1723">
            <v>1</v>
          </cell>
          <cell r="F1723">
            <v>629.38</v>
          </cell>
          <cell r="G1723">
            <v>629.38</v>
          </cell>
        </row>
        <row r="1724">
          <cell r="B1724" t="str">
            <v>1704-10320-Н</v>
          </cell>
          <cell r="C1724" t="str">
            <v>Датчик температури подавальноі лініі VF20A</v>
          </cell>
          <cell r="D1724" t="str">
            <v>шт</v>
          </cell>
          <cell r="E1724">
            <v>3</v>
          </cell>
          <cell r="F1724">
            <v>733.88</v>
          </cell>
          <cell r="G1724">
            <v>2201.64</v>
          </cell>
        </row>
        <row r="1725">
          <cell r="B1725" t="str">
            <v>1504-7016-Н</v>
          </cell>
          <cell r="C1725" t="str">
            <v>Контролер цифровой Smail SDC12-31N</v>
          </cell>
          <cell r="D1725" t="str">
            <v>шт</v>
          </cell>
          <cell r="E1725">
            <v>1</v>
          </cell>
          <cell r="F1725">
            <v>12262.91</v>
          </cell>
          <cell r="G1725">
            <v>12262.91</v>
          </cell>
        </row>
        <row r="1726">
          <cell r="B1726" t="str">
            <v>1504-7016-Н</v>
          </cell>
          <cell r="C1726" t="str">
            <v>Расширення Smail SDC3-40N</v>
          </cell>
          <cell r="D1726" t="str">
            <v>шт</v>
          </cell>
          <cell r="E1726">
            <v>1</v>
          </cell>
          <cell r="F1726">
            <v>6499.59</v>
          </cell>
          <cell r="G1726">
            <v>6499.59</v>
          </cell>
        </row>
        <row r="1727">
          <cell r="B1727" t="str">
            <v>М11-1-1</v>
          </cell>
          <cell r="C1727" t="str">
            <v>Конструкцiї для установлення приладiв,
маса до 1 кг</v>
          </cell>
          <cell r="D1727" t="str">
            <v>шт</v>
          </cell>
          <cell r="E1727">
            <v>2</v>
          </cell>
          <cell r="F1727">
            <v>47.31</v>
          </cell>
          <cell r="G1727">
            <v>94.62</v>
          </cell>
        </row>
        <row r="1728">
          <cell r="B1728" t="str">
            <v>1504-19165-Н1</v>
          </cell>
          <cell r="C1728" t="str">
            <v>Клемна панель для монтажа у шафі SCS-12</v>
          </cell>
          <cell r="D1728" t="str">
            <v>шт</v>
          </cell>
          <cell r="E1728">
            <v>2</v>
          </cell>
          <cell r="F1728">
            <v>3061.9</v>
          </cell>
          <cell r="G1728">
            <v>6123.8</v>
          </cell>
        </row>
        <row r="1729">
          <cell r="B1729" t="str">
            <v>М8-599-9</v>
          </cell>
          <cell r="C1729" t="str">
            <v>Щиток освiтлювальний, що
установлюється розпiрними дюбелями на
стiнi, маса щитка до 6 кг</v>
          </cell>
          <cell r="D1729" t="str">
            <v>шт</v>
          </cell>
          <cell r="E1729">
            <v>2</v>
          </cell>
          <cell r="F1729">
            <v>1109.8800000000001</v>
          </cell>
          <cell r="G1729">
            <v>2219.7600000000002</v>
          </cell>
        </row>
        <row r="1730">
          <cell r="B1730" t="str">
            <v>1517-1102Н</v>
          </cell>
          <cell r="C1730" t="str">
            <v>Щит автоматизаціі, що складається зі щита
навісного із монтажною панелею, габарит
650х500х220, IP54 ЩМП-3-0 74 УХЛЗ "IEK"</v>
          </cell>
          <cell r="D1730" t="str">
            <v>шт</v>
          </cell>
          <cell r="E1730">
            <v>1</v>
          </cell>
          <cell r="F1730">
            <v>2370.9699999999998</v>
          </cell>
          <cell r="G1730">
            <v>2370.9699999999998</v>
          </cell>
        </row>
        <row r="1731">
          <cell r="B1731" t="str">
            <v>1517-1100Н</v>
          </cell>
          <cell r="C1731" t="str">
            <v>Щит насоса підігрівача, що складається зі
ящика електромонтажного навісного із
монтажною панелею, габарит 300х250х150,
IP55 (09602)</v>
          </cell>
          <cell r="D1731" t="str">
            <v>шт</v>
          </cell>
          <cell r="E1731">
            <v>1</v>
          </cell>
          <cell r="F1731">
            <v>420.93</v>
          </cell>
          <cell r="G1731">
            <v>420.93</v>
          </cell>
        </row>
        <row r="1732">
          <cell r="B1732" t="str">
            <v>М8-575-1</v>
          </cell>
          <cell r="C1732" t="str">
            <v>Установлення приладiв або апаратiв,
знятих перед транспортуванням</v>
          </cell>
          <cell r="D1732" t="str">
            <v>шт</v>
          </cell>
          <cell r="E1732">
            <v>10</v>
          </cell>
          <cell r="F1732">
            <v>117.29</v>
          </cell>
          <cell r="G1732">
            <v>1172.9000000000001</v>
          </cell>
        </row>
        <row r="1733">
          <cell r="B1733" t="str">
            <v>1504-1001-6-Ю</v>
          </cell>
          <cell r="C1733" t="str">
            <v>Вимикач автоматичний , 380В, Iкр=6А, S203-
С-6</v>
          </cell>
          <cell r="D1733" t="str">
            <v>шт</v>
          </cell>
          <cell r="E1733">
            <v>1</v>
          </cell>
          <cell r="F1733">
            <v>548.63</v>
          </cell>
          <cell r="G1733">
            <v>548.63</v>
          </cell>
        </row>
        <row r="1734">
          <cell r="B1734" t="str">
            <v>1504-1001-3-Щ</v>
          </cell>
          <cell r="C1734" t="str">
            <v>Вимикач автоматичний , 230В, Iкр=3А, S201-
С-3</v>
          </cell>
          <cell r="D1734" t="str">
            <v>шт</v>
          </cell>
          <cell r="E1734">
            <v>4</v>
          </cell>
          <cell r="F1734">
            <v>178.6</v>
          </cell>
          <cell r="G1734">
            <v>714.4</v>
          </cell>
        </row>
        <row r="1735">
          <cell r="B1735" t="str">
            <v>1504-1001-1-Ш</v>
          </cell>
          <cell r="C1735" t="str">
            <v>Вимикач автоматичний , 230В, Iкр=2А, S201-
С-2</v>
          </cell>
          <cell r="D1735" t="str">
            <v>шт</v>
          </cell>
          <cell r="E1735">
            <v>1</v>
          </cell>
          <cell r="F1735">
            <v>178.6</v>
          </cell>
          <cell r="G1735">
            <v>178.6</v>
          </cell>
        </row>
        <row r="1736">
          <cell r="B1736" t="str">
            <v>1504-1001-4-Э</v>
          </cell>
          <cell r="C1736" t="str">
            <v>Вимикач автоматичний , 230В, Iкр=1А, S201-
С-1</v>
          </cell>
          <cell r="D1736" t="str">
            <v>шт</v>
          </cell>
          <cell r="E1736">
            <v>2</v>
          </cell>
          <cell r="F1736">
            <v>178.6</v>
          </cell>
          <cell r="G1736">
            <v>357.2</v>
          </cell>
        </row>
        <row r="1737">
          <cell r="B1737" t="str">
            <v>1504-1001-7-Я</v>
          </cell>
          <cell r="C1737" t="str">
            <v>Вимикач автоматичний для захисту двигунів,
380В, Iуст.=0,4...0,63А, МS116-0,63</v>
          </cell>
          <cell r="D1737" t="str">
            <v>шт</v>
          </cell>
          <cell r="E1737">
            <v>1</v>
          </cell>
          <cell r="F1737">
            <v>527.25</v>
          </cell>
          <cell r="G1737">
            <v>527.25</v>
          </cell>
        </row>
        <row r="1738">
          <cell r="B1738" t="str">
            <v>М8-575-1</v>
          </cell>
          <cell r="C1738" t="str">
            <v>Установлення приладiв або апаратiв,
знятих перед транспортуванням</v>
          </cell>
          <cell r="D1738" t="str">
            <v>шт</v>
          </cell>
          <cell r="E1738">
            <v>8</v>
          </cell>
          <cell r="F1738">
            <v>117.29</v>
          </cell>
          <cell r="G1738">
            <v>938.32</v>
          </cell>
        </row>
        <row r="1739">
          <cell r="B1739" t="str">
            <v>1504-5001-2</v>
          </cell>
          <cell r="C1739" t="str">
            <v>Контактор електромагнiтний Uk 230В, 24А
4НВ конт. ESB 24-40</v>
          </cell>
          <cell r="D1739" t="str">
            <v>шт</v>
          </cell>
          <cell r="E1739">
            <v>1</v>
          </cell>
          <cell r="F1739">
            <v>684</v>
          </cell>
          <cell r="G1739">
            <v>684</v>
          </cell>
        </row>
        <row r="1740">
          <cell r="B1740" t="str">
            <v>1504-5001-5</v>
          </cell>
          <cell r="C1740" t="str">
            <v>Контактор електромагнiтний Uk 230В, 24А
3НВ+1НЗ конт. ESB 24-31</v>
          </cell>
          <cell r="D1740" t="str">
            <v>шт</v>
          </cell>
          <cell r="E1740">
            <v>2</v>
          </cell>
          <cell r="F1740">
            <v>695.09</v>
          </cell>
          <cell r="G1740">
            <v>1390.18</v>
          </cell>
        </row>
        <row r="1741">
          <cell r="B1741" t="str">
            <v>1504-5001-3</v>
          </cell>
          <cell r="C1741" t="str">
            <v>Контактор електромагнiтний Uk 230В, 20А
2НВ конт. ESB 20-20</v>
          </cell>
          <cell r="D1741" t="str">
            <v>шт</v>
          </cell>
          <cell r="E1741">
            <v>5</v>
          </cell>
          <cell r="F1741">
            <v>543.88</v>
          </cell>
          <cell r="G1741">
            <v>2719.4</v>
          </cell>
        </row>
        <row r="1742">
          <cell r="B1742" t="str">
            <v>М8-575-1</v>
          </cell>
          <cell r="C1742" t="str">
            <v>Установлення приладiв або апаратiв,
знятих перед транспортуванням</v>
          </cell>
          <cell r="D1742" t="str">
            <v>шт</v>
          </cell>
          <cell r="E1742">
            <v>6</v>
          </cell>
          <cell r="F1742">
            <v>117.29</v>
          </cell>
          <cell r="G1742">
            <v>703.74</v>
          </cell>
        </row>
        <row r="1743">
          <cell r="B1743" t="str">
            <v>1504-6200-1</v>
          </cell>
          <cell r="C1743" t="str">
            <v>Кулачковий перемикач,10 А (0-1), кут
поворота 90_ ОМA1РВ</v>
          </cell>
          <cell r="D1743" t="str">
            <v>шт</v>
          </cell>
          <cell r="E1743">
            <v>3</v>
          </cell>
          <cell r="F1743">
            <v>335.06</v>
          </cell>
          <cell r="G1743">
            <v>1005.18</v>
          </cell>
        </row>
        <row r="1744">
          <cell r="B1744" t="str">
            <v>1504-6200-2</v>
          </cell>
          <cell r="C1744" t="str">
            <v>Кулачковий перемикач,10 А (1-0-2), кут
поворота 60_ ОМU1РВ</v>
          </cell>
          <cell r="D1744" t="str">
            <v>шт</v>
          </cell>
          <cell r="E1744">
            <v>3</v>
          </cell>
          <cell r="F1744">
            <v>335.06</v>
          </cell>
          <cell r="G1744">
            <v>1005.18</v>
          </cell>
        </row>
        <row r="1745">
          <cell r="B1745" t="str">
            <v>М8-81-1</v>
          </cell>
          <cell r="C1745" t="str">
            <v>Апарат керування i сигналiзацiї, кiлькiсть
кiнцiв, що пiдключаються, до 2</v>
          </cell>
          <cell r="D1745" t="str">
            <v>шт</v>
          </cell>
          <cell r="E1745">
            <v>15</v>
          </cell>
          <cell r="F1745">
            <v>116.08</v>
          </cell>
          <cell r="G1745">
            <v>1741.2</v>
          </cell>
        </row>
        <row r="1746">
          <cell r="B1746" t="str">
            <v>1504-15316-1</v>
          </cell>
          <cell r="C1746" t="str">
            <v>Свiтлосигнальний індікатор 230В ХВ4ВVM5,
ХВ4ВVM3, ХВ4ВVM4</v>
          </cell>
          <cell r="D1746" t="str">
            <v>шт</v>
          </cell>
          <cell r="E1746">
            <v>15</v>
          </cell>
          <cell r="F1746">
            <v>220.88</v>
          </cell>
          <cell r="G1746">
            <v>3313.2</v>
          </cell>
        </row>
        <row r="1747">
          <cell r="B1747" t="str">
            <v>М8-575-1</v>
          </cell>
          <cell r="C1747" t="str">
            <v>Установлення приладiв або апаратiв,
знятих перед транспортуванням</v>
          </cell>
          <cell r="D1747" t="str">
            <v>шт</v>
          </cell>
          <cell r="E1747">
            <v>2</v>
          </cell>
          <cell r="F1747">
            <v>117.29</v>
          </cell>
          <cell r="G1747">
            <v>234.58</v>
          </cell>
        </row>
        <row r="1748">
          <cell r="B1748" t="str">
            <v>1504-18001-1</v>
          </cell>
          <cell r="C1748" t="str">
            <v>Кнопка 230В 16А червона 1НЗ конт. CP1-
30R-01</v>
          </cell>
          <cell r="D1748" t="str">
            <v>шт</v>
          </cell>
          <cell r="E1748">
            <v>1</v>
          </cell>
          <cell r="F1748">
            <v>98.96</v>
          </cell>
          <cell r="G1748">
            <v>98.96</v>
          </cell>
        </row>
        <row r="1749">
          <cell r="B1749" t="str">
            <v>1504-18001-2</v>
          </cell>
          <cell r="C1749" t="str">
            <v>Кнопка 230В 16А чорна 1НВ конт. CP1-30В-
10</v>
          </cell>
          <cell r="D1749" t="str">
            <v>шт</v>
          </cell>
          <cell r="E1749">
            <v>1</v>
          </cell>
          <cell r="F1749">
            <v>100.54</v>
          </cell>
          <cell r="G1749">
            <v>100.54</v>
          </cell>
        </row>
        <row r="1750">
          <cell r="B1750" t="str">
            <v>М8-80-1</v>
          </cell>
          <cell r="C1750" t="str">
            <v>Прилад вимiрювання i захисту, кiлькiсть
кiнцiв, що пiдключаються, до 2</v>
          </cell>
          <cell r="D1750" t="str">
            <v>шт</v>
          </cell>
          <cell r="E1750">
            <v>3</v>
          </cell>
          <cell r="F1750">
            <v>115.16</v>
          </cell>
          <cell r="G1750">
            <v>345.48</v>
          </cell>
        </row>
        <row r="1751">
          <cell r="B1751" t="str">
            <v>1504-1001-9-10</v>
          </cell>
          <cell r="C1751" t="str">
            <v>Сигнальний контакт для автоматичного
вимикача МS116 1НВ+1Н3 конт.SK1-11</v>
          </cell>
          <cell r="D1751" t="str">
            <v>шт</v>
          </cell>
          <cell r="E1751">
            <v>2</v>
          </cell>
          <cell r="F1751">
            <v>192.38</v>
          </cell>
          <cell r="G1751">
            <v>384.76</v>
          </cell>
        </row>
        <row r="1752">
          <cell r="B1752" t="str">
            <v>1504-12087-1</v>
          </cell>
          <cell r="C1752" t="str">
            <v>Реле струму двостабільне 230В РТД12</v>
          </cell>
          <cell r="D1752" t="str">
            <v>шт</v>
          </cell>
          <cell r="E1752">
            <v>1</v>
          </cell>
          <cell r="F1752">
            <v>538.29999999999995</v>
          </cell>
          <cell r="G1752">
            <v>538.29999999999995</v>
          </cell>
        </row>
        <row r="1753">
          <cell r="B1753" t="str">
            <v>1504-12001-4</v>
          </cell>
          <cell r="C1753" t="str">
            <v>Діод Д226</v>
          </cell>
          <cell r="D1753" t="str">
            <v>шт</v>
          </cell>
          <cell r="E1753">
            <v>8</v>
          </cell>
          <cell r="F1753">
            <v>2.85</v>
          </cell>
          <cell r="G1753">
            <v>22.8</v>
          </cell>
        </row>
        <row r="1754">
          <cell r="B1754" t="str">
            <v>15102-8023</v>
          </cell>
          <cell r="C1754" t="str">
            <v>Резистор 2,2 Ом 10Вт</v>
          </cell>
          <cell r="D1754" t="str">
            <v>шт</v>
          </cell>
          <cell r="E1754">
            <v>1</v>
          </cell>
          <cell r="F1754">
            <v>7.17</v>
          </cell>
          <cell r="G1754">
            <v>7.17</v>
          </cell>
        </row>
        <row r="1755">
          <cell r="B1755" t="str">
            <v>2405-1748</v>
          </cell>
          <cell r="C1755" t="str">
            <v>35мм монтажна DIN-рейка 60см</v>
          </cell>
          <cell r="D1755" t="str">
            <v>1000шт</v>
          </cell>
          <cell r="E1755">
            <v>3.0000000000000001E-3</v>
          </cell>
          <cell r="F1755">
            <v>16688.41</v>
          </cell>
          <cell r="G1755">
            <v>50.07</v>
          </cell>
        </row>
        <row r="1756">
          <cell r="B1756" t="str">
            <v>2405-3060</v>
          </cell>
          <cell r="C1756" t="str">
            <v>Клемні затискачи ЗНИ-4</v>
          </cell>
          <cell r="D1756" t="str">
            <v>1000шт</v>
          </cell>
          <cell r="E1756">
            <v>0.04</v>
          </cell>
          <cell r="F1756">
            <v>9498.2999999999993</v>
          </cell>
          <cell r="G1756">
            <v>379.93</v>
          </cell>
        </row>
        <row r="1757">
          <cell r="B1757" t="str">
            <v>2405-3060</v>
          </cell>
          <cell r="C1757" t="str">
            <v>Клемні затискачи для призднання захисних
провідників РЕ ЗНИ-PEN</v>
          </cell>
          <cell r="D1757" t="str">
            <v>1000шт</v>
          </cell>
          <cell r="E1757">
            <v>0.01</v>
          </cell>
          <cell r="F1757">
            <v>25954.41</v>
          </cell>
          <cell r="G1757">
            <v>259.54000000000002</v>
          </cell>
        </row>
        <row r="1758">
          <cell r="B1758" t="str">
            <v>М8-575-1</v>
          </cell>
          <cell r="C1758" t="str">
            <v>Установлення приладiв або апаратiв,
знятих перед транспортуванням</v>
          </cell>
          <cell r="D1758" t="str">
            <v>шт</v>
          </cell>
          <cell r="E1758">
            <v>1</v>
          </cell>
          <cell r="F1758">
            <v>117.29</v>
          </cell>
          <cell r="G1758">
            <v>117.29</v>
          </cell>
        </row>
        <row r="1759">
          <cell r="B1759" t="str">
            <v>1504-1001-10-11</v>
          </cell>
          <cell r="C1759" t="str">
            <v>Вимикач автоматичний для захисту двигунів,
380В, Iуст.=1,6...2,5А, МS116-2,5</v>
          </cell>
          <cell r="D1759" t="str">
            <v>шт</v>
          </cell>
          <cell r="E1759">
            <v>1</v>
          </cell>
          <cell r="F1759">
            <v>463.91</v>
          </cell>
          <cell r="G1759">
            <v>463.91</v>
          </cell>
        </row>
        <row r="1760">
          <cell r="B1760" t="str">
            <v>М8-80-1</v>
          </cell>
          <cell r="C1760" t="str">
            <v>Прилад вимiрювання i захисту, кiлькiсть
кiнцiв, що пiдключаються, до 2</v>
          </cell>
          <cell r="D1760" t="str">
            <v>шт</v>
          </cell>
          <cell r="E1760">
            <v>1</v>
          </cell>
          <cell r="F1760">
            <v>115.16</v>
          </cell>
          <cell r="G1760">
            <v>115.16</v>
          </cell>
        </row>
        <row r="1761">
          <cell r="B1761" t="str">
            <v>1504-1001-9-10</v>
          </cell>
          <cell r="C1761" t="str">
            <v>Сигнальний контакт для автоматичного
вимикача МS116 1НВ+1Н3 конт.SK1-11</v>
          </cell>
          <cell r="D1761" t="str">
            <v>шт</v>
          </cell>
          <cell r="E1761">
            <v>1</v>
          </cell>
          <cell r="F1761">
            <v>192.38</v>
          </cell>
          <cell r="G1761">
            <v>192.38</v>
          </cell>
        </row>
        <row r="1762">
          <cell r="B1762" t="str">
            <v>М8-575-1</v>
          </cell>
          <cell r="C1762" t="str">
            <v>Установлення приладiв або апаратiв,
знятих перед транспортуванням</v>
          </cell>
          <cell r="D1762" t="str">
            <v>шт</v>
          </cell>
          <cell r="E1762">
            <v>1</v>
          </cell>
          <cell r="F1762">
            <v>117.29</v>
          </cell>
          <cell r="G1762">
            <v>117.29</v>
          </cell>
        </row>
        <row r="1763">
          <cell r="B1763" t="str">
            <v>1504-5001-2</v>
          </cell>
          <cell r="C1763" t="str">
            <v>Контактор електромагнiтний Uk 230В, 24А
4НВ конт. ESB 24-40</v>
          </cell>
          <cell r="D1763" t="str">
            <v>шт</v>
          </cell>
          <cell r="E1763">
            <v>1</v>
          </cell>
          <cell r="F1763">
            <v>684</v>
          </cell>
          <cell r="G1763">
            <v>684</v>
          </cell>
        </row>
        <row r="1764">
          <cell r="B1764" t="str">
            <v>М8-575-1</v>
          </cell>
          <cell r="C1764" t="str">
            <v>Установлення приладiв або апаратiв,
знятих перед транспортуванням</v>
          </cell>
          <cell r="D1764" t="str">
            <v>шт</v>
          </cell>
          <cell r="E1764">
            <v>1</v>
          </cell>
          <cell r="F1764">
            <v>117.29</v>
          </cell>
          <cell r="G1764">
            <v>117.29</v>
          </cell>
        </row>
        <row r="1765">
          <cell r="B1765" t="str">
            <v>1504-6200-2</v>
          </cell>
          <cell r="C1765" t="str">
            <v>Кулачковий перемикач,10 А (1-0-2), кут
поворота 60_ ОМU1РВ</v>
          </cell>
          <cell r="D1765" t="str">
            <v>шт</v>
          </cell>
          <cell r="E1765">
            <v>1</v>
          </cell>
          <cell r="F1765">
            <v>335.06</v>
          </cell>
          <cell r="G1765">
            <v>335.06</v>
          </cell>
        </row>
        <row r="1766">
          <cell r="B1766" t="str">
            <v>М8-81-1</v>
          </cell>
          <cell r="C1766" t="str">
            <v>Апарат керування i сигналiзацiї, кiлькiсть
кiнцiв, що пiдключаються, до 2</v>
          </cell>
          <cell r="D1766" t="str">
            <v>шт</v>
          </cell>
          <cell r="E1766">
            <v>2</v>
          </cell>
          <cell r="F1766">
            <v>116.08</v>
          </cell>
          <cell r="G1766">
            <v>232.16</v>
          </cell>
        </row>
        <row r="1767">
          <cell r="B1767" t="str">
            <v>1504-15316-1</v>
          </cell>
          <cell r="C1767" t="str">
            <v>Свiтлосигнальний індікатор 230В ХВ4ВVM3,
ХВ4ВVM4</v>
          </cell>
          <cell r="D1767" t="str">
            <v>шт</v>
          </cell>
          <cell r="E1767">
            <v>2</v>
          </cell>
          <cell r="F1767">
            <v>220.88</v>
          </cell>
          <cell r="G1767">
            <v>441.76</v>
          </cell>
        </row>
        <row r="1768">
          <cell r="B1768" t="str">
            <v>М8-575-1</v>
          </cell>
          <cell r="C1768" t="str">
            <v>Установлення приладiв або апаратiв,
знятих перед транспортуванням</v>
          </cell>
          <cell r="D1768" t="str">
            <v>шт</v>
          </cell>
          <cell r="E1768">
            <v>1</v>
          </cell>
          <cell r="F1768">
            <v>117.29</v>
          </cell>
          <cell r="G1768">
            <v>117.29</v>
          </cell>
        </row>
        <row r="1769">
          <cell r="B1769" t="str">
            <v>1504-18001-1</v>
          </cell>
          <cell r="C1769" t="str">
            <v>Кнопка 230В 16А червона 1НЗ конт. CP1-
30R-01</v>
          </cell>
          <cell r="D1769" t="str">
            <v>шт</v>
          </cell>
          <cell r="E1769">
            <v>1</v>
          </cell>
          <cell r="F1769">
            <v>98.96</v>
          </cell>
          <cell r="G1769">
            <v>98.96</v>
          </cell>
        </row>
        <row r="1770">
          <cell r="B1770" t="str">
            <v>М10-668-3</v>
          </cell>
          <cell r="C1770" t="str">
            <v>Сповiщувач світлозвуковий внутрішній 220В
60Вт IP43</v>
          </cell>
          <cell r="D1770" t="str">
            <v>шт</v>
          </cell>
          <cell r="E1770">
            <v>1</v>
          </cell>
          <cell r="F1770">
            <v>256.68</v>
          </cell>
          <cell r="G1770">
            <v>256.68</v>
          </cell>
        </row>
        <row r="1771">
          <cell r="B1771" t="str">
            <v>1704-50731-Н</v>
          </cell>
          <cell r="C1771" t="str">
            <v>Сповiщувач світлозвуковий внутрішній 220В
60Вт IP43 "Дуэт" С-06С-220</v>
          </cell>
          <cell r="D1771" t="str">
            <v>шт</v>
          </cell>
          <cell r="E1771">
            <v>1</v>
          </cell>
          <cell r="F1771">
            <v>278.07</v>
          </cell>
          <cell r="G1771">
            <v>278.07</v>
          </cell>
        </row>
        <row r="1772">
          <cell r="B1772" t="str">
            <v>М8-412-1</v>
          </cell>
          <cell r="C1772" t="str">
            <v>Провiд перший одножильний або
багатожильний у загальному обплетеннi у
прокладених трубах або металорукавах,
сумарний перерiз до 2,5 мм2</v>
          </cell>
          <cell r="D1772" t="str">
            <v>100 м</v>
          </cell>
          <cell r="E1772">
            <v>0.28999999999999998</v>
          </cell>
          <cell r="F1772">
            <v>704.31</v>
          </cell>
          <cell r="G1772">
            <v>204.25</v>
          </cell>
        </row>
        <row r="1773">
          <cell r="B1773" t="str">
            <v>М8-412-2</v>
          </cell>
          <cell r="C1773" t="str">
            <v>Провiд перший одножильний або
багатожильний у загальному обплетеннi у
прокладених трубах або металорукавах,
сумарний перерiз до 6 мм2</v>
          </cell>
          <cell r="D1773" t="str">
            <v>100 м</v>
          </cell>
          <cell r="E1773">
            <v>0.59</v>
          </cell>
          <cell r="F1773">
            <v>817.8</v>
          </cell>
          <cell r="G1773">
            <v>482.5</v>
          </cell>
        </row>
        <row r="1774">
          <cell r="B1774" t="str">
            <v>М8-412-4</v>
          </cell>
          <cell r="C1774" t="str">
            <v>Провiд перший одножильний або
багатожильний у загальному обплетеннi у
прокладених трубах або металорукавах,
сумарний перерiз до 35 мм2</v>
          </cell>
          <cell r="D1774" t="str">
            <v>100 м</v>
          </cell>
          <cell r="E1774">
            <v>0.03</v>
          </cell>
          <cell r="F1774">
            <v>1377.98</v>
          </cell>
          <cell r="G1774">
            <v>41.34</v>
          </cell>
        </row>
        <row r="1775">
          <cell r="B1775" t="str">
            <v>М8-398-1</v>
          </cell>
          <cell r="C1775" t="str">
            <v>Провiд, що прокладається у лотках,
сумарний перерiз до 6 мм2</v>
          </cell>
          <cell r="D1775" t="str">
            <v>100 м</v>
          </cell>
          <cell r="E1775">
            <v>4.1500000000000004</v>
          </cell>
          <cell r="F1775">
            <v>178.77</v>
          </cell>
          <cell r="G1775">
            <v>741.9</v>
          </cell>
        </row>
        <row r="1776">
          <cell r="B1776" t="str">
            <v>М8-401-1</v>
          </cell>
          <cell r="C1776" t="str">
            <v>Кабель дво-, чотирижильний перерiзом
жили до 16 мм2, що прокладається з
крiпленням накладними скобами</v>
          </cell>
          <cell r="D1776" t="str">
            <v>100 м</v>
          </cell>
          <cell r="E1776">
            <v>0.34</v>
          </cell>
          <cell r="F1776">
            <v>10124.74</v>
          </cell>
          <cell r="G1776">
            <v>3442.41</v>
          </cell>
        </row>
        <row r="1777">
          <cell r="B1777" t="str">
            <v>15096-11111</v>
          </cell>
          <cell r="C1777" t="str">
            <v>Кабель контрольний з мідними жилами, з
ПХВ ізоляціею і оболонкою, що не
підтримує горіння, перерiзом 4х1мм2 КВВГнг</v>
          </cell>
          <cell r="D1777" t="str">
            <v>1000м</v>
          </cell>
          <cell r="E1777">
            <v>0.05</v>
          </cell>
          <cell r="F1777">
            <v>16872.47</v>
          </cell>
          <cell r="G1777">
            <v>843.62</v>
          </cell>
        </row>
        <row r="1778">
          <cell r="B1778" t="str">
            <v>15095-46011</v>
          </cell>
          <cell r="C1778" t="str">
            <v>Провiд перерiзом 2.0,5мм2, ПВСнг</v>
          </cell>
          <cell r="D1778" t="str">
            <v>1000м</v>
          </cell>
          <cell r="E1778">
            <v>5.9000000000000004E-2</v>
          </cell>
          <cell r="F1778">
            <v>17412.29</v>
          </cell>
          <cell r="G1778">
            <v>1027.33</v>
          </cell>
        </row>
        <row r="1779">
          <cell r="B1779" t="str">
            <v>15095-46071</v>
          </cell>
          <cell r="C1779" t="str">
            <v>Провiд перерiзом 3.0,75мм2, ПВСнг</v>
          </cell>
          <cell r="D1779" t="str">
            <v>1000м</v>
          </cell>
          <cell r="E1779">
            <v>0.14100000000000001</v>
          </cell>
          <cell r="F1779">
            <v>23650.52</v>
          </cell>
          <cell r="G1779">
            <v>3334.72</v>
          </cell>
        </row>
        <row r="1780">
          <cell r="B1780" t="str">
            <v>15095-46041</v>
          </cell>
          <cell r="C1780" t="str">
            <v>Провiд перерiзом 2.1,5мм2 ПВСнг</v>
          </cell>
          <cell r="D1780" t="str">
            <v>1000м</v>
          </cell>
          <cell r="E1780">
            <v>0.11800000000000001</v>
          </cell>
          <cell r="F1780">
            <v>26881.34</v>
          </cell>
          <cell r="G1780">
            <v>3172</v>
          </cell>
        </row>
        <row r="1781">
          <cell r="B1781" t="str">
            <v>15095-46091</v>
          </cell>
          <cell r="C1781" t="str">
            <v>Провiд перерiзом 3.1,5мм2, ПВСнг</v>
          </cell>
          <cell r="D1781" t="str">
            <v>1000м</v>
          </cell>
          <cell r="E1781">
            <v>9.4E-2</v>
          </cell>
          <cell r="F1781">
            <v>37333.589999999997</v>
          </cell>
          <cell r="G1781">
            <v>3509.36</v>
          </cell>
        </row>
        <row r="1782">
          <cell r="B1782" t="str">
            <v>15095-46131</v>
          </cell>
          <cell r="C1782" t="str">
            <v>Провiд перерiзом 4.1,5мм2, ПВСнг</v>
          </cell>
          <cell r="D1782" t="str">
            <v>1000м</v>
          </cell>
          <cell r="E1782">
            <v>7.4999999999999997E-2</v>
          </cell>
          <cell r="F1782">
            <v>48871.22</v>
          </cell>
          <cell r="G1782">
            <v>3665.34</v>
          </cell>
        </row>
        <row r="1783">
          <cell r="B1783" t="str">
            <v>15095-46141</v>
          </cell>
          <cell r="C1783" t="str">
            <v>Провiд перерiзом 5.4мм2 ПВСнг</v>
          </cell>
          <cell r="D1783" t="str">
            <v>1000м</v>
          </cell>
          <cell r="E1783">
            <v>3.0000000000000001E-3</v>
          </cell>
          <cell r="F1783">
            <v>156160.74</v>
          </cell>
          <cell r="G1783">
            <v>468.48</v>
          </cell>
        </row>
        <row r="1784">
          <cell r="B1784" t="str">
            <v>М8-405-1</v>
          </cell>
          <cell r="C1784" t="str">
            <v>Провiд, що прокладається по сталевих
конструкцiях i панелях, перерiз до 16 мм2</v>
          </cell>
          <cell r="D1784" t="str">
            <v>100 м</v>
          </cell>
          <cell r="E1784">
            <v>0.5</v>
          </cell>
          <cell r="F1784">
            <v>4001.82</v>
          </cell>
          <cell r="G1784">
            <v>2000.91</v>
          </cell>
        </row>
        <row r="1785">
          <cell r="B1785" t="str">
            <v>С157-262</v>
          </cell>
          <cell r="C1785" t="str">
            <v>Проводи силовi з полiвiнiлхлоридною
iзоляцiєю з мiдною жилою пiдвищеної
гнучкостi, марка ПВЗ, перерiз 1 мм2</v>
          </cell>
          <cell r="D1785" t="str">
            <v>1000м</v>
          </cell>
          <cell r="E1785">
            <v>0.05</v>
          </cell>
          <cell r="F1785">
            <v>3120.36</v>
          </cell>
          <cell r="G1785">
            <v>156.02000000000001</v>
          </cell>
        </row>
        <row r="1786">
          <cell r="B1786" t="str">
            <v>М8-409-1</v>
          </cell>
          <cell r="C1786" t="str">
            <v>Монтаж труби гофрированої ПВХ,
дiаметр до 25 мм</v>
          </cell>
          <cell r="D1786" t="str">
            <v>100 м</v>
          </cell>
          <cell r="E1786">
            <v>0.81</v>
          </cell>
          <cell r="F1786">
            <v>5877.65</v>
          </cell>
          <cell r="G1786">
            <v>4760.8999999999996</v>
          </cell>
        </row>
        <row r="1787">
          <cell r="B1787" t="str">
            <v>2405-1010-1</v>
          </cell>
          <cell r="C1787" t="str">
            <v>Труба гофрирована із ПВХ Дн20мм</v>
          </cell>
          <cell r="D1787" t="str">
            <v>м</v>
          </cell>
          <cell r="E1787">
            <v>65</v>
          </cell>
          <cell r="F1787">
            <v>9.2100000000000009</v>
          </cell>
          <cell r="G1787">
            <v>598.65</v>
          </cell>
        </row>
        <row r="1788">
          <cell r="B1788" t="str">
            <v>2405-1010-2</v>
          </cell>
          <cell r="C1788" t="str">
            <v>Труба гофрирована із ПВХ Дн25мм</v>
          </cell>
          <cell r="D1788" t="str">
            <v>м</v>
          </cell>
          <cell r="E1788">
            <v>16</v>
          </cell>
          <cell r="F1788">
            <v>12.54</v>
          </cell>
          <cell r="G1788">
            <v>200.64</v>
          </cell>
        </row>
        <row r="1789">
          <cell r="B1789" t="str">
            <v>М8-407-1</v>
          </cell>
          <cell r="C1789" t="str">
            <v>Труба сталева по стiнах з крiпленням
накладними скобами, дiаметр до 25 мм</v>
          </cell>
          <cell r="D1789" t="str">
            <v>100 м</v>
          </cell>
          <cell r="E1789">
            <v>0.08</v>
          </cell>
          <cell r="F1789">
            <v>9516.02</v>
          </cell>
          <cell r="G1789">
            <v>761.28</v>
          </cell>
        </row>
        <row r="1790">
          <cell r="B1790" t="str">
            <v>С113-14</v>
          </cell>
          <cell r="C1790" t="str">
            <v>Труби сталевi зварнi водогазопровiднi з
рiзьбою, чорнi звичайнi неоцинкованi,
дiаметр умовного проходу 20 мм, товщина
стiнки 2,8 мм</v>
          </cell>
          <cell r="D1790" t="str">
            <v>м</v>
          </cell>
          <cell r="E1790">
            <v>8</v>
          </cell>
          <cell r="F1790">
            <v>59.31</v>
          </cell>
          <cell r="G1790">
            <v>474.48</v>
          </cell>
        </row>
        <row r="1791">
          <cell r="B1791" t="str">
            <v>2405-1010-5</v>
          </cell>
          <cell r="C1791" t="str">
            <v>Накінечник трубчастий перетин дрота 1,
5мм2, довжина опресувальної частини 8мм,
НТ 1,5-08</v>
          </cell>
          <cell r="D1791" t="str">
            <v>шт</v>
          </cell>
          <cell r="E1791">
            <v>100</v>
          </cell>
          <cell r="F1791">
            <v>0.32</v>
          </cell>
          <cell r="G1791">
            <v>32</v>
          </cell>
        </row>
        <row r="1792">
          <cell r="B1792" t="str">
            <v>2405-1010-6</v>
          </cell>
          <cell r="C1792" t="str">
            <v>Накінечник трубчастий перетин дрота 1,
0мм2, довжина опресувальної частини 8мм,
НТ 1,0-08</v>
          </cell>
          <cell r="D1792" t="str">
            <v>шт</v>
          </cell>
          <cell r="E1792">
            <v>60</v>
          </cell>
          <cell r="F1792">
            <v>0.28999999999999998</v>
          </cell>
          <cell r="G1792">
            <v>17.399999999999999</v>
          </cell>
        </row>
        <row r="1793">
          <cell r="B1793" t="str">
            <v>2405-1010-7</v>
          </cell>
          <cell r="C1793" t="str">
            <v>Накінечник трубчастий перетин дрота 0,75
мм2, довжина опресувальної частини 8мм,
НТ 0,75-08</v>
          </cell>
          <cell r="D1793" t="str">
            <v>шт</v>
          </cell>
          <cell r="E1793">
            <v>60</v>
          </cell>
          <cell r="F1793">
            <v>0.28999999999999998</v>
          </cell>
          <cell r="G1793">
            <v>17.399999999999999</v>
          </cell>
        </row>
        <row r="1794">
          <cell r="B1794" t="str">
            <v>2405-1010-8</v>
          </cell>
          <cell r="C1794" t="str">
            <v>Накінечник трубчастий перетин дрота 0,5
мм2, довжина опресувальної частини 8мм,
НТ 0,5-08</v>
          </cell>
          <cell r="D1794" t="str">
            <v>шт</v>
          </cell>
          <cell r="E1794">
            <v>20</v>
          </cell>
          <cell r="F1794">
            <v>0.28999999999999998</v>
          </cell>
          <cell r="G1794">
            <v>5.8</v>
          </cell>
        </row>
        <row r="1795">
          <cell r="B1795" t="str">
            <v>2405-1010-9</v>
          </cell>
          <cell r="C1795" t="str">
            <v>Накінечник трубчастий перетин дрота 1,0
мм2, довжина опресувальної частини 8мм,
ТЕ 1,0-08</v>
          </cell>
          <cell r="D1795" t="str">
            <v>шт</v>
          </cell>
          <cell r="E1795">
            <v>40</v>
          </cell>
          <cell r="F1795">
            <v>0.31</v>
          </cell>
          <cell r="G1795">
            <v>12.4</v>
          </cell>
        </row>
        <row r="1796">
          <cell r="B1796" t="str">
            <v>М8-395-1</v>
          </cell>
          <cell r="C1796" t="str">
            <v>Лоток по установлених конструкцiях,
ширина лотка до 200 мм</v>
          </cell>
          <cell r="D1796" t="str">
            <v>100 м</v>
          </cell>
          <cell r="E1796">
            <v>0.16</v>
          </cell>
          <cell r="F1796">
            <v>3119.55</v>
          </cell>
          <cell r="G1796">
            <v>499.13</v>
          </cell>
        </row>
        <row r="1797">
          <cell r="B1797" t="str">
            <v>С1545-89-1Н</v>
          </cell>
          <cell r="C1797" t="str">
            <v>Лоток перфорований 50х50 L=2м (35250)</v>
          </cell>
          <cell r="D1797" t="str">
            <v>шт</v>
          </cell>
          <cell r="E1797">
            <v>8</v>
          </cell>
          <cell r="F1797">
            <v>95.4</v>
          </cell>
          <cell r="G1797">
            <v>763.2</v>
          </cell>
        </row>
        <row r="1798">
          <cell r="B1798" t="str">
            <v>С1545-89-27</v>
          </cell>
          <cell r="C1798" t="str">
            <v>Кришка з заземленням на лоток осн. 50 L
2000 (35510)</v>
          </cell>
          <cell r="D1798" t="str">
            <v>шт</v>
          </cell>
          <cell r="E1798">
            <v>8</v>
          </cell>
          <cell r="F1798">
            <v>50.12</v>
          </cell>
          <cell r="G1798">
            <v>400.96</v>
          </cell>
        </row>
        <row r="1799">
          <cell r="B1799" t="str">
            <v>С1545-89-26</v>
          </cell>
          <cell r="C1799" t="str">
            <v>Кут СРО 90 горизонтальний 90_ 50х50
(36000)</v>
          </cell>
          <cell r="D1799" t="str">
            <v>шт</v>
          </cell>
          <cell r="E1799">
            <v>2</v>
          </cell>
          <cell r="F1799">
            <v>131.77000000000001</v>
          </cell>
          <cell r="G1799">
            <v>263.54000000000002</v>
          </cell>
        </row>
        <row r="1800">
          <cell r="B1800" t="str">
            <v>С1545-89-28</v>
          </cell>
          <cell r="C1800" t="str">
            <v>Соединитель лотков шарнирний GSVH50
(30013)</v>
          </cell>
          <cell r="D1800" t="str">
            <v>шт</v>
          </cell>
          <cell r="E1800">
            <v>6</v>
          </cell>
          <cell r="F1800">
            <v>40.22</v>
          </cell>
          <cell r="G1800">
            <v>241.32</v>
          </cell>
        </row>
        <row r="1801">
          <cell r="B1801" t="str">
            <v>С1545-89-29</v>
          </cell>
          <cell r="C1801" t="str">
            <v>Скоби однолапкові</v>
          </cell>
          <cell r="D1801" t="str">
            <v>шт</v>
          </cell>
          <cell r="E1801">
            <v>100</v>
          </cell>
          <cell r="F1801">
            <v>3.45</v>
          </cell>
          <cell r="G1801">
            <v>345</v>
          </cell>
        </row>
        <row r="1803">
          <cell r="B1803" t="str">
            <v>Е21-24-2</v>
          </cell>
          <cell r="C1803" t="str">
            <v>Установлення групових щиткiв
освiтлювальних на конструкцiї у готовiй
нiшi або на стiнi, масою до 6 кг</v>
          </cell>
          <cell r="D1803" t="str">
            <v>шт</v>
          </cell>
          <cell r="E1803">
            <v>2</v>
          </cell>
          <cell r="F1803">
            <v>443</v>
          </cell>
          <cell r="G1803">
            <v>886</v>
          </cell>
        </row>
        <row r="1804">
          <cell r="B1804" t="str">
            <v>1503-8001-1</v>
          </cell>
          <cell r="C1804" t="str">
            <v>Шафа розподільна металева навісна на 12
модулів, розм. 310х265х130 мм NRР 12</v>
          </cell>
          <cell r="D1804" t="str">
            <v>шт</v>
          </cell>
          <cell r="E1804">
            <v>2</v>
          </cell>
          <cell r="F1804">
            <v>725.16</v>
          </cell>
          <cell r="G1804">
            <v>1450.32</v>
          </cell>
        </row>
        <row r="1805">
          <cell r="B1805" t="str">
            <v>Е21-22-12</v>
          </cell>
          <cell r="C1805" t="str">
            <v>Установлення вимикачiв, перемикачiв
пакетних 2-х i 3-х полюсних на струм до
25 А</v>
          </cell>
          <cell r="D1805" t="str">
            <v>100шт</v>
          </cell>
          <cell r="E1805">
            <v>0.22</v>
          </cell>
          <cell r="F1805">
            <v>13954.92</v>
          </cell>
          <cell r="G1805">
            <v>3070.08</v>
          </cell>
        </row>
        <row r="1806">
          <cell r="B1806" t="str">
            <v>1504-1060</v>
          </cell>
          <cell r="C1806" t="str">
            <v>Автоматичний вимикач з незалежним
розчiплювачем, полюсiв-3, номiнальний
струм А 20 на введенні, PL6-C20/3 "ЕATON"</v>
          </cell>
          <cell r="D1806" t="str">
            <v>шт</v>
          </cell>
          <cell r="E1806">
            <v>2</v>
          </cell>
          <cell r="F1806">
            <v>227.82</v>
          </cell>
          <cell r="G1806">
            <v>455.64</v>
          </cell>
        </row>
        <row r="1807">
          <cell r="B1807" t="str">
            <v>1504-1060</v>
          </cell>
          <cell r="C1807" t="str">
            <v>Автоматичний вимикач з незалежним
розчiплювачем, полюсiв-1, номiнальний
струм А 6 на введенні, PL6-C6/1 "ЕATON"</v>
          </cell>
          <cell r="D1807" t="str">
            <v>шт</v>
          </cell>
          <cell r="E1807">
            <v>8</v>
          </cell>
          <cell r="F1807">
            <v>76.86</v>
          </cell>
          <cell r="G1807">
            <v>614.88</v>
          </cell>
        </row>
        <row r="1808">
          <cell r="B1808" t="str">
            <v>1504-1060</v>
          </cell>
          <cell r="C1808" t="str">
            <v>Автоматичний вимикач з незалежним
розчiплювачем, полюсiв-1, номiнальний
струм А 10 на введенні, PL6-C10/1 "ЕATON"</v>
          </cell>
          <cell r="D1808" t="str">
            <v>шт</v>
          </cell>
          <cell r="E1808">
            <v>1</v>
          </cell>
          <cell r="F1808">
            <v>76.86</v>
          </cell>
          <cell r="G1808">
            <v>76.86</v>
          </cell>
        </row>
        <row r="1809">
          <cell r="B1809" t="str">
            <v>1504-1060</v>
          </cell>
          <cell r="C1809" t="str">
            <v>Автоматичний вимикач з незалежним
розчiплювачем, полюсiв-2, номiнальний
струм А 4 на введенні, PL6-C4/1N "ЕATON"</v>
          </cell>
          <cell r="D1809" t="str">
            <v>шт</v>
          </cell>
          <cell r="E1809">
            <v>11</v>
          </cell>
          <cell r="F1809">
            <v>154.38</v>
          </cell>
          <cell r="G1809">
            <v>1698.18</v>
          </cell>
        </row>
        <row r="1810">
          <cell r="B1810" t="str">
            <v>Е21-24-2</v>
          </cell>
          <cell r="C1810" t="str">
            <v>Установлення групових щиткiв
освiтлювальних на конструкцiї у готовiй
нiшi або на стiнi, масою до 6 кг</v>
          </cell>
          <cell r="D1810" t="str">
            <v>шт</v>
          </cell>
          <cell r="E1810">
            <v>2</v>
          </cell>
          <cell r="F1810">
            <v>443</v>
          </cell>
          <cell r="G1810">
            <v>886</v>
          </cell>
        </row>
        <row r="1811">
          <cell r="B1811" t="str">
            <v>1517-2245</v>
          </cell>
          <cell r="C1811" t="str">
            <v>Корпус модульний пластиковий на 13
модулів в 1 ряд, ступінь захисту ІР 55
навесний КМПн 2/13 ІР 55</v>
          </cell>
          <cell r="D1811" t="str">
            <v>шт</v>
          </cell>
          <cell r="E1811">
            <v>1</v>
          </cell>
          <cell r="F1811">
            <v>531.86</v>
          </cell>
          <cell r="G1811">
            <v>531.86</v>
          </cell>
        </row>
        <row r="1812">
          <cell r="B1812" t="str">
            <v>1517-2245</v>
          </cell>
          <cell r="C1812" t="str">
            <v>Корпус модульний пластиковий на 12
модулів в 1 ряд, ступінь захисту ІР 40
навесний ЩРН-П-12 ІР 40</v>
          </cell>
          <cell r="D1812" t="str">
            <v>шт</v>
          </cell>
          <cell r="E1812">
            <v>1</v>
          </cell>
          <cell r="F1812">
            <v>161.85</v>
          </cell>
          <cell r="G1812">
            <v>161.85</v>
          </cell>
        </row>
        <row r="1813">
          <cell r="B1813" t="str">
            <v>Е21-18-17</v>
          </cell>
          <cell r="C1813" t="str">
            <v>Монтаж свiтильникiв для люмiнесцентних
ламп iз вбудованою ПРА, що
установлюються в пiдвiсних стелях на
пiдвiсах, кiлькiсть ламп до 6</v>
          </cell>
          <cell r="D1813" t="str">
            <v>100шт</v>
          </cell>
          <cell r="E1813">
            <v>0.43</v>
          </cell>
          <cell r="F1813">
            <v>43493.07</v>
          </cell>
          <cell r="G1813">
            <v>18702.02</v>
          </cell>
        </row>
        <row r="1814">
          <cell r="B1814" t="str">
            <v>1507-3001-1-Э</v>
          </cell>
          <cell r="C1814" t="str">
            <v>Свiтильник світлодіодний вбудований
600х600 ступінь захисту IP20, потужуністю
40Вт, білий</v>
          </cell>
          <cell r="D1814" t="str">
            <v>шт</v>
          </cell>
          <cell r="E1814">
            <v>16</v>
          </cell>
          <cell r="F1814">
            <v>1335.46</v>
          </cell>
          <cell r="G1814">
            <v>21367.360000000001</v>
          </cell>
        </row>
        <row r="1815">
          <cell r="B1815" t="str">
            <v>1507-3001-1-Э</v>
          </cell>
          <cell r="C1815" t="str">
            <v>Свiтильник світлодіодний вбудований
300х600 ступінь захисту IP20, потужуністю
15Вт, білий</v>
          </cell>
          <cell r="D1815" t="str">
            <v>шт</v>
          </cell>
          <cell r="E1815">
            <v>27</v>
          </cell>
          <cell r="F1815">
            <v>1197</v>
          </cell>
          <cell r="G1815">
            <v>32319</v>
          </cell>
        </row>
        <row r="1816">
          <cell r="B1816" t="str">
            <v>Е21-18-17</v>
          </cell>
          <cell r="C1816" t="str">
            <v>Монтаж свiтильникiв для люмiнесцентних
ламп iз вбудованою ПРА, що
установлюються в пiдвiсних стелях на
пiдвiсах, кiлькiсть ламп до 6</v>
          </cell>
          <cell r="D1816" t="str">
            <v>100шт</v>
          </cell>
          <cell r="E1816">
            <v>1.1599999999999999</v>
          </cell>
          <cell r="F1816">
            <v>43493.07</v>
          </cell>
          <cell r="G1816">
            <v>50451.96</v>
          </cell>
        </row>
        <row r="1817">
          <cell r="B1817" t="str">
            <v>1507-3002-1</v>
          </cell>
          <cell r="C1817" t="str">
            <v>Свiтильник світлодіодний накладний міра
захисту IP20, потужністю 18Вт, FL5045 18W
4500K</v>
          </cell>
          <cell r="D1817" t="str">
            <v>шт</v>
          </cell>
          <cell r="E1817">
            <v>2</v>
          </cell>
          <cell r="F1817">
            <v>394.89</v>
          </cell>
          <cell r="G1817">
            <v>789.78</v>
          </cell>
        </row>
        <row r="1818">
          <cell r="B1818" t="str">
            <v>1507-3002-1</v>
          </cell>
          <cell r="C1818" t="str">
            <v>Свiтильник світлодіодний накладний міра
захисту IP20, потужністю 36 Вт, FL5045S
36W 4500K</v>
          </cell>
          <cell r="D1818" t="str">
            <v>шт</v>
          </cell>
          <cell r="E1818">
            <v>44</v>
          </cell>
          <cell r="F1818">
            <v>477.96</v>
          </cell>
          <cell r="G1818">
            <v>21030.240000000002</v>
          </cell>
        </row>
        <row r="1819">
          <cell r="B1819" t="str">
            <v>1507-3002-1</v>
          </cell>
          <cell r="C1819" t="str">
            <v>Свiтильник світлодіодний накладний cтупінь
захисту IP54, потужністю 6 Вт, ДБП01В-6</v>
          </cell>
          <cell r="D1819" t="str">
            <v>шт</v>
          </cell>
          <cell r="E1819">
            <v>33</v>
          </cell>
          <cell r="F1819">
            <v>419.16</v>
          </cell>
          <cell r="G1819">
            <v>13832.28</v>
          </cell>
        </row>
        <row r="1820">
          <cell r="B1820" t="str">
            <v>1507-3002-1</v>
          </cell>
          <cell r="C1820" t="str">
            <v>Свiтильник світлодіодний накладний ступінь
захисту IP54, потужністю 4 Вт, ДББ64В-4-11
Селена 32А - СД-4</v>
          </cell>
          <cell r="D1820" t="str">
            <v>шт</v>
          </cell>
          <cell r="E1820">
            <v>4</v>
          </cell>
          <cell r="F1820">
            <v>1213.74</v>
          </cell>
          <cell r="G1820">
            <v>4854.96</v>
          </cell>
        </row>
        <row r="1821">
          <cell r="B1821" t="str">
            <v>1507-3002-1</v>
          </cell>
          <cell r="C1821" t="str">
            <v>Свiтильник світлодіодний накладний міра
захисту IP54, потужністю 8 Вт, ДББ64В-8-
022 Селена 32А-СД-8</v>
          </cell>
          <cell r="D1821" t="str">
            <v>шт</v>
          </cell>
          <cell r="E1821">
            <v>16</v>
          </cell>
          <cell r="F1821">
            <v>360.6</v>
          </cell>
          <cell r="G1821">
            <v>5769.6</v>
          </cell>
        </row>
        <row r="1822">
          <cell r="B1822" t="str">
            <v>1507-3002-1</v>
          </cell>
          <cell r="C1822" t="str">
            <v>Свiтильник світлодіодний накладний міра
захисту IP54, потужністю 12 Вт, ДББ64В-12-
033 Селена 32А-СД-12</v>
          </cell>
          <cell r="D1822" t="str">
            <v>шт</v>
          </cell>
          <cell r="E1822">
            <v>17</v>
          </cell>
          <cell r="F1822">
            <v>579.48</v>
          </cell>
          <cell r="G1822">
            <v>9851.16</v>
          </cell>
        </row>
        <row r="1823">
          <cell r="B1823" t="str">
            <v>Е21-17-12</v>
          </cell>
          <cell r="C1823" t="str">
            <v>Монтаж сигнальних лiхтарiв з надписом
"вхiд", "вихiд", "в'їзд", "пiд'їзд" i т.п.</v>
          </cell>
          <cell r="D1823" t="str">
            <v>100шт</v>
          </cell>
          <cell r="E1823">
            <v>0.26</v>
          </cell>
          <cell r="F1823">
            <v>9885.7000000000007</v>
          </cell>
          <cell r="G1823">
            <v>2570.2800000000002</v>
          </cell>
        </row>
        <row r="1824">
          <cell r="B1824" t="str">
            <v>1507-3008-1</v>
          </cell>
          <cell r="C1824" t="str">
            <v>Свiтловий показчик "Вихід" зі світлодіодами,
потужністю 6 Вт ДБО01ВСП-6-в-104</v>
          </cell>
          <cell r="D1824" t="str">
            <v>шт</v>
          </cell>
          <cell r="E1824">
            <v>3</v>
          </cell>
          <cell r="F1824">
            <v>209.83</v>
          </cell>
          <cell r="G1824">
            <v>629.49</v>
          </cell>
        </row>
        <row r="1825">
          <cell r="B1825" t="str">
            <v>С1547-31</v>
          </cell>
          <cell r="C1825" t="str">
            <v>Прожектор світлодіодний, потужністю 100
Вт, ступінь захисту ІР 65 ART-LED "MAXUS"</v>
          </cell>
          <cell r="D1825" t="str">
            <v>шт</v>
          </cell>
          <cell r="E1825">
            <v>23</v>
          </cell>
          <cell r="F1825">
            <v>1516.49</v>
          </cell>
          <cell r="G1825">
            <v>34879.269999999997</v>
          </cell>
        </row>
        <row r="1826">
          <cell r="B1826" t="str">
            <v>М10-99-6</v>
          </cell>
          <cell r="C1826" t="str">
            <v>Перетворювач або блок живлення, що
установлюється окремо</v>
          </cell>
          <cell r="D1826" t="str">
            <v>шт</v>
          </cell>
          <cell r="E1826">
            <v>11</v>
          </cell>
          <cell r="F1826">
            <v>1608.67</v>
          </cell>
          <cell r="G1826">
            <v>17695.37</v>
          </cell>
        </row>
        <row r="1827">
          <cell r="B1827" t="str">
            <v>1704-50740</v>
          </cell>
          <cell r="C1827" t="str">
            <v>Блок аварійного живлення БПА для
світлодіодних світильників</v>
          </cell>
          <cell r="D1827" t="str">
            <v>шт</v>
          </cell>
          <cell r="E1827">
            <v>11</v>
          </cell>
          <cell r="F1827">
            <v>956.34</v>
          </cell>
          <cell r="G1827">
            <v>10519.74</v>
          </cell>
        </row>
        <row r="1828">
          <cell r="B1828" t="str">
            <v>Е21-17-5</v>
          </cell>
          <cell r="C1828" t="str">
            <v>Монтаж свiтильникiв для ламп
розжарювання: бра i плафони з кiлькiстю
ламп до 2</v>
          </cell>
          <cell r="D1828" t="str">
            <v>100шт</v>
          </cell>
          <cell r="E1828">
            <v>0.01</v>
          </cell>
          <cell r="F1828">
            <v>12384.66</v>
          </cell>
          <cell r="G1828">
            <v>123.85</v>
          </cell>
        </row>
        <row r="1829">
          <cell r="B1829" t="str">
            <v>С1547-4</v>
          </cell>
          <cell r="C1829" t="str">
            <v>Свiтильник для саун, розсіювач з
жаростійкого скла</v>
          </cell>
          <cell r="D1829" t="str">
            <v>шт</v>
          </cell>
          <cell r="E1829">
            <v>1</v>
          </cell>
          <cell r="F1829">
            <v>609.52</v>
          </cell>
          <cell r="G1829">
            <v>609.52</v>
          </cell>
        </row>
        <row r="1830">
          <cell r="B1830" t="str">
            <v>Е21-22-2</v>
          </cell>
          <cell r="C1830" t="str">
            <v>Установлення вимикачiв заглибленого
типу при схованiй проводцi одноклавiшних</v>
          </cell>
          <cell r="D1830" t="str">
            <v>100шт</v>
          </cell>
          <cell r="E1830">
            <v>0.31</v>
          </cell>
          <cell r="F1830">
            <v>1741.19</v>
          </cell>
          <cell r="G1830">
            <v>539.77</v>
          </cell>
        </row>
        <row r="1831">
          <cell r="B1831" t="str">
            <v>290902-55</v>
          </cell>
          <cell r="C1831" t="str">
            <v>Вимикач одноклавішний, 6 А, 220 В,
прихований монтаж, ІР 20</v>
          </cell>
          <cell r="D1831" t="str">
            <v>шт</v>
          </cell>
          <cell r="E1831">
            <v>31</v>
          </cell>
          <cell r="F1831">
            <v>60.54</v>
          </cell>
          <cell r="G1831">
            <v>1876.74</v>
          </cell>
        </row>
        <row r="1832">
          <cell r="B1832" t="str">
            <v>Е21-22-3</v>
          </cell>
          <cell r="C1832" t="str">
            <v>Установлення вимикачiв заглибленого
типу при схованiй проводцi двоклавiшних</v>
          </cell>
          <cell r="D1832" t="str">
            <v>100шт</v>
          </cell>
          <cell r="E1832">
            <v>0.15</v>
          </cell>
          <cell r="F1832">
            <v>1842.44</v>
          </cell>
          <cell r="G1832">
            <v>276.37</v>
          </cell>
        </row>
        <row r="1833">
          <cell r="B1833" t="str">
            <v>290902-55</v>
          </cell>
          <cell r="C1833" t="str">
            <v>Вимикач одноклавішний, 6 А, 220 В,
прихований монтаж, ІР 20</v>
          </cell>
          <cell r="D1833" t="str">
            <v>шт</v>
          </cell>
          <cell r="E1833">
            <v>15</v>
          </cell>
          <cell r="F1833">
            <v>60.54</v>
          </cell>
          <cell r="G1833">
            <v>908.1</v>
          </cell>
        </row>
        <row r="1834">
          <cell r="B1834" t="str">
            <v>Е21-22-1</v>
          </cell>
          <cell r="C1834" t="str">
            <v>Установлення вимикачiв незаглибленого
типу при вiдкритiй проводцi</v>
          </cell>
          <cell r="D1834" t="str">
            <v>100шт</v>
          </cell>
          <cell r="E1834">
            <v>0.02</v>
          </cell>
          <cell r="F1834">
            <v>1848.23</v>
          </cell>
          <cell r="G1834">
            <v>36.96</v>
          </cell>
        </row>
        <row r="1835">
          <cell r="B1835" t="str">
            <v>290902-54</v>
          </cell>
          <cell r="C1835" t="str">
            <v>Вимикач незаглиблений для вiдкритої
проводки</v>
          </cell>
          <cell r="D1835" t="str">
            <v>шт</v>
          </cell>
          <cell r="E1835">
            <v>2</v>
          </cell>
          <cell r="F1835">
            <v>73.34</v>
          </cell>
          <cell r="G1835">
            <v>146.68</v>
          </cell>
        </row>
        <row r="1836">
          <cell r="B1836" t="str">
            <v>С1512-1</v>
          </cell>
          <cell r="C1836" t="str">
            <v>Настановна коробка для клавішних
вимикачів, прихованого монтажу</v>
          </cell>
          <cell r="D1836" t="str">
            <v>шт</v>
          </cell>
          <cell r="E1836">
            <v>46</v>
          </cell>
          <cell r="F1836">
            <v>3.77</v>
          </cell>
          <cell r="G1836">
            <v>173.42</v>
          </cell>
        </row>
        <row r="1837">
          <cell r="B1837" t="str">
            <v>1504-17152</v>
          </cell>
          <cell r="C1837" t="str">
            <v>Коробка вiдгалужувальна для трубної
розводки, ступінь захисту ІР20</v>
          </cell>
          <cell r="D1837" t="str">
            <v>шт</v>
          </cell>
          <cell r="E1837">
            <v>131</v>
          </cell>
          <cell r="F1837">
            <v>26.19</v>
          </cell>
          <cell r="G1837">
            <v>3430.89</v>
          </cell>
        </row>
        <row r="1838">
          <cell r="B1838" t="str">
            <v>Е21-10-1</v>
          </cell>
          <cell r="C1838" t="str">
            <v>Прокладання тросу</v>
          </cell>
          <cell r="D1838" t="str">
            <v>100м</v>
          </cell>
          <cell r="E1838">
            <v>0.26</v>
          </cell>
          <cell r="F1838">
            <v>5592.53</v>
          </cell>
          <cell r="G1838">
            <v>1454.06</v>
          </cell>
        </row>
        <row r="1839">
          <cell r="B1839" t="str">
            <v>С1545-260-11</v>
          </cell>
          <cell r="C1839" t="str">
            <v>Трос металевий, дiаметр 6 мм</v>
          </cell>
          <cell r="D1839" t="str">
            <v>м</v>
          </cell>
          <cell r="E1839">
            <v>26</v>
          </cell>
          <cell r="F1839">
            <v>25.72</v>
          </cell>
          <cell r="G1839">
            <v>668.72</v>
          </cell>
        </row>
        <row r="1840">
          <cell r="B1840" t="str">
            <v>Е21-2-1</v>
          </cell>
          <cell r="C1840" t="str">
            <v>Прокладання вiнiпластових труб, що
поставляються прямими трубами
довжиною 5-7 м, по стiнах i колонах iз
крiпленням накладними скобами, дiаметр
умовного проходу до 25 мм</v>
          </cell>
          <cell r="D1840" t="str">
            <v>100м</v>
          </cell>
          <cell r="E1840">
            <v>1.43</v>
          </cell>
          <cell r="F1840">
            <v>3511.41</v>
          </cell>
          <cell r="G1840">
            <v>5021.32</v>
          </cell>
        </row>
        <row r="1841">
          <cell r="B1841" t="str">
            <v>С113-1373</v>
          </cell>
          <cell r="C1841" t="str">
            <v>Труба полiвінілхлоридна, гладка Ду-20 мм</v>
          </cell>
          <cell r="D1841" t="str">
            <v>м</v>
          </cell>
          <cell r="E1841">
            <v>145.86000000000001</v>
          </cell>
          <cell r="F1841">
            <v>8.6</v>
          </cell>
          <cell r="G1841">
            <v>1254.4000000000001</v>
          </cell>
        </row>
        <row r="1842">
          <cell r="B1842" t="str">
            <v>Е21-2-3</v>
          </cell>
          <cell r="C1842" t="str">
            <v>Прокладання вiнiпластових труб, що
поставляються прямими трубами
довжиною 5-7 м, по стiнах i колонах iз
крiпленням накладними скобами, дiаметр
умовного проходу до 50 мм</v>
          </cell>
          <cell r="D1842" t="str">
            <v>100м</v>
          </cell>
          <cell r="E1842">
            <v>13.4</v>
          </cell>
          <cell r="F1842">
            <v>4494.45</v>
          </cell>
          <cell r="G1842">
            <v>60225.63</v>
          </cell>
        </row>
        <row r="1843">
          <cell r="B1843" t="str">
            <v>С1530-1-2</v>
          </cell>
          <cell r="C1843" t="str">
            <v>Труба гофрована ПВХ діам.20мм</v>
          </cell>
          <cell r="D1843" t="str">
            <v>м</v>
          </cell>
          <cell r="E1843">
            <v>1366.8</v>
          </cell>
          <cell r="F1843">
            <v>8.74</v>
          </cell>
          <cell r="G1843">
            <v>11945.83</v>
          </cell>
        </row>
        <row r="1844">
          <cell r="B1844" t="str">
            <v>Е21-4-2</v>
          </cell>
          <cell r="C1844" t="str">
            <v>Затягування у прокладенi труби або
металевi рукави проводу першого
одножильного або багатожильного у
загальному обплетеннi сумарним
перерiзом до 6 мм2</v>
          </cell>
          <cell r="D1844" t="str">
            <v>100м</v>
          </cell>
          <cell r="E1844">
            <v>14.83</v>
          </cell>
          <cell r="F1844">
            <v>683.12</v>
          </cell>
          <cell r="G1844">
            <v>10130.67</v>
          </cell>
        </row>
        <row r="1845">
          <cell r="B1845" t="str">
            <v>Е21-4-7</v>
          </cell>
          <cell r="C1845" t="str">
            <v>Затягування у прокладенi труби або
металевi рукави кожного наступного
проводу одножильного або
багатожильного у загальному обплетеннi
сумарним перерiзом до 6 мм2</v>
          </cell>
          <cell r="D1845" t="str">
            <v>100м</v>
          </cell>
          <cell r="E1845">
            <v>0.87</v>
          </cell>
          <cell r="F1845">
            <v>369.1</v>
          </cell>
          <cell r="G1845">
            <v>321.12</v>
          </cell>
        </row>
        <row r="1846">
          <cell r="B1846" t="str">
            <v>15091-1022-4</v>
          </cell>
          <cell r="C1846" t="str">
            <v>Провід силовий с мідними жилами з
подвійною ПВХ ізоляцією, ПВСнг-нд-0,66
перерізом 3,0х1,5мм2 "Мастер - А"</v>
          </cell>
          <cell r="D1846" t="str">
            <v>м</v>
          </cell>
          <cell r="E1846">
            <v>1318.4</v>
          </cell>
          <cell r="F1846">
            <v>16.149999999999999</v>
          </cell>
          <cell r="G1846">
            <v>21292.16</v>
          </cell>
        </row>
        <row r="1847">
          <cell r="B1847" t="str">
            <v>15091-1022-4</v>
          </cell>
          <cell r="C1847" t="str">
            <v>Провід силовий с мідними жилами з
подвійною ПВХ ізоляцією, ПВСнг-нд-0,66
перерізом 2,0х1,5мм2 "Мастер - А"</v>
          </cell>
          <cell r="D1847" t="str">
            <v>м</v>
          </cell>
          <cell r="E1847">
            <v>87.55</v>
          </cell>
          <cell r="F1847">
            <v>11.44</v>
          </cell>
          <cell r="G1847">
            <v>1001.57</v>
          </cell>
        </row>
        <row r="1848">
          <cell r="B1848" t="str">
            <v>15091-1022-4</v>
          </cell>
          <cell r="C1848" t="str">
            <v>Провід силовий с мідними жилами з
подвійною ПВХ ізоляцією, ПВСнг-нд-0,66
перерізом 4,0х1,5мм2 "Мастер - А"</v>
          </cell>
          <cell r="D1848" t="str">
            <v>м</v>
          </cell>
          <cell r="E1848">
            <v>211.15</v>
          </cell>
          <cell r="F1848">
            <v>21.25</v>
          </cell>
          <cell r="G1848">
            <v>4486.9399999999996</v>
          </cell>
        </row>
        <row r="1849">
          <cell r="B1849" t="str">
            <v>С113-1878</v>
          </cell>
          <cell r="C1849" t="str">
            <v>Хомут</v>
          </cell>
          <cell r="D1849" t="str">
            <v>шт</v>
          </cell>
          <cell r="E1849">
            <v>12</v>
          </cell>
          <cell r="F1849">
            <v>7.28</v>
          </cell>
          <cell r="G1849">
            <v>87.36</v>
          </cell>
        </row>
        <row r="1851">
          <cell r="B1851" t="str">
            <v>1503-8001-1</v>
          </cell>
          <cell r="C1851" t="str">
            <v>Шафа розподільна металева навісна на 24
модуля, розм. 490х580х220 мм NRL 24</v>
          </cell>
          <cell r="D1851" t="str">
            <v>шт</v>
          </cell>
          <cell r="E1851">
            <v>1</v>
          </cell>
          <cell r="F1851">
            <v>1653</v>
          </cell>
          <cell r="G1851">
            <v>1653</v>
          </cell>
        </row>
        <row r="1852">
          <cell r="B1852" t="str">
            <v>1503-8001-1</v>
          </cell>
          <cell r="C1852" t="str">
            <v>Шафа розподільна металева навісна на 24
модуля, розм. 310х395х130 мм NRP 24</v>
          </cell>
          <cell r="D1852" t="str">
            <v>шт</v>
          </cell>
          <cell r="E1852">
            <v>2</v>
          </cell>
          <cell r="F1852">
            <v>912.79</v>
          </cell>
          <cell r="G1852">
            <v>1825.58</v>
          </cell>
        </row>
        <row r="1853">
          <cell r="B1853" t="str">
            <v>1503-8001-1</v>
          </cell>
          <cell r="C1853" t="str">
            <v>Шафа розподільна металева навісна на 12
модулів, розм. 310х265х130 мм NRР 12</v>
          </cell>
          <cell r="D1853" t="str">
            <v>шт</v>
          </cell>
          <cell r="E1853">
            <v>1</v>
          </cell>
          <cell r="F1853">
            <v>725.16</v>
          </cell>
          <cell r="G1853">
            <v>725.16</v>
          </cell>
        </row>
        <row r="1854">
          <cell r="B1854" t="str">
            <v>М8-575-1</v>
          </cell>
          <cell r="C1854" t="str">
            <v>Установлення приладiв або апаратiв,
знятих перед транспортуванням</v>
          </cell>
          <cell r="D1854" t="str">
            <v>шт</v>
          </cell>
          <cell r="E1854">
            <v>1</v>
          </cell>
          <cell r="F1854">
            <v>117.29</v>
          </cell>
          <cell r="G1854">
            <v>117.29</v>
          </cell>
        </row>
        <row r="1855">
          <cell r="B1855" t="str">
            <v>1504-1002-5-1</v>
          </cell>
          <cell r="C1855" t="str">
            <v>Автоматичний вимикач з незалежним
розчіплювачем, кiлькiсть полюсiв-3 Ін=125 А,
PLHT-C125/3</v>
          </cell>
          <cell r="D1855" t="str">
            <v>шт</v>
          </cell>
          <cell r="E1855">
            <v>1</v>
          </cell>
          <cell r="F1855">
            <v>685.17</v>
          </cell>
          <cell r="G1855">
            <v>685.17</v>
          </cell>
        </row>
        <row r="1856">
          <cell r="B1856" t="str">
            <v>М8-575-1</v>
          </cell>
          <cell r="C1856" t="str">
            <v>Установлення приладiв або апаратiв,
знятих перед транспортуванням</v>
          </cell>
          <cell r="D1856" t="str">
            <v>шт</v>
          </cell>
          <cell r="E1856">
            <v>9</v>
          </cell>
          <cell r="F1856">
            <v>117.29</v>
          </cell>
          <cell r="G1856">
            <v>1055.6099999999999</v>
          </cell>
        </row>
        <row r="1857">
          <cell r="B1857" t="str">
            <v>1504-1002-5-1</v>
          </cell>
          <cell r="C1857" t="str">
            <v>Автоматичний вимикач з незалежним
розчіплювачем, кiлькiсть полюсiв-3 Ін=63 А,
PL6-C63/3</v>
          </cell>
          <cell r="D1857" t="str">
            <v>шт</v>
          </cell>
          <cell r="E1857">
            <v>2</v>
          </cell>
          <cell r="F1857">
            <v>198.87</v>
          </cell>
          <cell r="G1857">
            <v>397.74</v>
          </cell>
        </row>
        <row r="1858">
          <cell r="B1858" t="str">
            <v>1504-1002-5-1</v>
          </cell>
          <cell r="C1858" t="str">
            <v>Автоматичний вимикач з незалежним
розчіплювачем, кiлькiсть полюсiв-3 Ін=80 А,
PLHT-C80/3</v>
          </cell>
          <cell r="D1858" t="str">
            <v>шт</v>
          </cell>
          <cell r="E1858">
            <v>2</v>
          </cell>
          <cell r="F1858">
            <v>685.17</v>
          </cell>
          <cell r="G1858">
            <v>1370.34</v>
          </cell>
        </row>
        <row r="1859">
          <cell r="B1859" t="str">
            <v>1504-1002-5-1</v>
          </cell>
          <cell r="C1859" t="str">
            <v>Автоматичний вимикач з незалежним
розчіплювачем, кiлькiсть полюсiв-3 Ін=100 А,
PLHT-C100/3</v>
          </cell>
          <cell r="D1859" t="str">
            <v>шт</v>
          </cell>
          <cell r="E1859">
            <v>1</v>
          </cell>
          <cell r="F1859">
            <v>685.17</v>
          </cell>
          <cell r="G1859">
            <v>685.17</v>
          </cell>
        </row>
        <row r="1860">
          <cell r="B1860" t="str">
            <v>1504-1002-5-1</v>
          </cell>
          <cell r="C1860" t="str">
            <v>Автоматичний вимикач з незалежним
розчіплювачем, кiлькiсть полюсiв-3 Ін=40 А,
PL6-C40/3</v>
          </cell>
          <cell r="D1860" t="str">
            <v>шт</v>
          </cell>
          <cell r="E1860">
            <v>1</v>
          </cell>
          <cell r="F1860">
            <v>174.66</v>
          </cell>
          <cell r="G1860">
            <v>174.66</v>
          </cell>
        </row>
        <row r="1861">
          <cell r="B1861" t="str">
            <v>1504-1002-5-1</v>
          </cell>
          <cell r="C1861" t="str">
            <v>Автоматичний вимикач з незалежним
розчіплювачем, кiлькiсть полюсiв-3 Ін=50 А,
PL6-C50/3</v>
          </cell>
          <cell r="D1861" t="str">
            <v>шт</v>
          </cell>
          <cell r="E1861">
            <v>2</v>
          </cell>
          <cell r="F1861">
            <v>198.87</v>
          </cell>
          <cell r="G1861">
            <v>397.74</v>
          </cell>
        </row>
        <row r="1862">
          <cell r="B1862" t="str">
            <v>1504-1002-5-1</v>
          </cell>
          <cell r="C1862" t="str">
            <v>Автоматичний вимикач з незалежним
розчіплювачем, кiлькiсть полюсiв-3 Ін=40 А,
PL6-C40/3N</v>
          </cell>
          <cell r="D1862" t="str">
            <v>шт</v>
          </cell>
          <cell r="E1862">
            <v>1</v>
          </cell>
          <cell r="F1862">
            <v>174.66</v>
          </cell>
          <cell r="G1862">
            <v>174.66</v>
          </cell>
        </row>
        <row r="1863">
          <cell r="B1863" t="str">
            <v>М8-575-1</v>
          </cell>
          <cell r="C1863" t="str">
            <v>Установлення приладiв або апаратiв,
знятих перед транспортуванням</v>
          </cell>
          <cell r="D1863" t="str">
            <v>шт</v>
          </cell>
          <cell r="E1863">
            <v>9</v>
          </cell>
          <cell r="F1863">
            <v>117.29</v>
          </cell>
          <cell r="G1863">
            <v>1055.6099999999999</v>
          </cell>
        </row>
        <row r="1864">
          <cell r="B1864" t="str">
            <v>1504-1002-5-1</v>
          </cell>
          <cell r="C1864" t="str">
            <v>Автоматичний вимикач з незалежним
розчіплювачем, кiлькiсть полюсiв-3 Ін=10 А,
PL6-C10/3</v>
          </cell>
          <cell r="D1864" t="str">
            <v>шт</v>
          </cell>
          <cell r="E1864">
            <v>2</v>
          </cell>
          <cell r="F1864">
            <v>166.87</v>
          </cell>
          <cell r="G1864">
            <v>333.74</v>
          </cell>
        </row>
        <row r="1865">
          <cell r="B1865" t="str">
            <v>1504-1002-5-1</v>
          </cell>
          <cell r="C1865" t="str">
            <v>Автоматичний вимикач з незалежним
розчіплювачем, кiлькiсть полюсiв-1 Ін=4 А,
PL6-C4/1</v>
          </cell>
          <cell r="D1865" t="str">
            <v>шт</v>
          </cell>
          <cell r="E1865">
            <v>1</v>
          </cell>
          <cell r="F1865">
            <v>51.03</v>
          </cell>
          <cell r="G1865">
            <v>51.03</v>
          </cell>
        </row>
        <row r="1866">
          <cell r="B1866" t="str">
            <v>1504-1002-5-1</v>
          </cell>
          <cell r="C1866" t="str">
            <v>Автоматичний вимикач з незалежним
розчіплювачем, кiлькiсть полюсiв-1 Ін=16 А,
PL6-C16/1</v>
          </cell>
          <cell r="D1866" t="str">
            <v>шт</v>
          </cell>
          <cell r="E1866">
            <v>1</v>
          </cell>
          <cell r="F1866">
            <v>51.03</v>
          </cell>
          <cell r="G1866">
            <v>51.03</v>
          </cell>
        </row>
        <row r="1867">
          <cell r="B1867" t="str">
            <v>1504-1009-3</v>
          </cell>
          <cell r="C1867" t="str">
            <v>Диференційний автоматичний вимикач
двополюсний Ін=20 А, PFL6-20/1N/C/0.03</v>
          </cell>
          <cell r="D1867" t="str">
            <v>шт</v>
          </cell>
          <cell r="E1867">
            <v>5</v>
          </cell>
          <cell r="F1867">
            <v>238.92</v>
          </cell>
          <cell r="G1867">
            <v>1194.5999999999999</v>
          </cell>
        </row>
        <row r="1868">
          <cell r="B1868" t="str">
            <v>М8-575-1</v>
          </cell>
          <cell r="C1868" t="str">
            <v>Установлення приладiв або апаратiв,
знятих перед транспортуванням</v>
          </cell>
          <cell r="D1868" t="str">
            <v>шт</v>
          </cell>
          <cell r="E1868">
            <v>1</v>
          </cell>
          <cell r="F1868">
            <v>117.29</v>
          </cell>
          <cell r="G1868">
            <v>117.29</v>
          </cell>
        </row>
        <row r="1869">
          <cell r="B1869" t="str">
            <v>1504-4009-1</v>
          </cell>
          <cell r="C1869" t="str">
            <v>Пускач електромагнiтний нереверсивний
без теплового реле, з кнопками "Пуск" і
"Стоп", сигнальною лампою, ІР54 (ПМЛ-
413002)</v>
          </cell>
          <cell r="D1869" t="str">
            <v>шт</v>
          </cell>
          <cell r="E1869">
            <v>1</v>
          </cell>
          <cell r="F1869">
            <v>840.56</v>
          </cell>
          <cell r="G1869">
            <v>840.56</v>
          </cell>
        </row>
        <row r="1870">
          <cell r="B1870" t="str">
            <v>М8-600-2</v>
          </cell>
          <cell r="C1870" t="str">
            <v>Лiчильник трифазний, що
установлюється на готовiй основi</v>
          </cell>
          <cell r="D1870" t="str">
            <v>шт</v>
          </cell>
          <cell r="E1870">
            <v>1</v>
          </cell>
          <cell r="F1870">
            <v>128.35</v>
          </cell>
          <cell r="G1870">
            <v>128.35</v>
          </cell>
        </row>
        <row r="1871">
          <cell r="B1871" t="str">
            <v>1701-8015</v>
          </cell>
          <cell r="C1871" t="str">
            <v>Трифазний електронний лiчильник  активної
і реактивної електроенергії, прямого
включення, напругою 220/380 В, струм     
5(100) А,    клас точності 1, багатотарифний
НІК 2303 АРП1 11000 МС</v>
          </cell>
          <cell r="D1871" t="str">
            <v>шт</v>
          </cell>
          <cell r="E1871">
            <v>1</v>
          </cell>
          <cell r="F1871">
            <v>2137.5</v>
          </cell>
          <cell r="G1871">
            <v>2137.5</v>
          </cell>
        </row>
        <row r="1872">
          <cell r="B1872" t="str">
            <v>М8-591-9</v>
          </cell>
          <cell r="C1872" t="str">
            <v>Розетка штепсельна заглибленого типу
при схованiй проводцi</v>
          </cell>
          <cell r="D1872" t="str">
            <v>100 шт</v>
          </cell>
          <cell r="E1872">
            <v>0.47</v>
          </cell>
          <cell r="F1872">
            <v>6400.88</v>
          </cell>
          <cell r="G1872">
            <v>3008.41</v>
          </cell>
        </row>
        <row r="1873">
          <cell r="B1873" t="str">
            <v>290902-224</v>
          </cell>
          <cell r="C1873" t="str">
            <v>Розетка штепсельна 2-х полюсна з третім
заземлювальним контактом, 10 А, 220 В,
прихований монтаж, ІР 20, подвійна</v>
          </cell>
          <cell r="D1873" t="str">
            <v>шт</v>
          </cell>
          <cell r="E1873">
            <v>47</v>
          </cell>
          <cell r="F1873">
            <v>67.52</v>
          </cell>
          <cell r="G1873">
            <v>3173.44</v>
          </cell>
        </row>
        <row r="1874">
          <cell r="B1874" t="str">
            <v>М8-591-2</v>
          </cell>
          <cell r="C1874" t="str">
            <v>Вимикач одноклавiшний заглибленого
типу при схованiй проводцi</v>
          </cell>
          <cell r="D1874" t="str">
            <v>100 шт</v>
          </cell>
          <cell r="E1874">
            <v>0.02</v>
          </cell>
          <cell r="F1874">
            <v>5819.04</v>
          </cell>
          <cell r="G1874">
            <v>116.38</v>
          </cell>
        </row>
        <row r="1875">
          <cell r="B1875" t="str">
            <v>290902-55</v>
          </cell>
          <cell r="C1875" t="str">
            <v>Вимикач одноклавішний, 6 А, 220 В,
прихований монтаж, ІР 20</v>
          </cell>
          <cell r="D1875" t="str">
            <v>шт</v>
          </cell>
          <cell r="E1875">
            <v>2</v>
          </cell>
          <cell r="F1875">
            <v>60.54</v>
          </cell>
          <cell r="G1875">
            <v>121.08</v>
          </cell>
        </row>
        <row r="1876">
          <cell r="B1876" t="str">
            <v>М8-591-5</v>
          </cell>
          <cell r="C1876" t="str">
            <v>Вимикач двоклавiшний заглибленого типу
при схованiй проводцi</v>
          </cell>
          <cell r="D1876" t="str">
            <v>100 шт</v>
          </cell>
          <cell r="E1876">
            <v>0.03</v>
          </cell>
          <cell r="F1876">
            <v>5819.04</v>
          </cell>
          <cell r="G1876">
            <v>174.57</v>
          </cell>
        </row>
        <row r="1877">
          <cell r="B1877" t="str">
            <v>290902-55</v>
          </cell>
          <cell r="C1877" t="str">
            <v>Вимикач одноклавішний, 6 А, 220 В,
прихований монтаж, ІР 20</v>
          </cell>
          <cell r="D1877" t="str">
            <v>шт</v>
          </cell>
          <cell r="E1877">
            <v>3</v>
          </cell>
          <cell r="F1877">
            <v>60.54</v>
          </cell>
          <cell r="G1877">
            <v>181.62</v>
          </cell>
        </row>
        <row r="1878">
          <cell r="B1878" t="str">
            <v>М8-575-1</v>
          </cell>
          <cell r="C1878" t="str">
            <v>Установлення приладiв або апаратiв,
знятих перед транспортуванням</v>
          </cell>
          <cell r="D1878" t="str">
            <v>шт</v>
          </cell>
          <cell r="E1878">
            <v>14</v>
          </cell>
          <cell r="F1878">
            <v>117.29</v>
          </cell>
          <cell r="G1878">
            <v>1642.06</v>
          </cell>
        </row>
        <row r="1879">
          <cell r="B1879" t="str">
            <v>1504-6157</v>
          </cell>
          <cell r="C1879" t="str">
            <v>Пакетний вимикач полюсів - 2, 16 А, 220 В,
ступінь захисту ІР 56 ПВ2-16УХЛ1-56Б</v>
          </cell>
          <cell r="D1879" t="str">
            <v>шт</v>
          </cell>
          <cell r="E1879">
            <v>3</v>
          </cell>
          <cell r="F1879">
            <v>228.79</v>
          </cell>
          <cell r="G1879">
            <v>686.37</v>
          </cell>
        </row>
        <row r="1880">
          <cell r="B1880" t="str">
            <v>1504-6157</v>
          </cell>
          <cell r="C1880" t="str">
            <v>Пакетний вимикач полюсів - 3, 16 А, 220 В,
ступінь захисту ІР 56 ПВ3-16УХЛ1-56Б</v>
          </cell>
          <cell r="D1880" t="str">
            <v>шт</v>
          </cell>
          <cell r="E1880">
            <v>3</v>
          </cell>
          <cell r="F1880">
            <v>222.74</v>
          </cell>
          <cell r="G1880">
            <v>668.22</v>
          </cell>
        </row>
        <row r="1881">
          <cell r="B1881" t="str">
            <v>1504-6157</v>
          </cell>
          <cell r="C1881" t="str">
            <v>Пакетний вимикач полюсів - 3, 25 А, 220 В,
ступінь захисту ІР 56 ПВ3-25УХЛ1-56Б</v>
          </cell>
          <cell r="D1881" t="str">
            <v>шт</v>
          </cell>
          <cell r="E1881">
            <v>1</v>
          </cell>
          <cell r="F1881">
            <v>222.74</v>
          </cell>
          <cell r="G1881">
            <v>222.74</v>
          </cell>
        </row>
        <row r="1882">
          <cell r="B1882" t="str">
            <v>1504-6157</v>
          </cell>
          <cell r="C1882" t="str">
            <v>Пакетний вимикач полюсів - 4, 16 А, 220 В,
ступінь захисту ІР 56 ПВ4-16УХЛ1-56Б</v>
          </cell>
          <cell r="D1882" t="str">
            <v>шт</v>
          </cell>
          <cell r="E1882">
            <v>2</v>
          </cell>
          <cell r="F1882">
            <v>331.75</v>
          </cell>
          <cell r="G1882">
            <v>663.5</v>
          </cell>
        </row>
        <row r="1883">
          <cell r="B1883" t="str">
            <v>1504-6157</v>
          </cell>
          <cell r="C1883" t="str">
            <v>Пакетний вимикач полюсів - 4, 25 А, 220 В,
ступінь захисту ІР 56 ПВ4-25УХЛ1-56Б</v>
          </cell>
          <cell r="D1883" t="str">
            <v>шт</v>
          </cell>
          <cell r="E1883">
            <v>3</v>
          </cell>
          <cell r="F1883">
            <v>331.75</v>
          </cell>
          <cell r="G1883">
            <v>995.25</v>
          </cell>
        </row>
        <row r="1884">
          <cell r="B1884" t="str">
            <v>1504-6157</v>
          </cell>
          <cell r="C1884" t="str">
            <v>Пакетний вимикач полюсів - 2, 25 А, 220 В,
ступінь захисту ІР 56 ПВ2-25УХЛ1-56Б</v>
          </cell>
          <cell r="D1884" t="str">
            <v>шт</v>
          </cell>
          <cell r="E1884">
            <v>2</v>
          </cell>
          <cell r="F1884">
            <v>228.79</v>
          </cell>
          <cell r="G1884">
            <v>457.58</v>
          </cell>
        </row>
        <row r="1885">
          <cell r="B1885" t="str">
            <v>М8-575-1</v>
          </cell>
          <cell r="C1885" t="str">
            <v>Установлення приладiв або апаратiв,
знятих перед транспортуванням</v>
          </cell>
          <cell r="D1885" t="str">
            <v>шт</v>
          </cell>
          <cell r="E1885">
            <v>1</v>
          </cell>
          <cell r="F1885">
            <v>117.29</v>
          </cell>
          <cell r="G1885">
            <v>117.29</v>
          </cell>
        </row>
        <row r="1886">
          <cell r="B1886" t="str">
            <v>1504-6157</v>
          </cell>
          <cell r="C1886" t="str">
            <v>Пакетний вимикач полюсів - 3, 60 А, 220 В,
ступінь захисту ІР 56 ПВ3-60УХЛ1-56Б</v>
          </cell>
          <cell r="D1886" t="str">
            <v>шт</v>
          </cell>
          <cell r="E1886">
            <v>1</v>
          </cell>
          <cell r="F1886">
            <v>222.74</v>
          </cell>
          <cell r="G1886">
            <v>222.74</v>
          </cell>
        </row>
        <row r="1887">
          <cell r="B1887" t="str">
            <v>1504-17151</v>
          </cell>
          <cell r="C1887" t="str">
            <v>Настановна коробка для штепсельних
розеток та вимикачів, прихованого монтажу,
на одне місце</v>
          </cell>
          <cell r="D1887" t="str">
            <v>шт</v>
          </cell>
          <cell r="E1887">
            <v>5</v>
          </cell>
          <cell r="F1887">
            <v>12.52</v>
          </cell>
          <cell r="G1887">
            <v>62.6</v>
          </cell>
        </row>
        <row r="1888">
          <cell r="B1888" t="str">
            <v>1504-17151</v>
          </cell>
          <cell r="C1888" t="str">
            <v>Настановна коробка для штепсельних
розеток та вимикачів, прихованого монтажу,
на одне місце</v>
          </cell>
          <cell r="D1888" t="str">
            <v>шт</v>
          </cell>
          <cell r="E1888">
            <v>47</v>
          </cell>
          <cell r="F1888">
            <v>12.52</v>
          </cell>
          <cell r="G1888">
            <v>588.44000000000005</v>
          </cell>
        </row>
        <row r="1889">
          <cell r="B1889" t="str">
            <v>С1545-90</v>
          </cell>
          <cell r="C1889" t="str">
            <v>Коробка відгалужувальна для трубної
проводки</v>
          </cell>
          <cell r="D1889" t="str">
            <v>100шт</v>
          </cell>
          <cell r="E1889">
            <v>0.75</v>
          </cell>
          <cell r="F1889">
            <v>3186.77</v>
          </cell>
          <cell r="G1889">
            <v>2390.08</v>
          </cell>
        </row>
        <row r="1890">
          <cell r="B1890" t="str">
            <v>М8-412-2</v>
          </cell>
          <cell r="C1890" t="str">
            <v>Провiд перший одножильний або
багатожильний у загальному обплетеннi у
прокладених трубах або металорукавах,
сумарний перерiз до 6 мм2</v>
          </cell>
          <cell r="D1890" t="str">
            <v>100 м</v>
          </cell>
          <cell r="E1890">
            <v>3.45</v>
          </cell>
          <cell r="F1890">
            <v>817.8</v>
          </cell>
          <cell r="G1890">
            <v>2821.41</v>
          </cell>
        </row>
        <row r="1891">
          <cell r="B1891" t="str">
            <v>М8-412-9</v>
          </cell>
          <cell r="C1891" t="str">
            <v>Кожен наступний провiд одножильний або
багатожильний у загальному обплетеннi у
прокладених трубах або металорукавах,
сумарний перерiз до 6 мм2</v>
          </cell>
          <cell r="D1891" t="str">
            <v>100 м</v>
          </cell>
          <cell r="E1891">
            <v>0.99</v>
          </cell>
          <cell r="F1891">
            <v>369.1</v>
          </cell>
          <cell r="G1891">
            <v>365.41</v>
          </cell>
        </row>
        <row r="1892">
          <cell r="B1892" t="str">
            <v>М8-412-3</v>
          </cell>
          <cell r="C1892" t="str">
            <v>Провiд перший одножильний або
багатожильний у загальному обплетеннi у
прокладених трубах або металорукавах,
сумарний перерiз до 16 мм2</v>
          </cell>
          <cell r="D1892" t="str">
            <v>100 м</v>
          </cell>
          <cell r="E1892">
            <v>5.22</v>
          </cell>
          <cell r="F1892">
            <v>1038.2</v>
          </cell>
          <cell r="G1892">
            <v>5419.4</v>
          </cell>
        </row>
        <row r="1893">
          <cell r="B1893" t="str">
            <v>М8-412-4</v>
          </cell>
          <cell r="C1893" t="str">
            <v>Провiд перший одножильний або
багатожильний у загальному обплетеннi у
прокладених трубах або металорукавах,
сумарний перерiз до 35 мм2</v>
          </cell>
          <cell r="D1893" t="str">
            <v>100 м</v>
          </cell>
          <cell r="E1893">
            <v>0.60000000000000009</v>
          </cell>
          <cell r="F1893">
            <v>1377.98</v>
          </cell>
          <cell r="G1893">
            <v>826.79</v>
          </cell>
        </row>
        <row r="1894">
          <cell r="B1894" t="str">
            <v>М8-412-5</v>
          </cell>
          <cell r="C1894" t="str">
            <v>Провiд перший одножильний або
багатожильний у загальному обплетеннi у
прокладених трубах або металорукавах,
сумарний перерiз до 70 мм2</v>
          </cell>
          <cell r="D1894" t="str">
            <v>100 м</v>
          </cell>
          <cell r="E1894">
            <v>0.68</v>
          </cell>
          <cell r="F1894">
            <v>1882.48</v>
          </cell>
          <cell r="G1894">
            <v>1280.0899999999999</v>
          </cell>
        </row>
        <row r="1895">
          <cell r="B1895" t="str">
            <v>М8-148-2</v>
          </cell>
          <cell r="C1895" t="str">
            <v>Кабель до 35 кВ у прокладених трубах,
блоках i коробах, маса 1 м до 2 кг</v>
          </cell>
          <cell r="D1895" t="str">
            <v>100 м</v>
          </cell>
          <cell r="E1895">
            <v>2.1800000000000002</v>
          </cell>
          <cell r="F1895">
            <v>2413.1799999999998</v>
          </cell>
          <cell r="G1895">
            <v>5260.73</v>
          </cell>
        </row>
        <row r="1896">
          <cell r="B1896" t="str">
            <v>М8-401-1</v>
          </cell>
          <cell r="C1896" t="str">
            <v>Кабель дво-, чотирижильний перерiзом
жили до 16 мм2, що прокладається з
крiпленням накладними скобами</v>
          </cell>
          <cell r="D1896" t="str">
            <v>100 м</v>
          </cell>
          <cell r="E1896">
            <v>1.74</v>
          </cell>
          <cell r="F1896">
            <v>10768.6</v>
          </cell>
          <cell r="G1896">
            <v>18737.36</v>
          </cell>
        </row>
        <row r="1897">
          <cell r="B1897" t="str">
            <v>М11-169-1</v>
          </cell>
          <cell r="C1897" t="str">
            <v>Електричнi проводки у щитах i пультах
шафних i панельних</v>
          </cell>
          <cell r="D1897" t="str">
            <v>100 м</v>
          </cell>
          <cell r="E1897">
            <v>1.04</v>
          </cell>
          <cell r="F1897">
            <v>1314.64</v>
          </cell>
          <cell r="G1897">
            <v>1367.23</v>
          </cell>
        </row>
        <row r="1898">
          <cell r="B1898" t="str">
            <v>15091-1022-4</v>
          </cell>
          <cell r="C1898" t="str">
            <v>Кабель силовий с мідними жилами з
подвійною ПВХ ізоляцією, ПВСнг-нд-0,66
перерізом 3,0х2,5мм2 "Мастер - А"</v>
          </cell>
          <cell r="D1898" t="str">
            <v>м</v>
          </cell>
          <cell r="E1898">
            <v>431</v>
          </cell>
          <cell r="F1898">
            <v>27.05</v>
          </cell>
          <cell r="G1898">
            <v>11658.55</v>
          </cell>
        </row>
        <row r="1899">
          <cell r="B1899" t="str">
            <v>15091-1022-4</v>
          </cell>
          <cell r="C1899" t="str">
            <v>Провід силовий с мідними жилами з
подвійною ПВХ ізоляцією, ПВСнг-нд-0,66
перерізом 3,0х1,5мм2 "Мастер - А"</v>
          </cell>
          <cell r="D1899" t="str">
            <v>м</v>
          </cell>
          <cell r="E1899">
            <v>170</v>
          </cell>
          <cell r="F1899">
            <v>16.149999999999999</v>
          </cell>
          <cell r="G1899">
            <v>2745.5</v>
          </cell>
        </row>
        <row r="1900">
          <cell r="B1900" t="str">
            <v>15091-1022-4</v>
          </cell>
          <cell r="C1900" t="str">
            <v>Кабель силовий с мідними жилами з
подвійною ПВХ ізоляцією, ПВСнг-нд-0,66
перерізом 5х4 мм2 "Мастер - А"</v>
          </cell>
          <cell r="D1900" t="str">
            <v>м</v>
          </cell>
          <cell r="E1900">
            <v>32</v>
          </cell>
          <cell r="F1900">
            <v>67.64</v>
          </cell>
          <cell r="G1900">
            <v>2164.48</v>
          </cell>
        </row>
        <row r="1901">
          <cell r="B1901" t="str">
            <v>15091-1022-4</v>
          </cell>
          <cell r="C1901" t="str">
            <v>Кабель силовий с мідними жилами з
подвійною ПВХ ізоляцією, ПВСнг-нд-0,66
перерізом 5х10 мм2 "Мастер - А"</v>
          </cell>
          <cell r="D1901" t="str">
            <v>м</v>
          </cell>
          <cell r="E1901">
            <v>71</v>
          </cell>
          <cell r="F1901">
            <v>165.16</v>
          </cell>
          <cell r="G1901">
            <v>11726.36</v>
          </cell>
        </row>
        <row r="1902">
          <cell r="B1902" t="str">
            <v>15091-1022-4</v>
          </cell>
          <cell r="C1902" t="str">
            <v>Кабель силовий с мідними жилами з
подвійною ПВХ ізоляцією, ПВСнг-нд-0,66
перерізом 5х16 мм2 "Мастер - А"</v>
          </cell>
          <cell r="D1902" t="str">
            <v>м</v>
          </cell>
          <cell r="E1902">
            <v>117</v>
          </cell>
          <cell r="F1902">
            <v>297.7</v>
          </cell>
          <cell r="G1902">
            <v>34830.9</v>
          </cell>
        </row>
        <row r="1903">
          <cell r="B1903" t="str">
            <v>15091-1022-4</v>
          </cell>
          <cell r="C1903" t="str">
            <v>Кабель силовий с мідними жилами з
подвійною ПВХ ізоляцією, ПВСнг-нд-0,66
перерізом 5х25 мм2 "Мастер - А"</v>
          </cell>
          <cell r="D1903" t="str">
            <v>м</v>
          </cell>
          <cell r="E1903">
            <v>101</v>
          </cell>
          <cell r="F1903">
            <v>446.69</v>
          </cell>
          <cell r="G1903">
            <v>45115.69</v>
          </cell>
        </row>
        <row r="1904">
          <cell r="B1904" t="str">
            <v>15095-46081</v>
          </cell>
          <cell r="C1904" t="str">
            <v>Кабель силовий с мідними жилами з
подвійною ПВХ ізоляцією, ПВСнг-нд-0,66
перерізом 3х1,0 мм2 "Мастер - А"</v>
          </cell>
          <cell r="D1904" t="str">
            <v>1000м</v>
          </cell>
          <cell r="E1904">
            <v>1.4999999999999999E-2</v>
          </cell>
          <cell r="F1904">
            <v>12453.66</v>
          </cell>
          <cell r="G1904">
            <v>186.8</v>
          </cell>
        </row>
        <row r="1905">
          <cell r="B1905" t="str">
            <v>15095-46111</v>
          </cell>
          <cell r="C1905" t="str">
            <v>Кабель силовий с мідними жилами з
подвійною ПВХ ізоляцією, ПВСнг-нд-0,66
перерізом 4х0,75 мм2 "Мастер - А"</v>
          </cell>
          <cell r="D1905" t="str">
            <v>1000м</v>
          </cell>
          <cell r="E1905">
            <v>2.6000000000000002E-2</v>
          </cell>
          <cell r="F1905">
            <v>11273.59</v>
          </cell>
          <cell r="G1905">
            <v>293.11</v>
          </cell>
        </row>
        <row r="1906">
          <cell r="B1906" t="str">
            <v>15095-46021</v>
          </cell>
          <cell r="C1906" t="str">
            <v>Кабель силовий с мідними жилами з
подвійною ПВХ ізоляцією, ПВСнг-нд-0,66
перерізом 2х0,75 мм2 "Мастер - А"</v>
          </cell>
          <cell r="D1906" t="str">
            <v>1000м</v>
          </cell>
          <cell r="E1906">
            <v>0.14300000000000002</v>
          </cell>
          <cell r="F1906">
            <v>8726.1</v>
          </cell>
          <cell r="G1906">
            <v>1247.83</v>
          </cell>
        </row>
        <row r="1907">
          <cell r="B1907" t="str">
            <v>15091-1022-4</v>
          </cell>
          <cell r="C1907" t="str">
            <v>Кабель силовий с мідними жилами з ПВХ
оболонкою і ізоляцією, 5 клас гнучкості, ВВГ
перерізом 3х1,5 мм2 "Мастер - А"</v>
          </cell>
          <cell r="D1907" t="str">
            <v>м</v>
          </cell>
          <cell r="E1907">
            <v>62</v>
          </cell>
          <cell r="F1907">
            <v>15.51</v>
          </cell>
          <cell r="G1907">
            <v>961.62</v>
          </cell>
        </row>
        <row r="1908">
          <cell r="B1908" t="str">
            <v>15091-1022-4</v>
          </cell>
          <cell r="C1908" t="str">
            <v>Кабель силовий с мідними жилами з ПВХ
оболонкою і ізоляцією, 5 клас гнучкості, ВВГ
перерізом 3х2,5 мм2 "Мастер - А"</v>
          </cell>
          <cell r="D1908" t="str">
            <v>м</v>
          </cell>
          <cell r="E1908">
            <v>31</v>
          </cell>
          <cell r="F1908">
            <v>24.03</v>
          </cell>
          <cell r="G1908">
            <v>744.93</v>
          </cell>
        </row>
        <row r="1909">
          <cell r="B1909" t="str">
            <v>15091-1022-4</v>
          </cell>
          <cell r="C1909" t="str">
            <v>Кабель силовий с мідними жилами з ПВХ
оболонкою і ізоляцією, 5 клас гнучкості, ВВГ
перерізом 5х2,5 мм2 "Мастер - А"</v>
          </cell>
          <cell r="D1909" t="str">
            <v>м</v>
          </cell>
          <cell r="E1909">
            <v>31</v>
          </cell>
          <cell r="F1909">
            <v>39.35</v>
          </cell>
          <cell r="G1909">
            <v>1219.8499999999999</v>
          </cell>
        </row>
        <row r="1910">
          <cell r="B1910" t="str">
            <v>15091-1022-4</v>
          </cell>
          <cell r="C1910" t="str">
            <v>Кабель силовий с мідними жилами з ПВХ
оболонкою і ізоляцією, 5 клас гнучкості, ВВГ
перерізом 4х6 мм2 "Мастер - А"</v>
          </cell>
          <cell r="D1910" t="str">
            <v>м</v>
          </cell>
          <cell r="E1910">
            <v>16</v>
          </cell>
          <cell r="F1910">
            <v>74.790000000000006</v>
          </cell>
          <cell r="G1910">
            <v>1196.6400000000001</v>
          </cell>
        </row>
        <row r="1911">
          <cell r="B1911" t="str">
            <v>15091-1022-4</v>
          </cell>
          <cell r="C1911" t="str">
            <v>Кабель силовий с мідними жилами з ПВХ
оболонкою і ізоляцією, 5 клас гнучкості, ВВГ
перерізом 4х2,5 мм2 "Мастер - А"</v>
          </cell>
          <cell r="D1911" t="str">
            <v>м</v>
          </cell>
          <cell r="E1911">
            <v>16</v>
          </cell>
          <cell r="F1911">
            <v>31.37</v>
          </cell>
          <cell r="G1911">
            <v>501.92</v>
          </cell>
        </row>
        <row r="1912">
          <cell r="B1912" t="str">
            <v>15093-35013</v>
          </cell>
          <cell r="C1912" t="str">
            <v>Кабель силовий с мідними жилами з ПВХ
оболонкою і ізоляцією, 5 клас гнучкості, ВВГ
перерізом 3х1,0 мм2 "Мастер - А"</v>
          </cell>
          <cell r="D1912" t="str">
            <v>1000м</v>
          </cell>
          <cell r="E1912">
            <v>1.4999999999999999E-2</v>
          </cell>
          <cell r="F1912">
            <v>19088.27</v>
          </cell>
          <cell r="G1912">
            <v>286.32</v>
          </cell>
        </row>
        <row r="1913">
          <cell r="B1913" t="str">
            <v>15091-1022-4</v>
          </cell>
          <cell r="C1913" t="str">
            <v>Кабель силовий с мідними жилами з ПВХ
оболонкою і ізоляцією, ВВГнг-нд-1
перерізом 5х35 мм2 "Мастер - А"</v>
          </cell>
          <cell r="D1913" t="str">
            <v>м</v>
          </cell>
          <cell r="E1913">
            <v>11</v>
          </cell>
          <cell r="F1913">
            <v>509.33</v>
          </cell>
          <cell r="G1913">
            <v>5602.63</v>
          </cell>
        </row>
        <row r="1914">
          <cell r="B1914" t="str">
            <v>15091-1022-4</v>
          </cell>
          <cell r="C1914" t="str">
            <v>Кабель контрольний с мідними жилами з
ПВХ оболонкою і ізоляцією, КВВГє
перерізом 4х1,5 мм2 "Мастер - А"</v>
          </cell>
          <cell r="D1914" t="str">
            <v>м</v>
          </cell>
          <cell r="E1914">
            <v>47</v>
          </cell>
          <cell r="F1914">
            <v>20.63</v>
          </cell>
          <cell r="G1914">
            <v>969.61</v>
          </cell>
        </row>
        <row r="1915">
          <cell r="B1915" t="str">
            <v>15091-1022-4</v>
          </cell>
          <cell r="C1915" t="str">
            <v>Кабель контрольний с мідними жилами з
ПВХ оболонкою і ізоляцією, КВВГє
перерізом 4х6 мм2 "Мастер - А"</v>
          </cell>
          <cell r="D1915" t="str">
            <v>м</v>
          </cell>
          <cell r="E1915">
            <v>16</v>
          </cell>
          <cell r="F1915">
            <v>81.77</v>
          </cell>
          <cell r="G1915">
            <v>1308.32</v>
          </cell>
        </row>
        <row r="1916">
          <cell r="B1916" t="str">
            <v>15091-1022-4</v>
          </cell>
          <cell r="C1916" t="str">
            <v>Кабель с мідними жилами вогнетривкий (90
хв) безгалогенний перерізом 2G1,5 мм2
HULT(FLEX) LSOH FB90</v>
          </cell>
          <cell r="D1916" t="str">
            <v>м</v>
          </cell>
          <cell r="E1916">
            <v>177.48</v>
          </cell>
          <cell r="F1916">
            <v>41.23</v>
          </cell>
          <cell r="G1916">
            <v>7317.5</v>
          </cell>
        </row>
        <row r="1917">
          <cell r="B1917" t="str">
            <v>15091-1022-4</v>
          </cell>
          <cell r="C1917" t="str">
            <v>Кабель с мідними жилами вогнетривкий (90
хв) безгалогенний перерізом 2x2x0,8 мм2 J-
Y(St)YLg</v>
          </cell>
          <cell r="D1917" t="str">
            <v>м</v>
          </cell>
          <cell r="E1917">
            <v>134</v>
          </cell>
          <cell r="F1917">
            <v>18.47</v>
          </cell>
          <cell r="G1917">
            <v>2474.98</v>
          </cell>
        </row>
        <row r="1918">
          <cell r="B1918" t="str">
            <v>15091-1022-4</v>
          </cell>
          <cell r="C1918" t="str">
            <v>Кабель с мідними жилами вогнетривкий (90
хв) безгалогенний перерізом 4x2x0,8 мм2 J-
Y(St)YLg</v>
          </cell>
          <cell r="D1918" t="str">
            <v>м</v>
          </cell>
          <cell r="E1918">
            <v>16</v>
          </cell>
          <cell r="F1918">
            <v>31.67</v>
          </cell>
          <cell r="G1918">
            <v>506.72</v>
          </cell>
        </row>
        <row r="1919">
          <cell r="B1919" t="str">
            <v>15091-1022-4</v>
          </cell>
          <cell r="C1919" t="str">
            <v>Кабель с мідними жилами вогнетривкий (90
хв) безгалогенний перерізом 2P 0,51 мм
CCA Step 4NET FTP Cot. 5e</v>
          </cell>
          <cell r="D1919" t="str">
            <v>м</v>
          </cell>
          <cell r="E1919">
            <v>6</v>
          </cell>
          <cell r="F1919">
            <v>31.67</v>
          </cell>
          <cell r="G1919">
            <v>190.02</v>
          </cell>
        </row>
        <row r="1920">
          <cell r="B1920" t="str">
            <v>15091-1022-4</v>
          </cell>
          <cell r="C1920" t="str">
            <v>Кабель с мідними жилами вогнетривкий (90
хв) безгалогенний перерізом 4P 0,51 мм
CCA Step 4NET FTP Cot. 5e</v>
          </cell>
          <cell r="D1920" t="str">
            <v>м</v>
          </cell>
          <cell r="E1920">
            <v>14</v>
          </cell>
          <cell r="F1920">
            <v>31.67</v>
          </cell>
          <cell r="G1920">
            <v>443.38</v>
          </cell>
        </row>
        <row r="1921">
          <cell r="B1921" t="str">
            <v>М8-409-6</v>
          </cell>
          <cell r="C1921" t="str">
            <v>Труба вiнiпластова по основi пiдлоги,
дiаметр до 25 мм</v>
          </cell>
          <cell r="D1921" t="str">
            <v>100 м</v>
          </cell>
          <cell r="E1921">
            <v>0.13</v>
          </cell>
          <cell r="F1921">
            <v>4478.62</v>
          </cell>
          <cell r="G1921">
            <v>582.22</v>
          </cell>
        </row>
        <row r="1922">
          <cell r="B1922" t="str">
            <v>М8-409-8</v>
          </cell>
          <cell r="C1922" t="str">
            <v>Труба вiнiпластова по основi пiдлоги,
дiаметр до 63 мм</v>
          </cell>
          <cell r="D1922" t="str">
            <v>100 м</v>
          </cell>
          <cell r="E1922">
            <v>0.1</v>
          </cell>
          <cell r="F1922">
            <v>5803.45</v>
          </cell>
          <cell r="G1922">
            <v>580.35</v>
          </cell>
        </row>
        <row r="1923">
          <cell r="B1923" t="str">
            <v>М8-409-6</v>
          </cell>
          <cell r="C1923" t="str">
            <v>Труба вiнiпластова по основi покрівлі,
дiаметр до 25 мм</v>
          </cell>
          <cell r="D1923" t="str">
            <v>100 м</v>
          </cell>
          <cell r="E1923">
            <v>0.66</v>
          </cell>
          <cell r="F1923">
            <v>4478.62</v>
          </cell>
          <cell r="G1923">
            <v>2955.89</v>
          </cell>
        </row>
        <row r="1924">
          <cell r="B1924" t="str">
            <v>М8-409-7</v>
          </cell>
          <cell r="C1924" t="str">
            <v>Труба вiнiпластова по основi покрівлі,
дiаметр до 50 мм</v>
          </cell>
          <cell r="D1924" t="str">
            <v>100 м</v>
          </cell>
          <cell r="E1924">
            <v>0.59</v>
          </cell>
          <cell r="F1924">
            <v>5140.3500000000004</v>
          </cell>
          <cell r="G1924">
            <v>3032.81</v>
          </cell>
        </row>
        <row r="1925">
          <cell r="B1925" t="str">
            <v>М8-409-8</v>
          </cell>
          <cell r="C1925" t="str">
            <v>Труба вiнiпластова по основi покрівлі,
дiаметр до 63 мм</v>
          </cell>
          <cell r="D1925" t="str">
            <v>100 м</v>
          </cell>
          <cell r="E1925">
            <v>0.11</v>
          </cell>
          <cell r="F1925">
            <v>5803.45</v>
          </cell>
          <cell r="G1925">
            <v>638.38</v>
          </cell>
        </row>
        <row r="1926">
          <cell r="B1926" t="str">
            <v>М8-409-4</v>
          </cell>
          <cell r="C1926" t="str">
            <v>Труба вiнiпластова по стелях на
конструкціях, дiаметр до 50 мм</v>
          </cell>
          <cell r="D1926" t="str">
            <v>100 м</v>
          </cell>
          <cell r="E1926">
            <v>4.34</v>
          </cell>
          <cell r="F1926">
            <v>8552.9</v>
          </cell>
          <cell r="G1926">
            <v>37119.589999999997</v>
          </cell>
        </row>
        <row r="1927">
          <cell r="B1927" t="str">
            <v>М8-409-1</v>
          </cell>
          <cell r="C1927" t="str">
            <v>Труба вiнiпластова по стiнах i колонах з
крiпленням накладними скобами, дiаметр
до 25 мм</v>
          </cell>
          <cell r="D1927" t="str">
            <v>100 м</v>
          </cell>
          <cell r="E1927">
            <v>4.54</v>
          </cell>
          <cell r="F1927">
            <v>10862.49</v>
          </cell>
          <cell r="G1927">
            <v>49315.7</v>
          </cell>
        </row>
        <row r="1928">
          <cell r="B1928" t="str">
            <v>М8-409-2</v>
          </cell>
          <cell r="C1928" t="str">
            <v>Труба вiнiпластова по стiнах i колонах з
крiпленням накладними скобами, дiаметр
до 50 мм</v>
          </cell>
          <cell r="D1928" t="str">
            <v>100 м</v>
          </cell>
          <cell r="E1928">
            <v>1.58</v>
          </cell>
          <cell r="F1928">
            <v>11959.71</v>
          </cell>
          <cell r="G1928">
            <v>18896.34</v>
          </cell>
        </row>
        <row r="1929">
          <cell r="B1929" t="str">
            <v>М8-409-3</v>
          </cell>
          <cell r="C1929" t="str">
            <v>Труба вiнiпластова по стiнах i колонах з
крiпленням накладними скобами, дiаметр
до 63 мм</v>
          </cell>
          <cell r="D1929" t="str">
            <v>100 м</v>
          </cell>
          <cell r="E1929">
            <v>0.08</v>
          </cell>
          <cell r="F1929">
            <v>13826.69</v>
          </cell>
          <cell r="G1929">
            <v>1106.1400000000001</v>
          </cell>
        </row>
        <row r="1930">
          <cell r="B1930" t="str">
            <v>С113-1373</v>
          </cell>
          <cell r="C1930" t="str">
            <v>Труба полiвінілхлоридна, гладка Ду-20 мм</v>
          </cell>
          <cell r="D1930" t="str">
            <v>м</v>
          </cell>
          <cell r="E1930">
            <v>13.26</v>
          </cell>
          <cell r="F1930">
            <v>8.6</v>
          </cell>
          <cell r="G1930">
            <v>114.04</v>
          </cell>
        </row>
        <row r="1931">
          <cell r="B1931" t="str">
            <v>С113-1373</v>
          </cell>
          <cell r="C1931" t="str">
            <v>Труба полiвінілхлоридна, гладка Ду-25 мм</v>
          </cell>
          <cell r="D1931" t="str">
            <v>м</v>
          </cell>
          <cell r="E1931">
            <v>95.88</v>
          </cell>
          <cell r="F1931">
            <v>12.07</v>
          </cell>
          <cell r="G1931">
            <v>1157.27</v>
          </cell>
        </row>
        <row r="1932">
          <cell r="B1932" t="str">
            <v>С113-1373</v>
          </cell>
          <cell r="C1932" t="str">
            <v>Труба полiвінілхлоридна, гладка Ду-32 мм</v>
          </cell>
          <cell r="D1932" t="str">
            <v>м</v>
          </cell>
          <cell r="E1932">
            <v>17.34</v>
          </cell>
          <cell r="F1932">
            <v>31.57</v>
          </cell>
          <cell r="G1932">
            <v>547.41999999999996</v>
          </cell>
        </row>
        <row r="1933">
          <cell r="B1933" t="str">
            <v>С113-1373</v>
          </cell>
          <cell r="C1933" t="str">
            <v>Труба полiвінілхлоридна, гладка Ду-40 мм</v>
          </cell>
          <cell r="D1933" t="str">
            <v>м</v>
          </cell>
          <cell r="E1933">
            <v>45.9</v>
          </cell>
          <cell r="F1933">
            <v>26.42</v>
          </cell>
          <cell r="G1933">
            <v>1212.68</v>
          </cell>
        </row>
        <row r="1934">
          <cell r="B1934" t="str">
            <v>С113-1373</v>
          </cell>
          <cell r="C1934" t="str">
            <v>Труба полiвінілхлоридна, гладка Ду-50 мм</v>
          </cell>
          <cell r="D1934" t="str">
            <v>м</v>
          </cell>
          <cell r="E1934">
            <v>62.22</v>
          </cell>
          <cell r="F1934">
            <v>39.630000000000003</v>
          </cell>
          <cell r="G1934">
            <v>2465.7800000000002</v>
          </cell>
        </row>
        <row r="1935">
          <cell r="B1935" t="str">
            <v>С113-1373</v>
          </cell>
          <cell r="C1935" t="str">
            <v>Труба полiвінілхлоридна, гладка Ду-63 мм</v>
          </cell>
          <cell r="D1935" t="str">
            <v>м</v>
          </cell>
          <cell r="E1935">
            <v>25.5</v>
          </cell>
          <cell r="F1935">
            <v>57.98</v>
          </cell>
          <cell r="G1935">
            <v>1478.49</v>
          </cell>
        </row>
        <row r="1936">
          <cell r="B1936" t="str">
            <v>С113-2126-1Н</v>
          </cell>
          <cell r="C1936" t="str">
            <v>Труба гнучка гофрована з самозатухающого
ПВХ Ду=20 мм</v>
          </cell>
          <cell r="D1936" t="str">
            <v>м</v>
          </cell>
          <cell r="E1936">
            <v>111.18</v>
          </cell>
          <cell r="F1936">
            <v>8.75</v>
          </cell>
          <cell r="G1936">
            <v>972.83</v>
          </cell>
        </row>
        <row r="1937">
          <cell r="B1937" t="str">
            <v>С113-2127-1Н</v>
          </cell>
          <cell r="C1937" t="str">
            <v>Труба гнучка гофрована з самозатухающого
ПВХ Ду=25 мм</v>
          </cell>
          <cell r="D1937" t="str">
            <v>м</v>
          </cell>
          <cell r="E1937">
            <v>634.44000000000005</v>
          </cell>
          <cell r="F1937">
            <v>19.829999999999998</v>
          </cell>
          <cell r="G1937">
            <v>12580.95</v>
          </cell>
        </row>
        <row r="1938">
          <cell r="B1938" t="str">
            <v>С113-2128-1Н</v>
          </cell>
          <cell r="C1938" t="str">
            <v>Труба гнучка гофрована з самозатухающого
ПВХ Ду=32 мм</v>
          </cell>
          <cell r="D1938" t="str">
            <v>м</v>
          </cell>
          <cell r="E1938">
            <v>8.16</v>
          </cell>
          <cell r="F1938">
            <v>22.59</v>
          </cell>
          <cell r="G1938">
            <v>184.33</v>
          </cell>
        </row>
        <row r="1939">
          <cell r="B1939" t="str">
            <v>С113-2128-2Н</v>
          </cell>
          <cell r="C1939" t="str">
            <v>Труба гнучка гофрована з самозатухающого
ПВХ Ду=50 мм</v>
          </cell>
          <cell r="D1939" t="str">
            <v>м</v>
          </cell>
          <cell r="E1939">
            <v>219.3</v>
          </cell>
          <cell r="F1939">
            <v>27.86</v>
          </cell>
          <cell r="G1939">
            <v>6109.7</v>
          </cell>
        </row>
        <row r="1940">
          <cell r="B1940" t="str">
            <v>С113-2128-3Н</v>
          </cell>
          <cell r="C1940" t="str">
            <v>Труба гнучка гофрована з самозатухающого
ПВХ Ду=63 мм</v>
          </cell>
          <cell r="D1940" t="str">
            <v>м</v>
          </cell>
          <cell r="E1940">
            <v>4.08</v>
          </cell>
          <cell r="F1940">
            <v>35.78</v>
          </cell>
          <cell r="G1940">
            <v>145.97999999999999</v>
          </cell>
        </row>
        <row r="1941">
          <cell r="B1941" t="str">
            <v>М8-472-5</v>
          </cell>
          <cell r="C1941" t="str">
            <v>Провiдник заземлюючий приховано у
пiдливцi пiдлоги з круглої сталi дiаметром
16 мм</v>
          </cell>
          <cell r="D1941" t="str">
            <v>100 м</v>
          </cell>
          <cell r="E1941">
            <v>1.47</v>
          </cell>
          <cell r="F1941">
            <v>2212.25</v>
          </cell>
          <cell r="G1941">
            <v>3252.01</v>
          </cell>
        </row>
        <row r="1942">
          <cell r="B1942" t="str">
            <v>С111-1809-1-2И</v>
          </cell>
          <cell r="C1942" t="str">
            <v>Сталь кругла, діам. 16 мм</v>
          </cell>
          <cell r="D1942" t="str">
            <v>м</v>
          </cell>
          <cell r="E1942">
            <v>147</v>
          </cell>
          <cell r="F1942">
            <v>26.47</v>
          </cell>
          <cell r="G1942">
            <v>3891.09</v>
          </cell>
        </row>
        <row r="1943">
          <cell r="B1943" t="str">
            <v>М8-472-3</v>
          </cell>
          <cell r="C1943" t="str">
            <v>Провiдник заземлюючий приховано у
пiдливцi пiдлоги зi штабової сталi
перерiзом 100 мм2</v>
          </cell>
          <cell r="D1943" t="str">
            <v>100 м</v>
          </cell>
          <cell r="E1943">
            <v>0.26</v>
          </cell>
          <cell r="F1943">
            <v>2021.01</v>
          </cell>
          <cell r="G1943">
            <v>525.46</v>
          </cell>
        </row>
        <row r="1944">
          <cell r="B1944" t="str">
            <v>С111-1812-1</v>
          </cell>
          <cell r="C1944" t="str">
            <v>Сталева смуга, розмiри 25х4 мм</v>
          </cell>
          <cell r="D1944" t="str">
            <v>м</v>
          </cell>
          <cell r="E1944">
            <v>26</v>
          </cell>
          <cell r="F1944">
            <v>22.51</v>
          </cell>
          <cell r="G1944">
            <v>585.26</v>
          </cell>
        </row>
        <row r="1946">
          <cell r="B1946" t="str">
            <v>1503-12053</v>
          </cell>
          <cell r="C1946" t="str">
            <v>Провідник круглий алюмінієвий d=8мм з
ПВХ обшивкою (5021332)</v>
          </cell>
          <cell r="D1946" t="str">
            <v>м</v>
          </cell>
          <cell r="E1946">
            <v>106</v>
          </cell>
          <cell r="F1946">
            <v>215.67</v>
          </cell>
          <cell r="G1946">
            <v>22861.02</v>
          </cell>
        </row>
        <row r="1947">
          <cell r="B1947" t="str">
            <v>1503-12088</v>
          </cell>
          <cell r="C1947" t="str">
            <v>Тримач провідника Rd 8-10 оцинк (5229960)</v>
          </cell>
          <cell r="D1947" t="str">
            <v>шт</v>
          </cell>
          <cell r="E1947">
            <v>106</v>
          </cell>
          <cell r="F1947">
            <v>65.7</v>
          </cell>
          <cell r="G1947">
            <v>6964.2</v>
          </cell>
        </row>
        <row r="1948">
          <cell r="B1948" t="str">
            <v>1503-12069-2</v>
          </cell>
          <cell r="C1948" t="str">
            <v>З'єднувач круглого/плоского провідника 264
F (5316510)</v>
          </cell>
          <cell r="D1948" t="str">
            <v>шт</v>
          </cell>
          <cell r="E1948">
            <v>12</v>
          </cell>
          <cell r="F1948">
            <v>171.33</v>
          </cell>
          <cell r="G1948">
            <v>2055.96</v>
          </cell>
        </row>
        <row r="1949">
          <cell r="B1949" t="str">
            <v>1503-12086</v>
          </cell>
          <cell r="C1949" t="str">
            <v>Шуруп з подвійною різьбою М6х35х4,3
(3133036)</v>
          </cell>
          <cell r="D1949" t="str">
            <v>шт</v>
          </cell>
          <cell r="E1949">
            <v>118</v>
          </cell>
          <cell r="F1949">
            <v>4.67</v>
          </cell>
          <cell r="G1949">
            <v>551.05999999999995</v>
          </cell>
        </row>
        <row r="1950">
          <cell r="B1950" t="str">
            <v>1503-12069-3</v>
          </cell>
          <cell r="C1950" t="str">
            <v>Клема для з'єднання та підключення
319Rd8 (5325307)</v>
          </cell>
          <cell r="D1950" t="str">
            <v>шт</v>
          </cell>
          <cell r="E1950">
            <v>10</v>
          </cell>
          <cell r="F1950">
            <v>168.36</v>
          </cell>
          <cell r="G1950">
            <v>1683.6</v>
          </cell>
        </row>
        <row r="1951">
          <cell r="B1951" t="str">
            <v>1503-12089</v>
          </cell>
          <cell r="C1951" t="str">
            <v>Розділова вставка RD8-10 і FL 30-40мм
(5336457)</v>
          </cell>
          <cell r="D1951" t="str">
            <v>шт</v>
          </cell>
          <cell r="E1951">
            <v>6</v>
          </cell>
          <cell r="F1951">
            <v>173.17</v>
          </cell>
          <cell r="G1951">
            <v>1039.02</v>
          </cell>
        </row>
        <row r="1952">
          <cell r="B1952" t="str">
            <v>М10-898-12пристос.</v>
          </cell>
          <cell r="C1952" t="str">
            <v>Коробка ревізійна</v>
          </cell>
          <cell r="D1952" t="str">
            <v>коробка</v>
          </cell>
          <cell r="E1952">
            <v>6</v>
          </cell>
          <cell r="F1952">
            <v>260.16000000000003</v>
          </cell>
          <cell r="G1952">
            <v>1560.96</v>
          </cell>
        </row>
        <row r="1953">
          <cell r="B1953" t="str">
            <v>2405-12264-1-3Е</v>
          </cell>
          <cell r="C1953" t="str">
            <v>Коробка IP55 240х190х90</v>
          </cell>
          <cell r="D1953" t="str">
            <v>шт</v>
          </cell>
          <cell r="E1953">
            <v>6</v>
          </cell>
          <cell r="F1953">
            <v>442.81</v>
          </cell>
          <cell r="G1953">
            <v>2656.86</v>
          </cell>
        </row>
        <row r="1954">
          <cell r="B1954" t="str">
            <v>1503-12086-2</v>
          </cell>
          <cell r="C1954" t="str">
            <v>Саморіз по металу М 3,5х35</v>
          </cell>
          <cell r="D1954" t="str">
            <v>шт</v>
          </cell>
          <cell r="E1954">
            <v>24</v>
          </cell>
          <cell r="F1954">
            <v>1.25</v>
          </cell>
          <cell r="G1954">
            <v>30</v>
          </cell>
        </row>
        <row r="1955">
          <cell r="B1955" t="str">
            <v>Е1-164-2</v>
          </cell>
          <cell r="C1955" t="str">
            <v>Розробка ґрунту вручну в траншеях
глибиною до 2 м без крiплень з укосами,
група ґрунтiв 2</v>
          </cell>
          <cell r="D1955" t="str">
            <v>100м3</v>
          </cell>
          <cell r="E1955">
            <v>3.6000000000000004E-2</v>
          </cell>
          <cell r="F1955">
            <v>14569.17</v>
          </cell>
          <cell r="G1955">
            <v>524.49</v>
          </cell>
        </row>
        <row r="1956">
          <cell r="B1956" t="str">
            <v>Е1-166-1</v>
          </cell>
          <cell r="C1956" t="str">
            <v>Засипка вручну траншей, пазух котлованiв i
ям, група ґрунтiв 1</v>
          </cell>
          <cell r="D1956" t="str">
            <v>100м3</v>
          </cell>
          <cell r="E1956">
            <v>3.6000000000000004E-2</v>
          </cell>
          <cell r="F1956">
            <v>8246.16</v>
          </cell>
          <cell r="G1956">
            <v>296.86</v>
          </cell>
        </row>
        <row r="1957">
          <cell r="B1957" t="str">
            <v>М8-472-2</v>
          </cell>
          <cell r="C1957" t="str">
            <v>Заземлювач горизонтальний у траншеї зi
сталi штабової, перерiз 160 мм2</v>
          </cell>
          <cell r="D1957" t="str">
            <v>100 м</v>
          </cell>
          <cell r="E1957">
            <v>0.15</v>
          </cell>
          <cell r="F1957">
            <v>1868.33</v>
          </cell>
          <cell r="G1957">
            <v>280.25</v>
          </cell>
        </row>
        <row r="1958">
          <cell r="B1958" t="str">
            <v>1503-12048-2</v>
          </cell>
          <cell r="C1958" t="str">
            <v>Провідник плоский 30х3,5 мм оцинк.
(5019345)</v>
          </cell>
          <cell r="D1958" t="str">
            <v>м</v>
          </cell>
          <cell r="E1958">
            <v>15</v>
          </cell>
          <cell r="F1958">
            <v>79.73</v>
          </cell>
          <cell r="G1958">
            <v>1195.95</v>
          </cell>
        </row>
        <row r="1959">
          <cell r="B1959" t="str">
            <v>1503-12056-3</v>
          </cell>
          <cell r="C1959" t="str">
            <v>Тримач для плоского провідника 708/40
(5030242)</v>
          </cell>
          <cell r="D1959" t="str">
            <v>шт</v>
          </cell>
          <cell r="E1959">
            <v>15</v>
          </cell>
          <cell r="F1959">
            <v>68.55</v>
          </cell>
          <cell r="G1959">
            <v>1028.25</v>
          </cell>
        </row>
        <row r="1960">
          <cell r="B1960" t="str">
            <v>1503-12056-2</v>
          </cell>
          <cell r="C1960" t="str">
            <v>З'єднувач круглого/плоского провідника зі
штирем заземлення 2760/20 (5001641)</v>
          </cell>
          <cell r="D1960" t="str">
            <v>шт</v>
          </cell>
          <cell r="E1960">
            <v>6</v>
          </cell>
          <cell r="F1960">
            <v>234.12</v>
          </cell>
          <cell r="G1960">
            <v>1404.72</v>
          </cell>
        </row>
        <row r="1961">
          <cell r="B1961" t="str">
            <v>М8-471-4</v>
          </cell>
          <cell r="C1961" t="str">
            <v>Заземлювач вертикальний з круглої сталi
дiаметром 16 мм</v>
          </cell>
          <cell r="D1961" t="str">
            <v>10 шт</v>
          </cell>
          <cell r="E1961">
            <v>3.6</v>
          </cell>
          <cell r="F1961">
            <v>2866.74</v>
          </cell>
          <cell r="G1961">
            <v>10320.26</v>
          </cell>
        </row>
        <row r="1962">
          <cell r="B1962" t="str">
            <v>1503-12061</v>
          </cell>
          <cell r="C1962" t="str">
            <v>Штир заземлення оцинк. d=20мм L=1,5м
219/20ST (5000750)</v>
          </cell>
          <cell r="D1962" t="str">
            <v>шт</v>
          </cell>
          <cell r="E1962">
            <v>36</v>
          </cell>
          <cell r="F1962">
            <v>569.82000000000005</v>
          </cell>
          <cell r="G1962">
            <v>20513.52</v>
          </cell>
        </row>
        <row r="1963">
          <cell r="B1963" t="str">
            <v>1503-12056-4</v>
          </cell>
          <cell r="C1963" t="str">
            <v>Хрестове з'єднання для круглого та
плоского провідника 252/FL DIN (5312655)</v>
          </cell>
          <cell r="D1963" t="str">
            <v>шт</v>
          </cell>
          <cell r="E1963">
            <v>6</v>
          </cell>
          <cell r="F1963">
            <v>161.31</v>
          </cell>
          <cell r="G1963">
            <v>967.86</v>
          </cell>
        </row>
        <row r="1964">
          <cell r="B1964" t="str">
            <v>1503-12062</v>
          </cell>
          <cell r="C1964" t="str">
            <v>Насадка нижня штиря заземлення
1819/20ВР (3041212)</v>
          </cell>
          <cell r="D1964" t="str">
            <v>шт</v>
          </cell>
          <cell r="E1964">
            <v>6</v>
          </cell>
          <cell r="F1964">
            <v>53.05</v>
          </cell>
          <cell r="G1964">
            <v>318.3</v>
          </cell>
        </row>
        <row r="1965">
          <cell r="B1965" t="str">
            <v>М10-901-8пристос.</v>
          </cell>
          <cell r="C1965" t="str">
            <v>Ревізійний колодязь для заземлення</v>
          </cell>
          <cell r="D1965" t="str">
            <v>шт</v>
          </cell>
          <cell r="E1965">
            <v>6</v>
          </cell>
          <cell r="F1965">
            <v>127.62</v>
          </cell>
          <cell r="G1965">
            <v>765.72</v>
          </cell>
        </row>
        <row r="1966">
          <cell r="B1966" t="str">
            <v>1503-12090</v>
          </cell>
          <cell r="C1966" t="str">
            <v>Люк (колодязь) ревізійний системи
заземлення</v>
          </cell>
          <cell r="D1966" t="str">
            <v>шт</v>
          </cell>
          <cell r="E1966">
            <v>6</v>
          </cell>
          <cell r="F1966">
            <v>2654.36</v>
          </cell>
          <cell r="G1966">
            <v>15926.16</v>
          </cell>
        </row>
        <row r="1967">
          <cell r="B1967" t="str">
            <v>ЕН26-29-1</v>
          </cell>
          <cell r="C1967" t="str">
            <v>Гідроізоляція провідника</v>
          </cell>
          <cell r="D1967" t="str">
            <v>10 м</v>
          </cell>
          <cell r="E1967">
            <v>2</v>
          </cell>
          <cell r="F1967">
            <v>240.05</v>
          </cell>
          <cell r="G1967">
            <v>480.1</v>
          </cell>
        </row>
        <row r="1968">
          <cell r="B1968" t="str">
            <v>1503-12063</v>
          </cell>
          <cell r="C1968" t="str">
            <v>Стрічка гідроізоляційна 50мм L=10м
(2360055)</v>
          </cell>
          <cell r="D1968" t="str">
            <v>шт</v>
          </cell>
          <cell r="E1968">
            <v>2</v>
          </cell>
          <cell r="F1968">
            <v>362.53</v>
          </cell>
          <cell r="G1968">
            <v>725.06</v>
          </cell>
        </row>
        <row r="1969">
          <cell r="B1969" t="str">
            <v>С1545-42-1-И</v>
          </cell>
          <cell r="C1969" t="str">
            <v>Саморіз 3,5х35мм</v>
          </cell>
          <cell r="D1969" t="str">
            <v>шт</v>
          </cell>
          <cell r="E1969">
            <v>100</v>
          </cell>
          <cell r="F1969">
            <v>0.21</v>
          </cell>
          <cell r="G1969">
            <v>21</v>
          </cell>
        </row>
        <row r="1970">
          <cell r="B1970" t="str">
            <v>С111-136-3-5Ц</v>
          </cell>
          <cell r="C1970" t="str">
            <v>Дюбель 6х40</v>
          </cell>
          <cell r="D1970" t="str">
            <v>шт</v>
          </cell>
          <cell r="E1970">
            <v>100</v>
          </cell>
          <cell r="F1970">
            <v>0.53</v>
          </cell>
          <cell r="G1970">
            <v>53</v>
          </cell>
        </row>
        <row r="1971">
          <cell r="B1971" t="str">
            <v>П1-61-3</v>
          </cell>
          <cell r="C1971" t="str">
            <v>Пристрої, що заземлюють. Вимірювання
опору розтіканню струму контуру з
діагоналлю до 200 м (горизонтальний
контур заземлення- провідник плоский 30х3,
5)</v>
          </cell>
          <cell r="D1971" t="str">
            <v>Вимір.</v>
          </cell>
          <cell r="E1971">
            <v>6</v>
          </cell>
          <cell r="F1971">
            <v>227.28</v>
          </cell>
          <cell r="G1971">
            <v>1363.68</v>
          </cell>
        </row>
        <row r="1972">
          <cell r="B1972" t="str">
            <v>П1-61-7</v>
          </cell>
          <cell r="C1972" t="str">
            <v>Пристрої, що заземлюють. Визначення
питомого опору грунту</v>
          </cell>
          <cell r="D1972" t="str">
            <v>Вимір.</v>
          </cell>
          <cell r="E1972">
            <v>1</v>
          </cell>
          <cell r="F1972">
            <v>303.04000000000002</v>
          </cell>
          <cell r="G1972">
            <v>303.04000000000002</v>
          </cell>
        </row>
        <row r="1973">
          <cell r="B1973" t="str">
            <v>П1-61-6</v>
          </cell>
          <cell r="C1973" t="str">
            <v>Пристрої, що заземлюють. Перевірка
наявності кола між заземлителями і
заземленими елементами (вертикальний та
горизонтальний контур заземлення-
провідник плоский 30х3,5; штир заземлення
оцинк. d=20мм L=1,5м 219/20ST)</v>
          </cell>
          <cell r="D1973" t="str">
            <v>100_точ.</v>
          </cell>
          <cell r="E1973">
            <v>0.06</v>
          </cell>
          <cell r="F1973">
            <v>1287.92</v>
          </cell>
          <cell r="G1973">
            <v>77.28</v>
          </cell>
        </row>
        <row r="1975">
          <cell r="B1975" t="str">
            <v>Е13-74-7Н1=2_тех.ч._п.1.3.15_к=1,1</v>
          </cell>
          <cell r="C1975" t="str">
            <v>На кожний наступний шар нанесення
механiзованим способом покриття з
вогнезахисного матерiалу "АК-121
Defender M Solvent" додавати до норми 13-
74-5 /при роботi з риштувань,пiдвiсних
помостiв, колисок на висотi бiльше 4 м/</v>
          </cell>
          <cell r="D1975" t="str">
            <v>100м2</v>
          </cell>
          <cell r="E1975">
            <v>25.881799999999998</v>
          </cell>
          <cell r="F1975">
            <v>4471.97</v>
          </cell>
          <cell r="G1975">
            <v>115742.63</v>
          </cell>
        </row>
        <row r="1976">
          <cell r="B1976" t="str">
            <v>С1113-287-4</v>
          </cell>
          <cell r="C1976" t="str">
            <v>Вогнезахисний матеріал "АК-121 Defender M
Solvent"</v>
          </cell>
          <cell r="D1976" t="str">
            <v>кг</v>
          </cell>
          <cell r="E1976">
            <v>5683.02</v>
          </cell>
          <cell r="F1976">
            <v>177.14</v>
          </cell>
          <cell r="G1976" t="str">
            <v>1006690,
16</v>
          </cell>
        </row>
        <row r="1978">
          <cell r="B1978" t="str">
            <v>Е13-45-5_тех.ч._п.1.3.15_к=1,1</v>
          </cell>
          <cell r="C1978" t="str">
            <v>Знежирювання поверхонь апаратiв i
трубопроводiв дiаметром бiльше 500 мм
уайт-спиритом /при роботi з риштувань,
пiдвiсних помостiв, колисок на висотi
бiльше 4 м/</v>
          </cell>
          <cell r="D1978" t="str">
            <v>100м2</v>
          </cell>
          <cell r="E1978">
            <v>0.57730000000000004</v>
          </cell>
          <cell r="F1978">
            <v>2451.9899999999998</v>
          </cell>
          <cell r="G1978">
            <v>1415.53</v>
          </cell>
        </row>
        <row r="1979">
          <cell r="B1979" t="str">
            <v>Е13-38-1</v>
          </cell>
          <cell r="C1979" t="str">
            <v>Обклеювання металевої поверхнi листами
системи Брандізол, в один шар на клеї</v>
          </cell>
          <cell r="D1979" t="str">
            <v>м2</v>
          </cell>
          <cell r="E1979">
            <v>57.73</v>
          </cell>
          <cell r="F1979">
            <v>147.63999999999999</v>
          </cell>
          <cell r="G1979">
            <v>8523.26</v>
          </cell>
        </row>
        <row r="1980">
          <cell r="B1980" t="str">
            <v>С114-269-1</v>
          </cell>
          <cell r="C1980" t="str">
            <v>Система "Брандізол" (картон ТК-4 + клей ТК-
4)</v>
          </cell>
          <cell r="D1980" t="str">
            <v>м2</v>
          </cell>
          <cell r="E1980">
            <v>66.5</v>
          </cell>
          <cell r="F1980">
            <v>309.81</v>
          </cell>
          <cell r="G1980">
            <v>20602.37</v>
          </cell>
        </row>
        <row r="1982">
          <cell r="B1982" t="str">
            <v>М8-81-1</v>
          </cell>
          <cell r="C1982" t="str">
            <v>Апарат керування i сигналiзацiї, кiлькiсть
кiнцiв, що пiдключаються, до 2</v>
          </cell>
          <cell r="D1982" t="str">
            <v>шт</v>
          </cell>
          <cell r="E1982">
            <v>1</v>
          </cell>
          <cell r="F1982">
            <v>116.08</v>
          </cell>
          <cell r="G1982">
            <v>116.08</v>
          </cell>
        </row>
        <row r="1983">
          <cell r="B1983" t="str">
            <v>1504-18119</v>
          </cell>
          <cell r="C1983" t="str">
            <v>Пост керування ПКУ15-21-131-54У2</v>
          </cell>
          <cell r="D1983" t="str">
            <v>шт</v>
          </cell>
          <cell r="E1983">
            <v>1</v>
          </cell>
          <cell r="F1983">
            <v>413.15</v>
          </cell>
          <cell r="G1983">
            <v>413.15</v>
          </cell>
        </row>
        <row r="1984">
          <cell r="B1984" t="str">
            <v>М8-532-4</v>
          </cell>
          <cell r="C1984" t="str">
            <v>Пост керування кнопковий загального
призначення, що установлюється на
конструкцiї на стiнi або колонi, кiлькiсть
елементiв поста до 3</v>
          </cell>
          <cell r="D1984" t="str">
            <v>шт</v>
          </cell>
          <cell r="E1984">
            <v>1</v>
          </cell>
          <cell r="F1984">
            <v>246.29</v>
          </cell>
          <cell r="G1984">
            <v>246.29</v>
          </cell>
        </row>
        <row r="1985">
          <cell r="B1985" t="str">
            <v>1602-50115</v>
          </cell>
          <cell r="C1985" t="str">
            <v>Дзвiнок гучного бою ЗВЛП-220 В</v>
          </cell>
          <cell r="D1985" t="str">
            <v>шт</v>
          </cell>
          <cell r="E1985">
            <v>1</v>
          </cell>
          <cell r="F1985">
            <v>472.24</v>
          </cell>
          <cell r="G1985">
            <v>472.24</v>
          </cell>
        </row>
        <row r="1986">
          <cell r="B1986" t="str">
            <v>М8-81-1</v>
          </cell>
          <cell r="C1986" t="str">
            <v>Апарат керування i сигналiзацiї, кiлькiсть
кiнцiв, що пiдключаються, до 2</v>
          </cell>
          <cell r="D1986" t="str">
            <v>шт</v>
          </cell>
          <cell r="E1986">
            <v>1</v>
          </cell>
          <cell r="F1986">
            <v>116.08</v>
          </cell>
          <cell r="G1986">
            <v>116.08</v>
          </cell>
        </row>
        <row r="1987">
          <cell r="B1987" t="str">
            <v>М8-545-1</v>
          </cell>
          <cell r="C1987" t="str">
            <v>Коробка [ящик] iз затискачами для
проводiв i кабелiв перерiзом жил до 6 мм2,
що установлюється на конструкцiї на
стiнi або колонi, кiлькiсть затискачiв у
коробцi до 10</v>
          </cell>
          <cell r="D1987" t="str">
            <v>шт</v>
          </cell>
          <cell r="E1987">
            <v>1</v>
          </cell>
          <cell r="F1987">
            <v>525.41999999999996</v>
          </cell>
          <cell r="G1987">
            <v>525.41999999999996</v>
          </cell>
        </row>
        <row r="1988">
          <cell r="B1988" t="str">
            <v>2405-1356</v>
          </cell>
          <cell r="C1988" t="str">
            <v>Коробки клемнi ККС-4</v>
          </cell>
          <cell r="D1988" t="str">
            <v>шт</v>
          </cell>
          <cell r="E1988">
            <v>1</v>
          </cell>
          <cell r="F1988">
            <v>146.37</v>
          </cell>
          <cell r="G1988">
            <v>146.37</v>
          </cell>
        </row>
        <row r="1989">
          <cell r="B1989" t="str">
            <v>М8-545-2</v>
          </cell>
          <cell r="C1989" t="str">
            <v>Коробка [ящик] iз затискачами для
проводiв i кабелiв перерiзом жил до 6 мм2,
що установлюється на конструкцiї на
стiнi або колонi, кiлькiсть затискачiв у
коробцi до 20</v>
          </cell>
          <cell r="D1989" t="str">
            <v>шт</v>
          </cell>
          <cell r="E1989">
            <v>1</v>
          </cell>
          <cell r="F1989">
            <v>778.21</v>
          </cell>
          <cell r="G1989">
            <v>778.21</v>
          </cell>
        </row>
        <row r="1990">
          <cell r="B1990" t="str">
            <v>2405-1356</v>
          </cell>
          <cell r="C1990" t="str">
            <v>Коробки клемнi ККС-12</v>
          </cell>
          <cell r="D1990" t="str">
            <v>шт</v>
          </cell>
          <cell r="E1990">
            <v>1</v>
          </cell>
          <cell r="F1990">
            <v>372.83</v>
          </cell>
          <cell r="G1990">
            <v>372.83</v>
          </cell>
        </row>
        <row r="1991">
          <cell r="B1991" t="str">
            <v>2405-1361</v>
          </cell>
          <cell r="C1991" t="str">
            <v>Коробка вiдгалужувальна</v>
          </cell>
          <cell r="D1991" t="str">
            <v>шт</v>
          </cell>
          <cell r="E1991">
            <v>2</v>
          </cell>
          <cell r="F1991">
            <v>33.340000000000003</v>
          </cell>
          <cell r="G1991">
            <v>66.680000000000007</v>
          </cell>
        </row>
        <row r="1992">
          <cell r="B1992" t="str">
            <v>М8-409-2</v>
          </cell>
          <cell r="C1992" t="str">
            <v>Труба вiнiпластова по стiнах i колонах з
крiпленням накладними скобами, дiаметр
до 50 мм</v>
          </cell>
          <cell r="D1992" t="str">
            <v>100 м</v>
          </cell>
          <cell r="E1992">
            <v>0.03</v>
          </cell>
          <cell r="F1992">
            <v>6466.27</v>
          </cell>
          <cell r="G1992">
            <v>193.99</v>
          </cell>
        </row>
        <row r="1993">
          <cell r="B1993" t="str">
            <v>С1530-43</v>
          </cell>
          <cell r="C1993" t="str">
            <v>Труба полiвінілхлорідна, гладка Ду= 40 мм</v>
          </cell>
          <cell r="D1993" t="str">
            <v>10м</v>
          </cell>
          <cell r="E1993">
            <v>0.30000000000000004</v>
          </cell>
          <cell r="F1993">
            <v>264.75</v>
          </cell>
          <cell r="G1993">
            <v>79.430000000000007</v>
          </cell>
        </row>
        <row r="1994">
          <cell r="B1994" t="str">
            <v>М8-409-4</v>
          </cell>
          <cell r="C1994" t="str">
            <v>Труба вiнiпластова по стелях на
конструкціях, дiаметр до 50 мм</v>
          </cell>
          <cell r="D1994" t="str">
            <v>100 м</v>
          </cell>
          <cell r="E1994">
            <v>0.82</v>
          </cell>
          <cell r="F1994">
            <v>5859.51</v>
          </cell>
          <cell r="G1994">
            <v>4804.8</v>
          </cell>
        </row>
        <row r="1995">
          <cell r="B1995" t="str">
            <v>С1530-1-3</v>
          </cell>
          <cell r="C1995" t="str">
            <v>Труба гнучка гофрована з самозатухающого
ПВХ Ду=25 мм</v>
          </cell>
          <cell r="D1995" t="str">
            <v>м</v>
          </cell>
          <cell r="E1995">
            <v>65</v>
          </cell>
          <cell r="F1995">
            <v>19.97</v>
          </cell>
          <cell r="G1995">
            <v>1298.05</v>
          </cell>
        </row>
        <row r="1996">
          <cell r="B1996" t="str">
            <v>С1530-1-5</v>
          </cell>
          <cell r="C1996" t="str">
            <v>Труба гнучка гофрована з самозатухающого
ПВХ Ду=40 мм</v>
          </cell>
          <cell r="D1996" t="str">
            <v>м</v>
          </cell>
          <cell r="E1996">
            <v>17</v>
          </cell>
          <cell r="F1996">
            <v>26.9</v>
          </cell>
          <cell r="G1996">
            <v>457.3</v>
          </cell>
        </row>
        <row r="1997">
          <cell r="B1997" t="str">
            <v>М8-412-3</v>
          </cell>
          <cell r="C1997" t="str">
            <v>Провiд перший одножильний або
багатожильний у загальному обплетеннi у
прокладених трубах або металорукавах,
сумарний перерiз до 16 мм2</v>
          </cell>
          <cell r="D1997" t="str">
            <v>100 м</v>
          </cell>
          <cell r="E1997">
            <v>0.85</v>
          </cell>
          <cell r="F1997">
            <v>1038.2</v>
          </cell>
          <cell r="G1997">
            <v>882.47</v>
          </cell>
        </row>
        <row r="1998">
          <cell r="B1998" t="str">
            <v>М8-412-10</v>
          </cell>
          <cell r="C1998" t="str">
            <v>Кожен наступний провiд одножильний або
багатожильний у загальному обплетеннi у
прокладених трубах або металорукавах,
сумарний перерiз до 35 мм2</v>
          </cell>
          <cell r="D1998" t="str">
            <v>100 м</v>
          </cell>
          <cell r="E1998">
            <v>0.27500000000000002</v>
          </cell>
          <cell r="F1998">
            <v>706.63</v>
          </cell>
          <cell r="G1998">
            <v>194.32</v>
          </cell>
        </row>
        <row r="1999">
          <cell r="B1999" t="str">
            <v>15093-34023</v>
          </cell>
          <cell r="C1999" t="str">
            <v>Кабель силовий з мідними жилами з ПВХ
оболонкою і ізоляцією перерiзом 2.2,5мм2
ВВГнг-0,66</v>
          </cell>
          <cell r="D1999" t="str">
            <v>1000м</v>
          </cell>
          <cell r="E1999">
            <v>4.1000000000000002E-2</v>
          </cell>
          <cell r="F1999">
            <v>23171.02</v>
          </cell>
          <cell r="G1999">
            <v>950.01</v>
          </cell>
        </row>
        <row r="2000">
          <cell r="B2000" t="str">
            <v>15093-34013</v>
          </cell>
          <cell r="C2000" t="str">
            <v>Кабель силовий з мідними жилами з ПВХ
оболонкою і ізоляцією перерiзом 2.1,5мм2
ВВГнг-0,66</v>
          </cell>
          <cell r="D2000" t="str">
            <v>1000м</v>
          </cell>
          <cell r="E2000">
            <v>1.5E-3</v>
          </cell>
          <cell r="F2000">
            <v>15726.4</v>
          </cell>
          <cell r="G2000">
            <v>23.59</v>
          </cell>
        </row>
        <row r="2001">
          <cell r="B2001" t="str">
            <v>15093-35013</v>
          </cell>
          <cell r="C2001" t="str">
            <v>Кабель силовий з мідними жилами з ПВХ
оболонкою і ізоляцією перерiзом 3.1,5мм2
ВВГнг-0,66</v>
          </cell>
          <cell r="D2001" t="str">
            <v>1000м</v>
          </cell>
          <cell r="E2001">
            <v>6.7000000000000004E-2</v>
          </cell>
          <cell r="F2001">
            <v>21823.119999999999</v>
          </cell>
          <cell r="G2001">
            <v>1462.15</v>
          </cell>
        </row>
        <row r="2002">
          <cell r="B2002" t="str">
            <v>15096-11211</v>
          </cell>
          <cell r="C2002" t="str">
            <v>Кабель перерiзом 5.1,5мм2 КВВГ</v>
          </cell>
          <cell r="D2002" t="str">
            <v>1000м</v>
          </cell>
          <cell r="E2002">
            <v>1.5E-3</v>
          </cell>
          <cell r="F2002">
            <v>38289.26</v>
          </cell>
          <cell r="G2002">
            <v>57.43</v>
          </cell>
        </row>
        <row r="2003">
          <cell r="B2003" t="str">
            <v>15096-11231</v>
          </cell>
          <cell r="C2003" t="str">
            <v>Кабель перерiзом 7.1,5мм2 КВВГ</v>
          </cell>
          <cell r="D2003" t="str">
            <v>1000м</v>
          </cell>
          <cell r="E2003">
            <v>1.5E-3</v>
          </cell>
          <cell r="F2003">
            <v>52164.33</v>
          </cell>
          <cell r="G2003">
            <v>78.25</v>
          </cell>
        </row>
        <row r="2005">
          <cell r="B2005" t="str">
            <v>ЕН15-80-4</v>
          </cell>
          <cell r="C2005" t="str">
            <v>Монтаж стінових касет без утеплення з
риштувань</v>
          </cell>
          <cell r="D2005" t="str">
            <v>100 м2</v>
          </cell>
          <cell r="E2005">
            <v>9.9000000000000008E-3</v>
          </cell>
          <cell r="F2005">
            <v>10401.540000000001</v>
          </cell>
          <cell r="G2005">
            <v>102.98</v>
          </cell>
        </row>
        <row r="2006">
          <cell r="B2006" t="str">
            <v>ЕН15-80-2</v>
          </cell>
          <cell r="C2006" t="str">
            <v>Монтаж PS- панелей з утепленням з
риштувань</v>
          </cell>
          <cell r="D2006" t="str">
            <v>100 м2</v>
          </cell>
          <cell r="E2006">
            <v>1.7329000000000001E-2</v>
          </cell>
          <cell r="F2006">
            <v>18219.45</v>
          </cell>
          <cell r="G2006">
            <v>315.72000000000003</v>
          </cell>
        </row>
        <row r="2007">
          <cell r="B2007" t="str">
            <v>С111-1807-1-5Ю</v>
          </cell>
          <cell r="C2007" t="str">
            <v>Стінова касета звичайна 600х150х0,75
ф.Blachy Pruszynski</v>
          </cell>
          <cell r="D2007" t="str">
            <v>м2</v>
          </cell>
          <cell r="E2007">
            <v>0.9</v>
          </cell>
          <cell r="F2007">
            <v>781.05</v>
          </cell>
          <cell r="G2007">
            <v>702.95</v>
          </cell>
        </row>
        <row r="2008">
          <cell r="B2008" t="str">
            <v>С111-1807-3-Ф</v>
          </cell>
          <cell r="C2008" t="str">
            <v>Стінова касета стартова 600х150х0,75
ф.Blachy Pruszynski</v>
          </cell>
          <cell r="D2008" t="str">
            <v>м2</v>
          </cell>
          <cell r="E2008">
            <v>0.09</v>
          </cell>
          <cell r="F2008">
            <v>796.67</v>
          </cell>
          <cell r="G2008">
            <v>71.7</v>
          </cell>
        </row>
        <row r="2009">
          <cell r="B2009" t="str">
            <v>С111-1807-7</v>
          </cell>
          <cell r="C2009" t="str">
            <v>PS-панелі PS-155 (V) товщ. 0,5мм РЕ 25мк
ф.Blachy Pruszynski</v>
          </cell>
          <cell r="D2009" t="str">
            <v>м2</v>
          </cell>
          <cell r="E2009">
            <v>1.7328999999999999</v>
          </cell>
          <cell r="F2009">
            <v>438.09</v>
          </cell>
          <cell r="G2009">
            <v>759.17</v>
          </cell>
        </row>
        <row r="2010">
          <cell r="B2010" t="str">
            <v>С111-1802-3Н</v>
          </cell>
          <cell r="C2010" t="str">
            <v>Кутик посил. перф. (оп. столик) 100х80х1,25
ф.Blachy Pruszynski</v>
          </cell>
          <cell r="D2010" t="str">
            <v>шт</v>
          </cell>
          <cell r="E2010">
            <v>1</v>
          </cell>
          <cell r="F2010">
            <v>10.36</v>
          </cell>
          <cell r="G2010">
            <v>10.36</v>
          </cell>
        </row>
        <row r="2011">
          <cell r="B2011" t="str">
            <v>С111-1801-3</v>
          </cell>
          <cell r="C2011" t="str">
            <v>L-прогон 100х50х1,0</v>
          </cell>
          <cell r="D2011" t="str">
            <v>м</v>
          </cell>
          <cell r="E2011">
            <v>0.2</v>
          </cell>
          <cell r="F2011">
            <v>70.41</v>
          </cell>
          <cell r="G2011">
            <v>14.08</v>
          </cell>
        </row>
        <row r="2012">
          <cell r="B2012" t="str">
            <v>РН20-27-1</v>
          </cell>
          <cell r="C2012" t="str">
            <v>Свердлення отворiв в цегляних стiнах,
товщина стiн 0,5 цеглини, дiаметр отвору до
20 мм</v>
          </cell>
          <cell r="D2012" t="str">
            <v>100шт</v>
          </cell>
          <cell r="E2012">
            <v>1.2</v>
          </cell>
          <cell r="F2012">
            <v>628.28</v>
          </cell>
          <cell r="G2012">
            <v>753.94</v>
          </cell>
        </row>
        <row r="2013">
          <cell r="B2013" t="str">
            <v>ЕН8-5-8</v>
          </cell>
          <cell r="C2013" t="str">
            <v>Мурування внутрiшнiх стiн з цегли
керамiчної при висотi поверху понад 4 м</v>
          </cell>
          <cell r="D2013" t="str">
            <v>1 м3</v>
          </cell>
          <cell r="E2013">
            <v>2.5</v>
          </cell>
          <cell r="F2013">
            <v>701.84</v>
          </cell>
          <cell r="G2013">
            <v>1754.6</v>
          </cell>
        </row>
        <row r="2014">
          <cell r="B2014" t="str">
            <v>С1422-10936</v>
          </cell>
          <cell r="C2014" t="str">
            <v>Цегла керамiчна одинарна повнотiла,
розмiри 250х120х65 мм, марка М100</v>
          </cell>
          <cell r="D2014" t="str">
            <v>1000шт</v>
          </cell>
          <cell r="E2014">
            <v>0.98750000000000004</v>
          </cell>
          <cell r="F2014">
            <v>5815.15</v>
          </cell>
          <cell r="G2014">
            <v>5742.46</v>
          </cell>
        </row>
        <row r="2015">
          <cell r="B2015" t="str">
            <v>С1425-11682</v>
          </cell>
          <cell r="C2015" t="str">
            <v>Розчин готовий кладковий важкий
цементний, марка М75</v>
          </cell>
          <cell r="D2015" t="str">
            <v>м3</v>
          </cell>
          <cell r="E2015">
            <v>0.60000000000000009</v>
          </cell>
          <cell r="F2015">
            <v>2186.92</v>
          </cell>
          <cell r="G2015">
            <v>1312.15</v>
          </cell>
        </row>
        <row r="2016">
          <cell r="B2016" t="str">
            <v>ЕН8-11-1</v>
          </cell>
          <cell r="C2016" t="str">
            <v>Армування мурування стiн та iнших
конструкцiй</v>
          </cell>
          <cell r="D2016" t="str">
            <v>1 т</v>
          </cell>
          <cell r="E2016">
            <v>1.0655999999999999E-2</v>
          </cell>
          <cell r="F2016">
            <v>4666.0600000000004</v>
          </cell>
          <cell r="G2016">
            <v>49.72</v>
          </cell>
        </row>
        <row r="2017">
          <cell r="B2017" t="str">
            <v>С124-1</v>
          </cell>
          <cell r="C2017" t="str">
            <v>Гарячекатана арматурна сталь гладка, клас
А-1, дiаметр 6 мм</v>
          </cell>
          <cell r="D2017" t="str">
            <v>т</v>
          </cell>
          <cell r="E2017">
            <v>1.0655999999999999E-2</v>
          </cell>
          <cell r="F2017">
            <v>20153.68</v>
          </cell>
          <cell r="G2017">
            <v>214.76</v>
          </cell>
        </row>
        <row r="2018">
          <cell r="B2018" t="str">
            <v>ЕН15-46-2</v>
          </cell>
          <cell r="C2018" t="str">
            <v>Просте штукатурення цементно-
вапняним або цементним розчином по
каменю i бетону стін вручну</v>
          </cell>
          <cell r="D2018" t="str">
            <v>100м2</v>
          </cell>
          <cell r="E2018">
            <v>0.08</v>
          </cell>
          <cell r="F2018">
            <v>10822.45</v>
          </cell>
          <cell r="G2018">
            <v>865.8</v>
          </cell>
        </row>
        <row r="2019">
          <cell r="B2019" t="str">
            <v>ЕН8-5-8</v>
          </cell>
          <cell r="C2019" t="str">
            <v>Мурування внутрiшнiх стiн з цегли
керамiчної при висотi поверху понад 4 м</v>
          </cell>
          <cell r="D2019" t="str">
            <v>1 м3</v>
          </cell>
          <cell r="E2019">
            <v>0.5</v>
          </cell>
          <cell r="F2019">
            <v>606.87</v>
          </cell>
          <cell r="G2019">
            <v>303.44</v>
          </cell>
        </row>
        <row r="2020">
          <cell r="B2020" t="str">
            <v>С1422-10936</v>
          </cell>
          <cell r="C2020" t="str">
            <v>Цегла керамiчна одинарна повнотiла,
розмiри 250х120х65 мм, марка М100</v>
          </cell>
          <cell r="D2020" t="str">
            <v>1000шт</v>
          </cell>
          <cell r="E2020">
            <v>0.19750000000000001</v>
          </cell>
          <cell r="F2020">
            <v>5815.15</v>
          </cell>
          <cell r="G2020">
            <v>1148.49</v>
          </cell>
        </row>
        <row r="2021">
          <cell r="B2021" t="str">
            <v>С1425-11682</v>
          </cell>
          <cell r="C2021" t="str">
            <v>Розчин готовий кладковий важкий
цементний, марка М75</v>
          </cell>
          <cell r="D2021" t="str">
            <v>м3</v>
          </cell>
          <cell r="E2021">
            <v>0.12</v>
          </cell>
          <cell r="F2021">
            <v>2186.92</v>
          </cell>
          <cell r="G2021">
            <v>262.43</v>
          </cell>
        </row>
        <row r="2022">
          <cell r="B2022" t="str">
            <v>Е12-20-3</v>
          </cell>
          <cell r="C2022" t="str">
            <v>Улаштування пароiзоляцiї прокладної в
один шар</v>
          </cell>
          <cell r="D2022" t="str">
            <v>100м2</v>
          </cell>
          <cell r="E2022">
            <v>5.45E-2</v>
          </cell>
          <cell r="F2022">
            <v>2892.71</v>
          </cell>
          <cell r="G2022">
            <v>157.65</v>
          </cell>
        </row>
        <row r="2023">
          <cell r="B2023" t="str">
            <v>С111-857</v>
          </cell>
          <cell r="C2023" t="str">
            <v>Руберойд пiдкладний Біполь ЕПП 3,0</v>
          </cell>
          <cell r="D2023" t="str">
            <v>м2</v>
          </cell>
          <cell r="E2023">
            <v>5.9950000000000001</v>
          </cell>
          <cell r="F2023">
            <v>91.93</v>
          </cell>
          <cell r="G2023">
            <v>551.12</v>
          </cell>
        </row>
        <row r="2024">
          <cell r="B2024" t="str">
            <v>Е12-18-5</v>
          </cell>
          <cell r="C2024" t="str">
            <v>Утеплення покриттiв плитами з легких
[нiздрюватих] бетонiв або фiбролiту
насухо</v>
          </cell>
          <cell r="D2024" t="str">
            <v>100м2</v>
          </cell>
          <cell r="E2024">
            <v>5.45E-2</v>
          </cell>
          <cell r="F2024">
            <v>3143.52</v>
          </cell>
          <cell r="G2024">
            <v>171.32</v>
          </cell>
        </row>
        <row r="2025">
          <cell r="B2025" t="str">
            <v>С114-4-У-1</v>
          </cell>
          <cell r="C2025" t="str">
            <v>Плити "TERMOLIFE" тип "ТЛ КРОВЛЯ Н"
товщ. 100мм</v>
          </cell>
          <cell r="D2025" t="str">
            <v>м3</v>
          </cell>
          <cell r="E2025">
            <v>0.56135000000000002</v>
          </cell>
          <cell r="F2025">
            <v>2216.4299999999998</v>
          </cell>
          <cell r="G2025">
            <v>1244.19</v>
          </cell>
        </row>
        <row r="2026">
          <cell r="B2026" t="str">
            <v>Е12-18-3</v>
          </cell>
          <cell r="C2026" t="str">
            <v>Утеплення покриттiв плитами з
мiнеральної вати або перлiту на бiтумнiй
мастицi в один шар</v>
          </cell>
          <cell r="D2026" t="str">
            <v>100м2</v>
          </cell>
          <cell r="E2026">
            <v>5.45E-2</v>
          </cell>
          <cell r="F2026">
            <v>6040.84</v>
          </cell>
          <cell r="G2026">
            <v>329.23</v>
          </cell>
        </row>
        <row r="2027">
          <cell r="B2027" t="str">
            <v>С111-594</v>
          </cell>
          <cell r="C2027" t="str">
            <v>Мастика покрiвельна гаряча ТехноНИКОЛЬ
№41</v>
          </cell>
          <cell r="D2027" t="str">
            <v>т</v>
          </cell>
          <cell r="E2027" t="str">
            <v>0,
0109545</v>
          </cell>
          <cell r="F2027">
            <v>41790.57</v>
          </cell>
          <cell r="G2027">
            <v>457.79</v>
          </cell>
        </row>
        <row r="2028">
          <cell r="B2028" t="str">
            <v>С114-4-У-1</v>
          </cell>
          <cell r="C2028" t="str">
            <v>Плити "TERMOLIFE" тип "ТЛ КРОВЛЯ Н"
товщ. 100мм</v>
          </cell>
          <cell r="D2028" t="str">
            <v>м3</v>
          </cell>
          <cell r="E2028">
            <v>0.56135000000000002</v>
          </cell>
          <cell r="F2028">
            <v>2216.4299999999998</v>
          </cell>
          <cell r="G2028">
            <v>1244.19</v>
          </cell>
        </row>
        <row r="2029">
          <cell r="B2029" t="str">
            <v>Е12-18-4</v>
          </cell>
          <cell r="C2029" t="str">
            <v>Утеплення покриттiв плитами з
мiнеральної вати або перлiту на бiтумнiй
мастицi на кожний наступний шар</v>
          </cell>
          <cell r="D2029" t="str">
            <v>100м2</v>
          </cell>
          <cell r="E2029">
            <v>5.45E-2</v>
          </cell>
          <cell r="F2029">
            <v>12183.53</v>
          </cell>
          <cell r="G2029">
            <v>664</v>
          </cell>
        </row>
        <row r="2030">
          <cell r="B2030" t="str">
            <v>С114-4-У-2</v>
          </cell>
          <cell r="C2030" t="str">
            <v>Плити "TERMOLIFE" тип "ТЛ КРОВЛЯ В"
товщ. 50мм</v>
          </cell>
          <cell r="D2030" t="str">
            <v>м3</v>
          </cell>
          <cell r="E2030">
            <v>0.28067500000000001</v>
          </cell>
          <cell r="F2030">
            <v>1770.54</v>
          </cell>
          <cell r="G2030">
            <v>496.95</v>
          </cell>
        </row>
        <row r="2031">
          <cell r="B2031" t="str">
            <v>Е12-20-3</v>
          </cell>
          <cell r="C2031" t="str">
            <v>Улаштування пароiзоляцiї прокладної в
один шар</v>
          </cell>
          <cell r="D2031" t="str">
            <v>100м2</v>
          </cell>
          <cell r="E2031">
            <v>14.23</v>
          </cell>
          <cell r="F2031">
            <v>803.18</v>
          </cell>
          <cell r="G2031">
            <v>11429.25</v>
          </cell>
        </row>
        <row r="2032">
          <cell r="B2032" t="str">
            <v>С1555-106</v>
          </cell>
          <cell r="C2032" t="str">
            <v>Геотекстиль Tipp Tex BS16</v>
          </cell>
          <cell r="D2032" t="str">
            <v>м2</v>
          </cell>
          <cell r="E2032">
            <v>1565.3</v>
          </cell>
          <cell r="F2032">
            <v>41.08</v>
          </cell>
          <cell r="G2032">
            <v>64302.52</v>
          </cell>
        </row>
        <row r="2033">
          <cell r="B2033" t="str">
            <v>Е12-20-3</v>
          </cell>
          <cell r="C2033" t="str">
            <v>Улаштування покрівельної ПВХ мембрани
в один шар</v>
          </cell>
          <cell r="D2033" t="str">
            <v>100м2</v>
          </cell>
          <cell r="E2033">
            <v>14.23</v>
          </cell>
          <cell r="F2033">
            <v>803.18</v>
          </cell>
          <cell r="G2033">
            <v>11429.25</v>
          </cell>
        </row>
        <row r="2034">
          <cell r="B2034" t="str">
            <v>С111-857-1</v>
          </cell>
          <cell r="C2034" t="str">
            <v>Покрівельна ПВХ мембрана Баудер
ТЕРМОФОЛ U15</v>
          </cell>
          <cell r="D2034" t="str">
            <v>м2</v>
          </cell>
          <cell r="E2034">
            <v>1565.3</v>
          </cell>
          <cell r="F2034">
            <v>369.72</v>
          </cell>
          <cell r="G2034">
            <v>578722.72</v>
          </cell>
        </row>
        <row r="2035">
          <cell r="B2035" t="str">
            <v>РН4-18-1</v>
          </cell>
          <cell r="C2035" t="str">
            <v>Установлення анкерiв</v>
          </cell>
          <cell r="D2035" t="str">
            <v>100 кг</v>
          </cell>
          <cell r="E2035">
            <v>1.4148000000000001</v>
          </cell>
          <cell r="F2035">
            <v>8074.69</v>
          </cell>
          <cell r="G2035">
            <v>11424.07</v>
          </cell>
        </row>
        <row r="2036">
          <cell r="B2036" t="str">
            <v>С111-1846-8Н</v>
          </cell>
          <cell r="C2036" t="str">
            <v>Анкер телескопічний L=260 мм</v>
          </cell>
          <cell r="D2036" t="str">
            <v>шт</v>
          </cell>
          <cell r="E2036">
            <v>4716</v>
          </cell>
          <cell r="F2036">
            <v>6.87</v>
          </cell>
          <cell r="G2036">
            <v>32398.92</v>
          </cell>
        </row>
        <row r="2037">
          <cell r="B2037" t="str">
            <v>Е12-20-3</v>
          </cell>
          <cell r="C2037" t="str">
            <v>Улаштування пароiзоляцiї прокладної в
один шар</v>
          </cell>
          <cell r="D2037" t="str">
            <v>100м2</v>
          </cell>
          <cell r="E2037">
            <v>0.252</v>
          </cell>
          <cell r="F2037">
            <v>803.18</v>
          </cell>
          <cell r="G2037">
            <v>202.4</v>
          </cell>
        </row>
        <row r="2038">
          <cell r="B2038" t="str">
            <v>С1555-106</v>
          </cell>
          <cell r="C2038" t="str">
            <v>Геотекстиль Tipp Tex BS16</v>
          </cell>
          <cell r="D2038" t="str">
            <v>м2</v>
          </cell>
          <cell r="E2038">
            <v>27.72</v>
          </cell>
          <cell r="F2038">
            <v>41.08</v>
          </cell>
          <cell r="G2038">
            <v>1138.74</v>
          </cell>
        </row>
        <row r="2039">
          <cell r="B2039" t="str">
            <v>Е12-20-3</v>
          </cell>
          <cell r="C2039" t="str">
            <v>Улаштування покрівельної ПВХ мембрани
в один шар</v>
          </cell>
          <cell r="D2039" t="str">
            <v>100м2</v>
          </cell>
          <cell r="E2039">
            <v>0.252</v>
          </cell>
          <cell r="F2039">
            <v>803.18</v>
          </cell>
          <cell r="G2039">
            <v>202.4</v>
          </cell>
        </row>
        <row r="2040">
          <cell r="B2040" t="str">
            <v>С111-857-1</v>
          </cell>
          <cell r="C2040" t="str">
            <v>Покрівельна ПВХ мембрана Баудер
ТЕРМОФОЛ U15</v>
          </cell>
          <cell r="D2040" t="str">
            <v>м2</v>
          </cell>
          <cell r="E2040">
            <v>27.72</v>
          </cell>
          <cell r="F2040">
            <v>369.72</v>
          </cell>
          <cell r="G2040">
            <v>10248.64</v>
          </cell>
        </row>
        <row r="2041">
          <cell r="B2041" t="str">
            <v>РН4-18-1</v>
          </cell>
          <cell r="C2041" t="str">
            <v>Установлення анкерiв</v>
          </cell>
          <cell r="D2041" t="str">
            <v>100 кг</v>
          </cell>
          <cell r="E2041">
            <v>2.52E-2</v>
          </cell>
          <cell r="F2041">
            <v>8074.69</v>
          </cell>
          <cell r="G2041">
            <v>203.48</v>
          </cell>
        </row>
        <row r="2042">
          <cell r="B2042" t="str">
            <v>С111-1846-8Н</v>
          </cell>
          <cell r="C2042" t="str">
            <v>Анкер телескопічний L=260 мм</v>
          </cell>
          <cell r="D2042" t="str">
            <v>шт</v>
          </cell>
          <cell r="E2042">
            <v>84</v>
          </cell>
          <cell r="F2042">
            <v>6.87</v>
          </cell>
          <cell r="G2042">
            <v>577.08000000000004</v>
          </cell>
        </row>
        <row r="2043">
          <cell r="B2043" t="str">
            <v>Е12-21-1</v>
          </cell>
          <cell r="C2043" t="str">
            <v>ґрунтування основ iз бетону або розчину
пiд водоiзоляцiйний покрiвельний килим</v>
          </cell>
          <cell r="D2043" t="str">
            <v>100м2</v>
          </cell>
          <cell r="E2043">
            <v>3.45</v>
          </cell>
          <cell r="F2043">
            <v>497.41</v>
          </cell>
          <cell r="G2043">
            <v>1716.06</v>
          </cell>
        </row>
        <row r="2044">
          <cell r="B2044" t="str">
            <v>С111-594</v>
          </cell>
          <cell r="C2044" t="str">
            <v>Мастика покрiвельна гаряча ТехноНИКОЛЬ
№41</v>
          </cell>
          <cell r="D2044" t="str">
            <v>т</v>
          </cell>
          <cell r="E2044">
            <v>5.1749999999999999E-3</v>
          </cell>
          <cell r="F2044">
            <v>41790.57</v>
          </cell>
          <cell r="G2044">
            <v>216.27</v>
          </cell>
        </row>
        <row r="2045">
          <cell r="B2045" t="str">
            <v>ЕН15-78-1</v>
          </cell>
          <cell r="C2045" t="str">
            <v>Утеплення фасадів мінеральними
плитами товщиною 100 мм з
опорядженням декоротивним розчином за
технологією "CEREZIT". Стіни гладкі</v>
          </cell>
          <cell r="D2045" t="str">
            <v>100 м2</v>
          </cell>
          <cell r="E2045">
            <v>2E-3</v>
          </cell>
          <cell r="F2045">
            <v>42684.93</v>
          </cell>
          <cell r="G2045">
            <v>85.37</v>
          </cell>
        </row>
        <row r="2046">
          <cell r="B2046" t="str">
            <v>С111-72-2</v>
          </cell>
          <cell r="C2046" t="str">
            <v>Праймер бітумний готовий до застосування
"Технониколь-1"</v>
          </cell>
          <cell r="D2046" t="str">
            <v>т</v>
          </cell>
          <cell r="E2046">
            <v>5.0000000000000002E-5</v>
          </cell>
          <cell r="F2046">
            <v>78784.53</v>
          </cell>
          <cell r="G2046">
            <v>3.94</v>
          </cell>
        </row>
        <row r="2047">
          <cell r="B2047" t="str">
            <v>С111-2011-7Н</v>
          </cell>
          <cell r="C2047" t="str">
            <v>Клейова сумiш Baumit NivoFix</v>
          </cell>
          <cell r="D2047" t="str">
            <v>кг</v>
          </cell>
          <cell r="E2047">
            <v>0.8</v>
          </cell>
          <cell r="F2047">
            <v>9.57</v>
          </cell>
          <cell r="G2047">
            <v>7.66</v>
          </cell>
        </row>
        <row r="2048">
          <cell r="B2048" t="str">
            <v>С114-4-У-2</v>
          </cell>
          <cell r="C2048" t="str">
            <v>Плити "TERMOLIFE" тип "ТЛ КРОВЛЯ В"
товщ. 50мм</v>
          </cell>
          <cell r="D2048" t="str">
            <v>м3</v>
          </cell>
          <cell r="E2048">
            <v>1.0700000000000001E-2</v>
          </cell>
          <cell r="F2048">
            <v>1770.54</v>
          </cell>
          <cell r="G2048">
            <v>18.940000000000001</v>
          </cell>
        </row>
        <row r="2049">
          <cell r="B2049" t="str">
            <v>С111-2011-7Н</v>
          </cell>
          <cell r="C2049" t="str">
            <v>Клейова шпаклювальна сумiш Baumit
ProContact-1-1.5мм</v>
          </cell>
          <cell r="D2049" t="str">
            <v>кг</v>
          </cell>
          <cell r="E2049">
            <v>0.26</v>
          </cell>
          <cell r="F2049">
            <v>15.37</v>
          </cell>
          <cell r="G2049">
            <v>4</v>
          </cell>
        </row>
        <row r="2050">
          <cell r="B2050" t="str">
            <v>С111-1784-1Н</v>
          </cell>
          <cell r="C2050" t="str">
            <v>Склосітка Baumit StarTex</v>
          </cell>
          <cell r="D2050" t="str">
            <v>м2</v>
          </cell>
          <cell r="E2050">
            <v>0.23</v>
          </cell>
          <cell r="F2050">
            <v>50.6</v>
          </cell>
          <cell r="G2050">
            <v>11.64</v>
          </cell>
        </row>
        <row r="2051">
          <cell r="B2051" t="str">
            <v>С111-2011-7Н</v>
          </cell>
          <cell r="C2051" t="str">
            <v>Клейова шпаклювальна сумiш Baumit
ProContact-2.5-3мм</v>
          </cell>
          <cell r="D2051" t="str">
            <v>кг</v>
          </cell>
          <cell r="E2051">
            <v>0.54</v>
          </cell>
          <cell r="F2051">
            <v>15.37</v>
          </cell>
          <cell r="G2051">
            <v>8.3000000000000007</v>
          </cell>
        </row>
        <row r="2052">
          <cell r="B2052" t="str">
            <v>С111-1624-2</v>
          </cell>
          <cell r="C2052" t="str">
            <v>Грунтувальна суміш Baumit UniPrimer</v>
          </cell>
          <cell r="D2052" t="str">
            <v>л</v>
          </cell>
          <cell r="E2052">
            <v>3.4000000000000002E-2</v>
          </cell>
          <cell r="F2052">
            <v>58.93</v>
          </cell>
          <cell r="G2052">
            <v>2</v>
          </cell>
        </row>
        <row r="2053">
          <cell r="B2053" t="str">
            <v>С1633-61-Н</v>
          </cell>
          <cell r="C2053" t="str">
            <v>Фарба Baumit SilikonColor</v>
          </cell>
          <cell r="D2053" t="str">
            <v>кг</v>
          </cell>
          <cell r="E2053">
            <v>0.1004</v>
          </cell>
          <cell r="F2053">
            <v>135.53</v>
          </cell>
          <cell r="G2053">
            <v>13.61</v>
          </cell>
        </row>
        <row r="2054">
          <cell r="B2054" t="str">
            <v>РН8-44-1</v>
          </cell>
          <cell r="C2054" t="str">
            <v>Улаштування примикань висотою 400 мм
до цегляних стiн i парапетiв з рулонних
покрiвельних матерiалiв</v>
          </cell>
          <cell r="D2054" t="str">
            <v>100 м</v>
          </cell>
          <cell r="E2054">
            <v>0.14599999999999999</v>
          </cell>
          <cell r="F2054">
            <v>7518.91</v>
          </cell>
          <cell r="G2054">
            <v>1097.76</v>
          </cell>
        </row>
        <row r="2055">
          <cell r="B2055" t="str">
            <v>С111-857-1</v>
          </cell>
          <cell r="C2055" t="str">
            <v>Покрівельна ПВХ мембрана Баудер
ТЕРМОФОЛ U15</v>
          </cell>
          <cell r="D2055" t="str">
            <v>м2</v>
          </cell>
          <cell r="E2055">
            <v>20.440000000000001</v>
          </cell>
          <cell r="F2055">
            <v>369.72</v>
          </cell>
          <cell r="G2055">
            <v>7557.08</v>
          </cell>
        </row>
        <row r="2056">
          <cell r="B2056" t="str">
            <v>РН8-18-3к=1,5</v>
          </cell>
          <cell r="C2056" t="str">
            <v>На кожні 100 мм зміни висоти примикань
додавати або виключати при ремонті
примикань до цегляних стін і парапетів з
рулонних покрівельних матеріалів
(виключати до Н=250)</v>
          </cell>
          <cell r="D2056" t="str">
            <v>100 м</v>
          </cell>
          <cell r="E2056">
            <v>-0.14599999999999999</v>
          </cell>
          <cell r="F2056">
            <v>490.15</v>
          </cell>
          <cell r="G2056">
            <v>-71.56</v>
          </cell>
        </row>
        <row r="2057">
          <cell r="B2057" t="str">
            <v>С111-857-1</v>
          </cell>
          <cell r="C2057" t="str">
            <v>Покрівельна ПВХ мембрана Баудер
ТЕРМОФОЛ U15</v>
          </cell>
          <cell r="D2057" t="str">
            <v>м2</v>
          </cell>
          <cell r="E2057">
            <v>-4.8179999999999996</v>
          </cell>
          <cell r="F2057">
            <v>369.72</v>
          </cell>
          <cell r="G2057">
            <v>-1781.31</v>
          </cell>
        </row>
        <row r="2058">
          <cell r="B2058" t="str">
            <v>С114-4-У-1</v>
          </cell>
          <cell r="C2058" t="str">
            <v>Плити "TERMOLIFE" тип "ТЛ КРОВЛЯ Н"
товщ. 100мм</v>
          </cell>
          <cell r="D2058" t="str">
            <v>м3</v>
          </cell>
          <cell r="E2058">
            <v>7.0000000000000021E-2</v>
          </cell>
          <cell r="F2058">
            <v>2216.4299999999998</v>
          </cell>
          <cell r="G2058">
            <v>155.15</v>
          </cell>
        </row>
        <row r="2059">
          <cell r="B2059" t="str">
            <v>С111-150-1</v>
          </cell>
          <cell r="C2059" t="str">
            <v>Дюбель 8х100 мм</v>
          </cell>
          <cell r="D2059" t="str">
            <v>100шт</v>
          </cell>
          <cell r="E2059">
            <v>0.74</v>
          </cell>
          <cell r="F2059">
            <v>202.71</v>
          </cell>
          <cell r="G2059">
            <v>150.01</v>
          </cell>
        </row>
        <row r="2060">
          <cell r="B2060" t="str">
            <v>С111-1797-1Н</v>
          </cell>
          <cell r="C2060" t="str">
            <v>Лист ОЦ РЕ 25мк, товщ.0,5мм ф.Blachy
Pruszynski</v>
          </cell>
          <cell r="D2060" t="str">
            <v>м2</v>
          </cell>
          <cell r="E2060">
            <v>4.38</v>
          </cell>
          <cell r="F2060">
            <v>292.70999999999998</v>
          </cell>
          <cell r="G2060">
            <v>1282.07</v>
          </cell>
        </row>
        <row r="2061">
          <cell r="B2061" t="str">
            <v>РН8-44-1</v>
          </cell>
          <cell r="C2061" t="str">
            <v>Улаштування примикань висотою 400 мм
до цегляних стiн i парапетiв з рулонних
покрiвельних матерiалiв</v>
          </cell>
          <cell r="D2061" t="str">
            <v>100 м</v>
          </cell>
          <cell r="E2061">
            <v>0.72499999999999998</v>
          </cell>
          <cell r="F2061">
            <v>7518.91</v>
          </cell>
          <cell r="G2061">
            <v>5451.21</v>
          </cell>
        </row>
        <row r="2062">
          <cell r="B2062" t="str">
            <v>С111-857-1</v>
          </cell>
          <cell r="C2062" t="str">
            <v>Покрівельна ПВХ мембрана Баудер
ТЕРМОФОЛ U15</v>
          </cell>
          <cell r="D2062" t="str">
            <v>м2</v>
          </cell>
          <cell r="E2062">
            <v>101.5</v>
          </cell>
          <cell r="F2062">
            <v>369.72</v>
          </cell>
          <cell r="G2062">
            <v>37526.58</v>
          </cell>
        </row>
        <row r="2063">
          <cell r="B2063" t="str">
            <v>РН8-18-3к=1,5</v>
          </cell>
          <cell r="C2063" t="str">
            <v>На кожні 100 мм зміни висоти примикань
додавати або виключати при ремонті
примикань до цегляних стін і парапетів з
рулонних покрівельних матеріалів
(виключати до Н=250)</v>
          </cell>
          <cell r="D2063" t="str">
            <v>100 м</v>
          </cell>
          <cell r="E2063">
            <v>-0.72499999999999998</v>
          </cell>
          <cell r="F2063">
            <v>490.15</v>
          </cell>
          <cell r="G2063">
            <v>-355.36</v>
          </cell>
        </row>
        <row r="2064">
          <cell r="B2064" t="str">
            <v>С111-857-1</v>
          </cell>
          <cell r="C2064" t="str">
            <v>Покрівельна ПВХ мембрана Баудер
ТЕРМОФОЛ U15</v>
          </cell>
          <cell r="D2064" t="str">
            <v>м2</v>
          </cell>
          <cell r="E2064">
            <v>-23.925000000000001</v>
          </cell>
          <cell r="F2064">
            <v>369.72</v>
          </cell>
          <cell r="G2064">
            <v>-8845.5499999999993</v>
          </cell>
        </row>
        <row r="2065">
          <cell r="B2065" t="str">
            <v>С114-4-У-1</v>
          </cell>
          <cell r="C2065" t="str">
            <v>Плити "TERMOLIFE" тип "ТЛ КРОВЛЯ Н"
товщ. 100мм</v>
          </cell>
          <cell r="D2065" t="str">
            <v>м3</v>
          </cell>
          <cell r="E2065">
            <v>0.36</v>
          </cell>
          <cell r="F2065">
            <v>2216.4299999999998</v>
          </cell>
          <cell r="G2065">
            <v>797.91</v>
          </cell>
        </row>
        <row r="2066">
          <cell r="B2066" t="str">
            <v>С111-1797-1Н</v>
          </cell>
          <cell r="C2066" t="str">
            <v>Лист ОЦ РЕ 25мк, товщ.0,5мм ф.Blachy
Pruszynski</v>
          </cell>
          <cell r="D2066" t="str">
            <v>м2</v>
          </cell>
          <cell r="E2066">
            <v>21.75</v>
          </cell>
          <cell r="F2066">
            <v>292.70999999999998</v>
          </cell>
          <cell r="G2066">
            <v>6366.44</v>
          </cell>
        </row>
        <row r="2067">
          <cell r="B2067" t="str">
            <v>С1545-42-5Н</v>
          </cell>
          <cell r="C2067" t="str">
            <v>Саморіз по металу 5,5х50мм</v>
          </cell>
          <cell r="D2067" t="str">
            <v>100шт</v>
          </cell>
          <cell r="E2067">
            <v>3.64</v>
          </cell>
          <cell r="F2067">
            <v>119.81</v>
          </cell>
          <cell r="G2067">
            <v>436.11</v>
          </cell>
        </row>
        <row r="2068">
          <cell r="B2068" t="str">
            <v>Е12-15-1</v>
          </cell>
          <cell r="C2068" t="str">
            <v>Улаштування дрiбних покриттiв
[брандмауери, парапети, звiси i т.п.] iз
листової оцинкованої сталi</v>
          </cell>
          <cell r="D2068" t="str">
            <v>100м2</v>
          </cell>
          <cell r="E2068">
            <v>3.9000000000000003E-3</v>
          </cell>
          <cell r="F2068">
            <v>9130</v>
          </cell>
          <cell r="G2068">
            <v>35.61</v>
          </cell>
        </row>
        <row r="2069">
          <cell r="B2069" t="str">
            <v>С111-1797-1Н</v>
          </cell>
          <cell r="C2069" t="str">
            <v>Лист ОЦ РЕ 25мк, товщ.0,5мм ф.Blachy
Pruszynski</v>
          </cell>
          <cell r="D2069" t="str">
            <v>м2</v>
          </cell>
          <cell r="E2069">
            <v>0.24</v>
          </cell>
          <cell r="F2069">
            <v>292.70999999999998</v>
          </cell>
          <cell r="G2069">
            <v>70.25</v>
          </cell>
        </row>
        <row r="2070">
          <cell r="B2070" t="str">
            <v>С111-1797-1Н</v>
          </cell>
          <cell r="C2070" t="str">
            <v>Лист ОЦ  0,5х300 ф.Blachy Pruszynski</v>
          </cell>
          <cell r="D2070" t="str">
            <v>м2</v>
          </cell>
          <cell r="E2070">
            <v>0.15</v>
          </cell>
          <cell r="F2070">
            <v>284.27999999999997</v>
          </cell>
          <cell r="G2070">
            <v>42.64</v>
          </cell>
        </row>
        <row r="2071">
          <cell r="B2071" t="str">
            <v>С1545-42-4Н</v>
          </cell>
          <cell r="C2071" t="str">
            <v>Саморіз по металу 5,5х25мм</v>
          </cell>
          <cell r="D2071" t="str">
            <v>100шт</v>
          </cell>
          <cell r="E2071">
            <v>0.04</v>
          </cell>
          <cell r="F2071">
            <v>123.75</v>
          </cell>
          <cell r="G2071">
            <v>4.95</v>
          </cell>
        </row>
        <row r="2072">
          <cell r="B2072" t="str">
            <v>РН8-44-1</v>
          </cell>
          <cell r="C2072" t="str">
            <v>Улаштування примикань висотою 400 мм
до цегляних стiн i парапетiв з рулонних
покрiвельних матерiалiв</v>
          </cell>
          <cell r="D2072" t="str">
            <v>100 м</v>
          </cell>
          <cell r="E2072">
            <v>0.13500000000000001</v>
          </cell>
          <cell r="F2072">
            <v>7518.91</v>
          </cell>
          <cell r="G2072">
            <v>1015.05</v>
          </cell>
        </row>
        <row r="2073">
          <cell r="B2073" t="str">
            <v>С111-857-1</v>
          </cell>
          <cell r="C2073" t="str">
            <v>Покрівельна ПВХ мембрана Баудер
ТЕРМОФОЛ U15</v>
          </cell>
          <cell r="D2073" t="str">
            <v>м2</v>
          </cell>
          <cell r="E2073">
            <v>18.899999999999999</v>
          </cell>
          <cell r="F2073">
            <v>369.72</v>
          </cell>
          <cell r="G2073">
            <v>6987.71</v>
          </cell>
        </row>
        <row r="2074">
          <cell r="B2074" t="str">
            <v>С114-4-У-1</v>
          </cell>
          <cell r="C2074" t="str">
            <v>Плити "TERMOLIFE" тип "ТЛ КРОВЛЯ Н"
товщ. 100мм</v>
          </cell>
          <cell r="D2074" t="str">
            <v>м3</v>
          </cell>
          <cell r="E2074">
            <v>7.0000000000000021E-2</v>
          </cell>
          <cell r="F2074">
            <v>2216.4299999999998</v>
          </cell>
          <cell r="G2074">
            <v>155.15</v>
          </cell>
        </row>
        <row r="2075">
          <cell r="B2075" t="str">
            <v>С111-1797-1Н</v>
          </cell>
          <cell r="C2075" t="str">
            <v>Лист ОЦ РЕ 25мк, товщ.0,5мм ф.Blachy
Pruszynski</v>
          </cell>
          <cell r="D2075" t="str">
            <v>м2</v>
          </cell>
          <cell r="E2075">
            <v>6.75</v>
          </cell>
          <cell r="F2075">
            <v>292.70999999999998</v>
          </cell>
          <cell r="G2075">
            <v>1975.79</v>
          </cell>
        </row>
        <row r="2076">
          <cell r="B2076" t="str">
            <v>Е12-7-1</v>
          </cell>
          <cell r="C2076" t="str">
            <v>Улаштування примикань рулонних i
мастичних покрiвель до стiн i парапетiв
висотою до 600 мм без фартухiв</v>
          </cell>
          <cell r="D2076" t="str">
            <v>100м</v>
          </cell>
          <cell r="E2076">
            <v>0.01</v>
          </cell>
          <cell r="F2076">
            <v>2704.1</v>
          </cell>
          <cell r="G2076">
            <v>27.04</v>
          </cell>
        </row>
        <row r="2077">
          <cell r="B2077" t="str">
            <v>С111-857-1</v>
          </cell>
          <cell r="C2077" t="str">
            <v>Покрівельна ПВХ мембрана Баудер
ТЕРМОФОЛ U15</v>
          </cell>
          <cell r="D2077" t="str">
            <v>м2</v>
          </cell>
          <cell r="E2077">
            <v>2.52</v>
          </cell>
          <cell r="F2077">
            <v>369.72</v>
          </cell>
          <cell r="G2077">
            <v>931.69</v>
          </cell>
        </row>
        <row r="2078">
          <cell r="B2078" t="str">
            <v>С114-4-У-1</v>
          </cell>
          <cell r="C2078" t="str">
            <v>Плити "TERMOLIFE" тип "ТЛ КРОВЛЯ Н"
товщ. 100мм</v>
          </cell>
          <cell r="D2078" t="str">
            <v>м3</v>
          </cell>
          <cell r="E2078">
            <v>0.01</v>
          </cell>
          <cell r="F2078">
            <v>2216.4299999999998</v>
          </cell>
          <cell r="G2078">
            <v>22.16</v>
          </cell>
        </row>
        <row r="2079">
          <cell r="B2079" t="str">
            <v>ЕН8-20-1</v>
          </cell>
          <cell r="C2079" t="str">
            <v>Мурування стiн iз легкобетонних каменiв
без облицювання при висотi поверху до 4 м</v>
          </cell>
          <cell r="D2079" t="str">
            <v>1 м3</v>
          </cell>
          <cell r="E2079">
            <v>0.5</v>
          </cell>
          <cell r="F2079">
            <v>416.85</v>
          </cell>
          <cell r="G2079">
            <v>208.43</v>
          </cell>
        </row>
        <row r="2080">
          <cell r="B2080" t="str">
            <v>С1427-11804</v>
          </cell>
          <cell r="C2080" t="str">
            <v>Блоки газобетонні</v>
          </cell>
          <cell r="D2080" t="str">
            <v>м3</v>
          </cell>
          <cell r="E2080">
            <v>0.46</v>
          </cell>
          <cell r="F2080">
            <v>1319.39</v>
          </cell>
          <cell r="G2080">
            <v>606.91999999999996</v>
          </cell>
        </row>
        <row r="2081">
          <cell r="B2081" t="str">
            <v>С111-327-Н</v>
          </cell>
          <cell r="C2081" t="str">
            <v>Клейова суміш DK TBM</v>
          </cell>
          <cell r="D2081" t="str">
            <v>кг</v>
          </cell>
          <cell r="E2081">
            <v>10</v>
          </cell>
          <cell r="F2081">
            <v>4.96</v>
          </cell>
          <cell r="G2081">
            <v>49.6</v>
          </cell>
        </row>
        <row r="2082">
          <cell r="B2082" t="str">
            <v>ЕН15-78-1</v>
          </cell>
          <cell r="C2082" t="str">
            <v>Утеплення фасадів мінеральними
плитами товщиною 100 мм з
опорядженням декоротивним розчином за
технологією "CEREZIT". Стіни гладкі</v>
          </cell>
          <cell r="D2082" t="str">
            <v>100 м2</v>
          </cell>
          <cell r="E2082">
            <v>2E-3</v>
          </cell>
          <cell r="F2082">
            <v>42684.93</v>
          </cell>
          <cell r="G2082">
            <v>85.37</v>
          </cell>
        </row>
        <row r="2083">
          <cell r="B2083" t="str">
            <v>С111-1624-2</v>
          </cell>
          <cell r="C2083" t="str">
            <v>Глибокопроникна грунтувальна суміш
Baumin Grund</v>
          </cell>
          <cell r="D2083" t="str">
            <v>л</v>
          </cell>
          <cell r="E2083">
            <v>0.04</v>
          </cell>
          <cell r="F2083">
            <v>36.049999999999997</v>
          </cell>
          <cell r="G2083">
            <v>1.44</v>
          </cell>
        </row>
        <row r="2084">
          <cell r="B2084" t="str">
            <v>С111-2011-7Н</v>
          </cell>
          <cell r="C2084" t="str">
            <v>Клейова сумiш Baumit NivoFix</v>
          </cell>
          <cell r="D2084" t="str">
            <v>кг</v>
          </cell>
          <cell r="E2084">
            <v>0.8</v>
          </cell>
          <cell r="F2084">
            <v>9.57</v>
          </cell>
          <cell r="G2084">
            <v>7.66</v>
          </cell>
        </row>
        <row r="2085">
          <cell r="B2085" t="str">
            <v>С114-4-У</v>
          </cell>
          <cell r="C2085" t="str">
            <v>Мiнераловатни плити TERMOLIFE TЛ ЕКО
Фасад 50мм</v>
          </cell>
          <cell r="D2085" t="str">
            <v>м3</v>
          </cell>
          <cell r="E2085">
            <v>1.0700000000000001E-2</v>
          </cell>
          <cell r="F2085">
            <v>2880.52</v>
          </cell>
          <cell r="G2085">
            <v>30.82</v>
          </cell>
        </row>
        <row r="2086">
          <cell r="B2086" t="str">
            <v>С111-136-3Н</v>
          </cell>
          <cell r="C2086" t="str">
            <v>Дюбелі фасадні LMX-10120 ф.Baumit</v>
          </cell>
          <cell r="D2086" t="str">
            <v>шт</v>
          </cell>
          <cell r="E2086">
            <v>2</v>
          </cell>
          <cell r="F2086">
            <v>3.97</v>
          </cell>
          <cell r="G2086">
            <v>7.94</v>
          </cell>
        </row>
        <row r="2087">
          <cell r="B2087" t="str">
            <v>С111-2011-7Н</v>
          </cell>
          <cell r="C2087" t="str">
            <v>Клейова шпаклювальна сумiш Baumit
ProContact-1-1.5мм</v>
          </cell>
          <cell r="D2087" t="str">
            <v>кг</v>
          </cell>
          <cell r="E2087">
            <v>0.8</v>
          </cell>
          <cell r="F2087">
            <v>15.37</v>
          </cell>
          <cell r="G2087">
            <v>12.3</v>
          </cell>
        </row>
        <row r="2088">
          <cell r="B2088" t="str">
            <v>С111-1784-1Н</v>
          </cell>
          <cell r="C2088" t="str">
            <v>Склосітка Baumit StarTex</v>
          </cell>
          <cell r="D2088" t="str">
            <v>м2</v>
          </cell>
          <cell r="E2088">
            <v>0.23</v>
          </cell>
          <cell r="F2088">
            <v>50.6</v>
          </cell>
          <cell r="G2088">
            <v>11.64</v>
          </cell>
        </row>
        <row r="2089">
          <cell r="B2089" t="str">
            <v>С111-2011-7Н</v>
          </cell>
          <cell r="C2089" t="str">
            <v>Клейова шпаклювальна сумiш Baumit
ProContact-2.5-3мм</v>
          </cell>
          <cell r="D2089" t="str">
            <v>кг</v>
          </cell>
          <cell r="E2089">
            <v>0.8</v>
          </cell>
          <cell r="F2089">
            <v>15.37</v>
          </cell>
          <cell r="G2089">
            <v>12.3</v>
          </cell>
        </row>
        <row r="2090">
          <cell r="B2090" t="str">
            <v>С111-1624-2</v>
          </cell>
          <cell r="C2090" t="str">
            <v>Грунтувальна суміш Baumit UniPrimer</v>
          </cell>
          <cell r="D2090" t="str">
            <v>л</v>
          </cell>
          <cell r="E2090">
            <v>3.4000000000000002E-2</v>
          </cell>
          <cell r="F2090">
            <v>58.93</v>
          </cell>
          <cell r="G2090">
            <v>2</v>
          </cell>
        </row>
        <row r="2091">
          <cell r="B2091" t="str">
            <v>С111-2012-3Н</v>
          </cell>
          <cell r="C2091" t="str">
            <v>Штукатурка Baumit Nanopor Top (фактура
"баранец" 1,5мм)</v>
          </cell>
          <cell r="D2091" t="str">
            <v>кг</v>
          </cell>
          <cell r="E2091">
            <v>0.54</v>
          </cell>
          <cell r="F2091">
            <v>207.09</v>
          </cell>
          <cell r="G2091">
            <v>111.83</v>
          </cell>
        </row>
        <row r="2092">
          <cell r="B2092" t="str">
            <v>ЕН15-158-3</v>
          </cell>
          <cell r="C2092" t="str">
            <v>Фарбування фасадiв виключати</v>
          </cell>
          <cell r="D2092" t="str">
            <v>100м2</v>
          </cell>
          <cell r="E2092">
            <v>-2E-3</v>
          </cell>
          <cell r="F2092">
            <v>716.5</v>
          </cell>
          <cell r="G2092">
            <v>-1.43</v>
          </cell>
        </row>
        <row r="2093">
          <cell r="B2093" t="str">
            <v>Е9-25-1</v>
          </cell>
          <cell r="C2093" t="str">
            <v>Монтаж прогонiв iз кроком ферм до 12 м
при висотi будiвлi до 25 м</v>
          </cell>
          <cell r="D2093" t="str">
            <v>т</v>
          </cell>
          <cell r="E2093">
            <v>6.3109999999999999E-2</v>
          </cell>
          <cell r="F2093">
            <v>1630.95</v>
          </cell>
          <cell r="G2093">
            <v>102.93</v>
          </cell>
        </row>
        <row r="2094">
          <cell r="B2094" t="str">
            <v>С121-782</v>
          </cell>
          <cell r="C2094" t="str">
            <v>Металевi конструкцiї (швелер гнутий з
листовоі сталі товщ.4мм -3000х670х4 1шт.)</v>
          </cell>
          <cell r="D2094" t="str">
            <v>т</v>
          </cell>
          <cell r="E2094">
            <v>6.3109999999999999E-2</v>
          </cell>
          <cell r="F2094">
            <v>38537.33</v>
          </cell>
          <cell r="G2094">
            <v>2432.09</v>
          </cell>
        </row>
        <row r="2095">
          <cell r="B2095" t="str">
            <v>Е34-57-1</v>
          </cell>
          <cell r="C2095" t="str">
            <v>Заповнення каркасiв стiн
мiнераловатними плитами при товщинi
заповнення 50 мм</v>
          </cell>
          <cell r="D2095" t="str">
            <v>100м2</v>
          </cell>
          <cell r="E2095">
            <v>0.02</v>
          </cell>
          <cell r="F2095">
            <v>2401.86</v>
          </cell>
          <cell r="G2095">
            <v>48.04</v>
          </cell>
        </row>
        <row r="2096">
          <cell r="B2096" t="str">
            <v>С114-4-У-2</v>
          </cell>
          <cell r="C2096" t="str">
            <v>Плити "TERMOLIFE" тип "ТЛ КРОВЛЯ В"
товщ. 50мм</v>
          </cell>
          <cell r="D2096" t="str">
            <v>м3</v>
          </cell>
          <cell r="E2096">
            <v>0.1</v>
          </cell>
          <cell r="F2096">
            <v>1770.54</v>
          </cell>
          <cell r="G2096">
            <v>177.05</v>
          </cell>
        </row>
        <row r="2097">
          <cell r="B2097" t="str">
            <v>РН8-45-1</v>
          </cell>
          <cell r="C2097" t="str">
            <v>Улаштування примикань висотою 400 мм
з рулонних покрiвельних матерiалiв до
цегляних стiн i парапетiв iз
застосуванням газопламеневих пальникiв,
з улаштуванням фартуха з оцинкованої
сталi</v>
          </cell>
          <cell r="D2097" t="str">
            <v>100 м</v>
          </cell>
          <cell r="E2097">
            <v>5.0000000000000001E-3</v>
          </cell>
          <cell r="F2097">
            <v>8021.02</v>
          </cell>
          <cell r="G2097">
            <v>40.11</v>
          </cell>
        </row>
        <row r="2098">
          <cell r="B2098" t="str">
            <v>РН8-45-5к=1,5</v>
          </cell>
          <cell r="C2098" t="str">
            <v>Додавати або виключати на кожнi 100 мм
змiни висоти примикання з рулонних
покрiвельних матерiалiв до цегляних стiн i
парапетiв [при улаштуванні примикань]
(виключати до Н=250)</v>
          </cell>
          <cell r="D2098" t="str">
            <v>100 м</v>
          </cell>
          <cell r="E2098">
            <v>-5.0000000000000001E-3</v>
          </cell>
          <cell r="F2098">
            <v>258.07</v>
          </cell>
          <cell r="G2098">
            <v>-1.29</v>
          </cell>
        </row>
        <row r="2099">
          <cell r="B2099" t="str">
            <v>С111-72-2</v>
          </cell>
          <cell r="C2099" t="str">
            <v>Праймер бітумний готовий до застосування
"Технониколь-1"</v>
          </cell>
          <cell r="D2099" t="str">
            <v>т</v>
          </cell>
          <cell r="E2099">
            <v>1.55E-4</v>
          </cell>
          <cell r="F2099">
            <v>78784.53</v>
          </cell>
          <cell r="G2099">
            <v>12.21</v>
          </cell>
        </row>
        <row r="2100">
          <cell r="B2100" t="str">
            <v>С111-859</v>
          </cell>
          <cell r="C2100" t="str">
            <v>Рубероид наплавляемый " Біполь" ЕКП 4,0</v>
          </cell>
          <cell r="D2100" t="str">
            <v>м2</v>
          </cell>
          <cell r="E2100">
            <v>0.21250000000000002</v>
          </cell>
          <cell r="F2100">
            <v>98.38</v>
          </cell>
          <cell r="G2100">
            <v>20.91</v>
          </cell>
        </row>
        <row r="2101">
          <cell r="B2101" t="str">
            <v>С111-857</v>
          </cell>
          <cell r="C2101" t="str">
            <v>Руберойд пiдкладний Біполь ЕПП 3,0</v>
          </cell>
          <cell r="D2101" t="str">
            <v>м2</v>
          </cell>
          <cell r="E2101">
            <v>0.21250000000000002</v>
          </cell>
          <cell r="F2101">
            <v>91.93</v>
          </cell>
          <cell r="G2101">
            <v>19.54</v>
          </cell>
        </row>
        <row r="2102">
          <cell r="B2102" t="str">
            <v>Е12-1-7</v>
          </cell>
          <cell r="C2102" t="str">
            <v>Улаштування додаткового шару
покрiвельних рулонних наплавлюваних
матерiалiв</v>
          </cell>
          <cell r="D2102" t="str">
            <v>100м2</v>
          </cell>
          <cell r="E2102">
            <v>1.5E-3</v>
          </cell>
          <cell r="F2102">
            <v>1335.2</v>
          </cell>
          <cell r="G2102">
            <v>2</v>
          </cell>
        </row>
        <row r="2103">
          <cell r="B2103" t="str">
            <v>С111-857</v>
          </cell>
          <cell r="C2103" t="str">
            <v>Руберойд пiдкладний Біполь ЕПП 3,0</v>
          </cell>
          <cell r="D2103" t="str">
            <v>м2</v>
          </cell>
          <cell r="E2103">
            <v>0.57500000000000007</v>
          </cell>
          <cell r="F2103">
            <v>91.93</v>
          </cell>
          <cell r="G2103">
            <v>52.86</v>
          </cell>
        </row>
        <row r="2104">
          <cell r="B2104" t="str">
            <v>С114-4-У-1</v>
          </cell>
          <cell r="C2104" t="str">
            <v>Плити "TERMOLIFE" тип "ТЛ КРОВЛЯ Н"
товщ. 100мм</v>
          </cell>
          <cell r="D2104" t="str">
            <v>м3</v>
          </cell>
          <cell r="E2104">
            <v>2.5000000000000001E-3</v>
          </cell>
          <cell r="F2104">
            <v>2216.4299999999998</v>
          </cell>
          <cell r="G2104">
            <v>5.54</v>
          </cell>
        </row>
        <row r="2105">
          <cell r="B2105" t="str">
            <v>С111-1797-1Н</v>
          </cell>
          <cell r="C2105" t="str">
            <v>Лист ОЦ РЕ 25мк, товщ.0,5мм ф.Blachy
Pruszynski</v>
          </cell>
          <cell r="D2105" t="str">
            <v>м2</v>
          </cell>
          <cell r="E2105">
            <v>0.15</v>
          </cell>
          <cell r="F2105">
            <v>292.70999999999998</v>
          </cell>
          <cell r="G2105">
            <v>43.91</v>
          </cell>
        </row>
        <row r="2106">
          <cell r="B2106" t="str">
            <v>С111-150-1</v>
          </cell>
          <cell r="C2106" t="str">
            <v>Дюбель 8х100 мм</v>
          </cell>
          <cell r="D2106" t="str">
            <v>100шт</v>
          </cell>
          <cell r="E2106">
            <v>0.05</v>
          </cell>
          <cell r="F2106">
            <v>202.71</v>
          </cell>
          <cell r="G2106">
            <v>10.14</v>
          </cell>
        </row>
        <row r="2107">
          <cell r="B2107" t="str">
            <v>РН8-44-1</v>
          </cell>
          <cell r="C2107" t="str">
            <v>Улаштування примикань висотою 400 мм
до цегляних стiн i парапетiв з рулонних
покрiвельних матерiалiв</v>
          </cell>
          <cell r="D2107" t="str">
            <v>100 м</v>
          </cell>
          <cell r="E2107">
            <v>0.36499999999999999</v>
          </cell>
          <cell r="F2107">
            <v>7518.91</v>
          </cell>
          <cell r="G2107">
            <v>2744.4</v>
          </cell>
        </row>
        <row r="2108">
          <cell r="B2108" t="str">
            <v>С111-857-1</v>
          </cell>
          <cell r="C2108" t="str">
            <v>Покрівельна ПВХ мембрана Баудер
ТЕРМОФОЛ U15</v>
          </cell>
          <cell r="D2108" t="str">
            <v>м2</v>
          </cell>
          <cell r="E2108">
            <v>51.1</v>
          </cell>
          <cell r="F2108">
            <v>369.72</v>
          </cell>
          <cell r="G2108">
            <v>18892.689999999999</v>
          </cell>
        </row>
        <row r="2109">
          <cell r="B2109" t="str">
            <v>РН8-18-3к=1,5</v>
          </cell>
          <cell r="C2109" t="str">
            <v>На кожні 100 мм зміни висоти примикань
додавати або виключати при ремонті
примикань до цегляних стін і парапетів з
рулонних покрівельних матеріалів
(виключати до Н=250)</v>
          </cell>
          <cell r="D2109" t="str">
            <v>100 м</v>
          </cell>
          <cell r="E2109">
            <v>-0.36499999999999999</v>
          </cell>
          <cell r="F2109">
            <v>490.15</v>
          </cell>
          <cell r="G2109">
            <v>-178.9</v>
          </cell>
        </row>
        <row r="2110">
          <cell r="B2110" t="str">
            <v>С111-857-1</v>
          </cell>
          <cell r="C2110" t="str">
            <v>Покрівельна ПВХ мембрана Баудер
ТЕРМОФОЛ U15</v>
          </cell>
          <cell r="D2110" t="str">
            <v>м2</v>
          </cell>
          <cell r="E2110">
            <v>-12.045</v>
          </cell>
          <cell r="F2110">
            <v>369.72</v>
          </cell>
          <cell r="G2110">
            <v>-4453.28</v>
          </cell>
        </row>
        <row r="2111">
          <cell r="B2111" t="str">
            <v>С114-4-У-1</v>
          </cell>
          <cell r="C2111" t="str">
            <v>Плити "TERMOLIFE" тип "ТЛ КРОВЛЯ Н"
товщ. 100мм</v>
          </cell>
          <cell r="D2111" t="str">
            <v>м3</v>
          </cell>
          <cell r="E2111">
            <v>0.1825</v>
          </cell>
          <cell r="F2111">
            <v>2216.4299999999998</v>
          </cell>
          <cell r="G2111">
            <v>404.5</v>
          </cell>
        </row>
        <row r="2112">
          <cell r="B2112" t="str">
            <v>С112-285</v>
          </cell>
          <cell r="C2112" t="str">
            <v>Бруски обрiзнi хвойних порiд, довжина 2-6,5
м, товщина 40-60 мм, II сорт</v>
          </cell>
          <cell r="D2112" t="str">
            <v>м3</v>
          </cell>
          <cell r="E2112">
            <v>0.1825</v>
          </cell>
          <cell r="F2112">
            <v>6466.53</v>
          </cell>
          <cell r="G2112">
            <v>1180.1400000000001</v>
          </cell>
        </row>
        <row r="2113">
          <cell r="B2113" t="str">
            <v>С111-1797-1Н</v>
          </cell>
          <cell r="C2113" t="str">
            <v>Лист ОЦ РЕ 25мк, товщ.0,5мм ф.Blachy
Pruszynski</v>
          </cell>
          <cell r="D2113" t="str">
            <v>м2</v>
          </cell>
          <cell r="E2113">
            <v>10.95</v>
          </cell>
          <cell r="F2113">
            <v>292.70999999999998</v>
          </cell>
          <cell r="G2113">
            <v>3205.17</v>
          </cell>
        </row>
        <row r="2114">
          <cell r="B2114" t="str">
            <v>Е12-15-1</v>
          </cell>
          <cell r="C2114" t="str">
            <v>Улаштування дрiбних покриттiв
[брандмауери, парапети, звiси i т.п.] iз
листової оцинкованої сталi</v>
          </cell>
          <cell r="D2114" t="str">
            <v>100м2</v>
          </cell>
          <cell r="E2114">
            <v>7.3000000000000001E-3</v>
          </cell>
          <cell r="F2114">
            <v>9130</v>
          </cell>
          <cell r="G2114">
            <v>66.650000000000006</v>
          </cell>
        </row>
        <row r="2115">
          <cell r="B2115" t="str">
            <v>С111-1797-1Н</v>
          </cell>
          <cell r="C2115" t="str">
            <v>Лист ОЦ РЕ 25мк, 0,5х1030 ф.Blachy
Pruszynski</v>
          </cell>
          <cell r="D2115" t="str">
            <v>м2</v>
          </cell>
          <cell r="E2115">
            <v>0.75190000000000001</v>
          </cell>
          <cell r="F2115">
            <v>292.70999999999998</v>
          </cell>
          <cell r="G2115">
            <v>220.09</v>
          </cell>
        </row>
        <row r="2116">
          <cell r="B2116" t="str">
            <v>С111-1810</v>
          </cell>
          <cell r="C2116" t="str">
            <v>Сталь штабова 650х40х4</v>
          </cell>
          <cell r="D2116" t="str">
            <v>т</v>
          </cell>
          <cell r="E2116">
            <v>8.2000000000000009E-4</v>
          </cell>
          <cell r="F2116">
            <v>27153.49</v>
          </cell>
          <cell r="G2116">
            <v>22.27</v>
          </cell>
        </row>
        <row r="2117">
          <cell r="B2117" t="str">
            <v>С111-136-3-5Ц</v>
          </cell>
          <cell r="C2117" t="str">
            <v>Дюбель 6х40</v>
          </cell>
          <cell r="D2117" t="str">
            <v>шт</v>
          </cell>
          <cell r="E2117">
            <v>1</v>
          </cell>
          <cell r="F2117">
            <v>0.53</v>
          </cell>
          <cell r="G2117">
            <v>0.53</v>
          </cell>
        </row>
        <row r="2118">
          <cell r="B2118" t="str">
            <v>С1545-42-1-М</v>
          </cell>
          <cell r="C2118" t="str">
            <v>Дюбель 6х60</v>
          </cell>
          <cell r="D2118" t="str">
            <v>шт</v>
          </cell>
          <cell r="E2118">
            <v>3</v>
          </cell>
          <cell r="F2118">
            <v>0.65</v>
          </cell>
          <cell r="G2118">
            <v>1.9500000000000002</v>
          </cell>
        </row>
        <row r="2119">
          <cell r="B2119" t="str">
            <v>С111-1853-6</v>
          </cell>
          <cell r="C2119" t="str">
            <v>Цвяхи покрівельні 3,5х40 мм</v>
          </cell>
          <cell r="D2119" t="str">
            <v>т</v>
          </cell>
          <cell r="E2119" t="str">
            <v>0,
00001335</v>
          </cell>
          <cell r="F2119">
            <v>44492.07</v>
          </cell>
          <cell r="G2119">
            <v>0.59</v>
          </cell>
        </row>
        <row r="2120">
          <cell r="B2120" t="str">
            <v>С111-1797-1Н</v>
          </cell>
          <cell r="C2120" t="str">
            <v>Лист ОЦ  0,5х430 ф.Blachy Pruszynski</v>
          </cell>
          <cell r="D2120" t="str">
            <v>м2</v>
          </cell>
          <cell r="E2120">
            <v>0.215</v>
          </cell>
          <cell r="F2120">
            <v>284.27999999999997</v>
          </cell>
          <cell r="G2120">
            <v>61.12</v>
          </cell>
        </row>
        <row r="2121">
          <cell r="B2121" t="str">
            <v>С113-2122</v>
          </cell>
          <cell r="C2121" t="str">
            <v>Болт М8х75 (з гайкою і шайбою)</v>
          </cell>
          <cell r="D2121" t="str">
            <v>шт</v>
          </cell>
          <cell r="E2121">
            <v>1</v>
          </cell>
          <cell r="F2121">
            <v>5.7</v>
          </cell>
          <cell r="G2121">
            <v>5.7</v>
          </cell>
        </row>
        <row r="2122">
          <cell r="B2122" t="str">
            <v>С1545-42-1Н</v>
          </cell>
          <cell r="C2122" t="str">
            <v>Саморіз по металу 5,5х32мм</v>
          </cell>
          <cell r="D2122" t="str">
            <v>100шт</v>
          </cell>
          <cell r="E2122">
            <v>0.03</v>
          </cell>
          <cell r="F2122">
            <v>155.41</v>
          </cell>
          <cell r="G2122">
            <v>4.66</v>
          </cell>
        </row>
        <row r="2123">
          <cell r="B2123" t="str">
            <v>ЕН15-171-3</v>
          </cell>
          <cell r="C2123" t="str">
            <v>Олiйне фарбування бiлилами з додаванням
кольору сталевих балок, труб дiаметром
понад 50 мм тощо за два рази</v>
          </cell>
          <cell r="D2123" t="str">
            <v>100м2</v>
          </cell>
          <cell r="E2123">
            <v>0.51600000000000001</v>
          </cell>
          <cell r="F2123">
            <v>4437.38</v>
          </cell>
          <cell r="G2123">
            <v>2289.69</v>
          </cell>
        </row>
        <row r="2124">
          <cell r="B2124" t="str">
            <v>С111-1673-1</v>
          </cell>
          <cell r="C2124" t="str">
            <v>Эмаль "ЗЕБРА" (3 в 1) антикорозійна</v>
          </cell>
          <cell r="D2124" t="str">
            <v>л</v>
          </cell>
          <cell r="E2124">
            <v>9.3420000000000005</v>
          </cell>
          <cell r="F2124">
            <v>182.96</v>
          </cell>
          <cell r="G2124">
            <v>1709.21</v>
          </cell>
        </row>
        <row r="2125">
          <cell r="B2125" t="str">
            <v>ЕН10-55-1</v>
          </cell>
          <cell r="C2125" t="str">
            <v>Вогнезахист дерев'яних конструкцiй ферм,
арок, балок, крокв, мауерлатiв</v>
          </cell>
          <cell r="D2125" t="str">
            <v>10м3</v>
          </cell>
          <cell r="E2125">
            <v>2.5000000000000001E-2</v>
          </cell>
          <cell r="F2125">
            <v>869.23</v>
          </cell>
          <cell r="G2125">
            <v>21.73</v>
          </cell>
        </row>
        <row r="2126">
          <cell r="B2126" t="str">
            <v>С1113-299</v>
          </cell>
          <cell r="C2126" t="str">
            <v>Порошок ДСА-1</v>
          </cell>
          <cell r="D2126" t="str">
            <v>кг</v>
          </cell>
          <cell r="E2126">
            <v>1.3950000000000001E-2</v>
          </cell>
          <cell r="F2126">
            <v>46.47</v>
          </cell>
          <cell r="G2126">
            <v>0.65</v>
          </cell>
        </row>
        <row r="2127">
          <cell r="B2127" t="str">
            <v>Е12-20-3</v>
          </cell>
          <cell r="C2127" t="str">
            <v>Улаштування покрівельної ПВХ мембрани
в один шар</v>
          </cell>
          <cell r="D2127" t="str">
            <v>100м2</v>
          </cell>
          <cell r="E2127">
            <v>0.18150000000000002</v>
          </cell>
          <cell r="F2127">
            <v>803.18</v>
          </cell>
          <cell r="G2127">
            <v>145.78</v>
          </cell>
        </row>
        <row r="2128">
          <cell r="B2128" t="str">
            <v>С111-857-1</v>
          </cell>
          <cell r="C2128" t="str">
            <v>Покрівельна ПВХ мембрана Баудер
ТЕРМОФОЛ U15</v>
          </cell>
          <cell r="D2128" t="str">
            <v>м2</v>
          </cell>
          <cell r="E2128">
            <v>19.965</v>
          </cell>
          <cell r="F2128">
            <v>369.72</v>
          </cell>
          <cell r="G2128">
            <v>7381.46</v>
          </cell>
        </row>
        <row r="2129">
          <cell r="B2129" t="str">
            <v>Е12-15-1</v>
          </cell>
          <cell r="C2129" t="str">
            <v>Улаштування дрiбних покриттiв
[брандмауери, парапети, звiси i т.п.] iз
листової оцинкованої сталi</v>
          </cell>
          <cell r="D2129" t="str">
            <v>100м2</v>
          </cell>
          <cell r="E2129">
            <v>0.83127000000000006</v>
          </cell>
          <cell r="F2129">
            <v>9130</v>
          </cell>
          <cell r="G2129">
            <v>7589.5</v>
          </cell>
        </row>
        <row r="2130">
          <cell r="B2130" t="str">
            <v>С111-1797-1Н</v>
          </cell>
          <cell r="C2130" t="str">
            <v>Лист ОЦ РЕ 25мк, 0,5х1100 ф.Blachy
Pruszynski</v>
          </cell>
          <cell r="D2130" t="str">
            <v>м2</v>
          </cell>
          <cell r="E2130">
            <v>39.93</v>
          </cell>
          <cell r="F2130">
            <v>287.06</v>
          </cell>
          <cell r="G2130">
            <v>11462.31</v>
          </cell>
        </row>
        <row r="2131">
          <cell r="B2131" t="str">
            <v>С111-1797-1Н</v>
          </cell>
          <cell r="C2131" t="str">
            <v>Лист ОЦ РЕ 25мк, 0,5х460 ф.Blachy
Pruszynski</v>
          </cell>
          <cell r="D2131" t="str">
            <v>м2</v>
          </cell>
          <cell r="E2131">
            <v>16.698</v>
          </cell>
          <cell r="F2131">
            <v>292.70999999999998</v>
          </cell>
          <cell r="G2131">
            <v>4887.67</v>
          </cell>
        </row>
        <row r="2132">
          <cell r="B2132" t="str">
            <v>С111-1797-1Н</v>
          </cell>
          <cell r="C2132" t="str">
            <v>Лист ОЦ  0,5х300 ф.Blachy Pruszynski</v>
          </cell>
          <cell r="D2132" t="str">
            <v>м2</v>
          </cell>
          <cell r="E2132">
            <v>10.89</v>
          </cell>
          <cell r="F2132">
            <v>284.27999999999997</v>
          </cell>
          <cell r="G2132">
            <v>3095.81</v>
          </cell>
        </row>
        <row r="2133">
          <cell r="B2133" t="str">
            <v>С111-1797-1Н</v>
          </cell>
          <cell r="C2133" t="str">
            <v>Лист ОЦ  0,5х430 ф.Blachy Pruszynski</v>
          </cell>
          <cell r="D2133" t="str">
            <v>м2</v>
          </cell>
          <cell r="E2133">
            <v>15.609</v>
          </cell>
          <cell r="F2133">
            <v>284.27999999999997</v>
          </cell>
          <cell r="G2133">
            <v>4437.33</v>
          </cell>
        </row>
        <row r="2134">
          <cell r="B2134" t="str">
            <v>Е12-22-5</v>
          </cell>
          <cell r="C2134" t="str">
            <v>Улаштування вирiвнюючих стяжок збiрних
iз плоских азбестоцементних листiв</v>
          </cell>
          <cell r="D2134" t="str">
            <v>100м2</v>
          </cell>
          <cell r="E2134">
            <v>6.8000000000000005E-2</v>
          </cell>
          <cell r="F2134">
            <v>2482.66</v>
          </cell>
          <cell r="G2134">
            <v>168.82</v>
          </cell>
        </row>
        <row r="2135">
          <cell r="B2135" t="str">
            <v>С111-39</v>
          </cell>
          <cell r="C2135" t="str">
            <v>Листи азбестоцементнi плоскi з гладкою
поверхнею непресованi, товщина 8 мм</v>
          </cell>
          <cell r="D2135" t="str">
            <v>м2</v>
          </cell>
          <cell r="E2135">
            <v>6.8</v>
          </cell>
          <cell r="F2135">
            <v>83.58</v>
          </cell>
          <cell r="G2135">
            <v>568.34</v>
          </cell>
        </row>
        <row r="2136">
          <cell r="B2136" t="str">
            <v>С111-1801-Н</v>
          </cell>
          <cell r="C2136" t="str">
            <v>Лист 1х1000 ОЦ ф. Blachy Pruszynski</v>
          </cell>
          <cell r="D2136" t="str">
            <v>м2</v>
          </cell>
          <cell r="E2136">
            <v>6</v>
          </cell>
          <cell r="F2136">
            <v>559.91</v>
          </cell>
          <cell r="G2136">
            <v>3359.46</v>
          </cell>
        </row>
        <row r="2137">
          <cell r="B2137" t="str">
            <v>С1545-42-4Н</v>
          </cell>
          <cell r="C2137" t="str">
            <v>Саморіз по металу 5,5х25мм</v>
          </cell>
          <cell r="D2137" t="str">
            <v>100шт</v>
          </cell>
          <cell r="E2137">
            <v>0.60000000000000009</v>
          </cell>
          <cell r="F2137">
            <v>123.75</v>
          </cell>
          <cell r="G2137">
            <v>74.25</v>
          </cell>
        </row>
        <row r="2138">
          <cell r="B2138" t="str">
            <v>Е12-20-3</v>
          </cell>
          <cell r="C2138" t="str">
            <v>Улаштування пароiзоляцiї прокладної в
один шар</v>
          </cell>
          <cell r="D2138" t="str">
            <v>100м2</v>
          </cell>
          <cell r="E2138">
            <v>6.8000000000000005E-2</v>
          </cell>
          <cell r="F2138">
            <v>1647.01</v>
          </cell>
          <cell r="G2138">
            <v>112</v>
          </cell>
        </row>
        <row r="2139">
          <cell r="B2139" t="str">
            <v>С111-857-1</v>
          </cell>
          <cell r="C2139" t="str">
            <v>Покрівельна ПВХ мембрана Баудер
ТЕРМОФОЛ U15</v>
          </cell>
          <cell r="D2139" t="str">
            <v>м2</v>
          </cell>
          <cell r="E2139">
            <v>7.48</v>
          </cell>
          <cell r="F2139">
            <v>369.72</v>
          </cell>
          <cell r="G2139">
            <v>2765.51</v>
          </cell>
        </row>
        <row r="2140">
          <cell r="B2140" t="str">
            <v>РН8-44-1</v>
          </cell>
          <cell r="C2140" t="str">
            <v>Улаштування примикань висотою 400 мм
до цегляних стiн i парапетiв з рулонних
покрiвельних матерiалiв</v>
          </cell>
          <cell r="D2140" t="str">
            <v>100 м</v>
          </cell>
          <cell r="E2140">
            <v>0.23</v>
          </cell>
          <cell r="F2140">
            <v>7518.91</v>
          </cell>
          <cell r="G2140">
            <v>1729.35</v>
          </cell>
        </row>
        <row r="2141">
          <cell r="B2141" t="str">
            <v>С111-857-1</v>
          </cell>
          <cell r="C2141" t="str">
            <v>Покрівельна ПВХ мембрана Баудер
ТЕРМОФОЛ U15</v>
          </cell>
          <cell r="D2141" t="str">
            <v>м2</v>
          </cell>
          <cell r="E2141">
            <v>32.200000000000003</v>
          </cell>
          <cell r="F2141">
            <v>369.72</v>
          </cell>
          <cell r="G2141">
            <v>11904.98</v>
          </cell>
        </row>
        <row r="2142">
          <cell r="B2142" t="str">
            <v>С114-4-У-1</v>
          </cell>
          <cell r="C2142" t="str">
            <v>Плити "TERMOLIFE" тип "ТЛ КРОВЛЯ Н"
товщ. 100мм</v>
          </cell>
          <cell r="D2142" t="str">
            <v>м3</v>
          </cell>
          <cell r="E2142">
            <v>0.1</v>
          </cell>
          <cell r="F2142">
            <v>2216.4299999999998</v>
          </cell>
          <cell r="G2142">
            <v>221.64</v>
          </cell>
        </row>
        <row r="2143">
          <cell r="B2143" t="str">
            <v>С111-1797-1Н</v>
          </cell>
          <cell r="C2143" t="str">
            <v>Лист ОЦ РЕ 25мк, товщ.0,5мм ф.Blachy
Pruszynski</v>
          </cell>
          <cell r="D2143" t="str">
            <v>м2</v>
          </cell>
          <cell r="E2143">
            <v>6.67</v>
          </cell>
          <cell r="F2143">
            <v>292.70999999999998</v>
          </cell>
          <cell r="G2143">
            <v>1952.38</v>
          </cell>
        </row>
        <row r="2144">
          <cell r="B2144" t="str">
            <v>Е46-40-1</v>
          </cell>
          <cell r="C2144" t="str">
            <v>Розбирання покриття покрiвель з
рулонних матерiалiв</v>
          </cell>
          <cell r="D2144" t="str">
            <v>100м2</v>
          </cell>
          <cell r="E2144">
            <v>3.72</v>
          </cell>
          <cell r="F2144">
            <v>1485.78</v>
          </cell>
          <cell r="G2144">
            <v>5527.1</v>
          </cell>
        </row>
        <row r="2145">
          <cell r="B2145" t="str">
            <v>РН19-1-2</v>
          </cell>
          <cell r="C2145" t="str">
            <v>Розбирання iзоляцiї з мiнеральної вати</v>
          </cell>
          <cell r="D2145" t="str">
            <v>м3</v>
          </cell>
          <cell r="E2145">
            <v>35</v>
          </cell>
          <cell r="F2145">
            <v>285.51</v>
          </cell>
          <cell r="G2145">
            <v>9992.85</v>
          </cell>
        </row>
        <row r="2146">
          <cell r="B2146" t="str">
            <v>РН7-2-8</v>
          </cell>
          <cell r="C2146" t="str">
            <v>Розбирання цементних покриттiв пiдлог</v>
          </cell>
          <cell r="D2146" t="str">
            <v>100м2</v>
          </cell>
          <cell r="E2146">
            <v>3.7</v>
          </cell>
          <cell r="F2146">
            <v>3801.75</v>
          </cell>
          <cell r="G2146">
            <v>14066.48</v>
          </cell>
        </row>
        <row r="2147">
          <cell r="B2147" t="str">
            <v>Е12-18-5</v>
          </cell>
          <cell r="C2147" t="str">
            <v>Утеплення покриттiв плитами з легких
[нiздрюватих] бетонiв або фiбролiту
насухо</v>
          </cell>
          <cell r="D2147" t="str">
            <v>100м2</v>
          </cell>
          <cell r="E2147">
            <v>3.5</v>
          </cell>
          <cell r="F2147">
            <v>4045.71</v>
          </cell>
          <cell r="G2147">
            <v>14159.99</v>
          </cell>
        </row>
        <row r="2148">
          <cell r="B2148" t="str">
            <v>Е12-18-3</v>
          </cell>
          <cell r="C2148" t="str">
            <v>Утеплення покриттiв плитами з
мiнеральної вати або перлiту на бiтумнiй
мастицi в один шар</v>
          </cell>
          <cell r="D2148" t="str">
            <v>100м2</v>
          </cell>
          <cell r="E2148">
            <v>3.5</v>
          </cell>
          <cell r="F2148">
            <v>6344.39</v>
          </cell>
          <cell r="G2148">
            <v>22205.37</v>
          </cell>
        </row>
        <row r="2149">
          <cell r="B2149" t="str">
            <v>С111-594</v>
          </cell>
          <cell r="C2149" t="str">
            <v>Мастика покрiвельна гаряча ТехноНИКОЛЬ
№41</v>
          </cell>
          <cell r="D2149" t="str">
            <v>т</v>
          </cell>
          <cell r="E2149">
            <v>0.70350000000000001</v>
          </cell>
          <cell r="F2149">
            <v>41790.57</v>
          </cell>
          <cell r="G2149">
            <v>29399.67</v>
          </cell>
        </row>
        <row r="2150">
          <cell r="B2150" t="str">
            <v>С114-4-У-1</v>
          </cell>
          <cell r="C2150" t="str">
            <v>Плити "TERMOLIFE" тип "ТЛ КРОВЛЯ Н"
товщ. 100мм</v>
          </cell>
          <cell r="D2150" t="str">
            <v>м3</v>
          </cell>
          <cell r="E2150">
            <v>72.099999999999994</v>
          </cell>
          <cell r="F2150">
            <v>2216.4299999999998</v>
          </cell>
          <cell r="G2150">
            <v>159804.6</v>
          </cell>
        </row>
        <row r="2151">
          <cell r="B2151" t="str">
            <v>Е9-47-1</v>
          </cell>
          <cell r="C2151" t="str">
            <v>Обшивка профiльованими листами</v>
          </cell>
          <cell r="D2151" t="str">
            <v>100м2</v>
          </cell>
          <cell r="E2151">
            <v>0.1</v>
          </cell>
          <cell r="F2151">
            <v>3444.39</v>
          </cell>
          <cell r="G2151">
            <v>344.44</v>
          </cell>
        </row>
        <row r="2152">
          <cell r="B2152" t="str">
            <v>С111-1807-2Н</v>
          </cell>
          <cell r="C2152" t="str">
            <v>Профільований лист Т 10 ф-ми "Blachy
Pruszynski"</v>
          </cell>
          <cell r="D2152" t="str">
            <v>м2</v>
          </cell>
          <cell r="E2152">
            <v>10</v>
          </cell>
          <cell r="F2152">
            <v>305.66000000000003</v>
          </cell>
          <cell r="G2152">
            <v>3056.6</v>
          </cell>
        </row>
        <row r="2153">
          <cell r="B2153" t="str">
            <v>С111-1477-1Н</v>
          </cell>
          <cell r="C2153" t="str">
            <v>Самонарізні шурупи з ущільновальною
шайбою ОД-48035Т+RAL 4,8х35</v>
          </cell>
          <cell r="D2153" t="str">
            <v>шт</v>
          </cell>
          <cell r="E2153">
            <v>60</v>
          </cell>
          <cell r="F2153">
            <v>1.03</v>
          </cell>
          <cell r="G2153">
            <v>61.8</v>
          </cell>
        </row>
        <row r="2154">
          <cell r="B2154" t="str">
            <v>ЕН8-20-1</v>
          </cell>
          <cell r="C2154" t="str">
            <v>Мурування стiн iз легкобетонних каменiв
без облицювання при висотi поверху до 4 м</v>
          </cell>
          <cell r="D2154" t="str">
            <v>1 м3</v>
          </cell>
          <cell r="E2154">
            <v>3.5</v>
          </cell>
          <cell r="F2154">
            <v>416.85</v>
          </cell>
          <cell r="G2154">
            <v>1458.98</v>
          </cell>
        </row>
        <row r="2155">
          <cell r="B2155" t="str">
            <v>С1427-11804</v>
          </cell>
          <cell r="C2155" t="str">
            <v>Блоки газобетонні</v>
          </cell>
          <cell r="D2155" t="str">
            <v>м3</v>
          </cell>
          <cell r="E2155">
            <v>3.22</v>
          </cell>
          <cell r="F2155">
            <v>1319.39</v>
          </cell>
          <cell r="G2155">
            <v>4248.4399999999996</v>
          </cell>
        </row>
        <row r="2156">
          <cell r="B2156" t="str">
            <v>С111-327-Н</v>
          </cell>
          <cell r="C2156" t="str">
            <v>Клейова суміш DK TBM</v>
          </cell>
          <cell r="D2156" t="str">
            <v>кг</v>
          </cell>
          <cell r="E2156">
            <v>70</v>
          </cell>
          <cell r="F2156">
            <v>4.96</v>
          </cell>
          <cell r="G2156">
            <v>347.2</v>
          </cell>
        </row>
        <row r="2157">
          <cell r="B2157" t="str">
            <v>Е9-25-1тех.ч._п.1.3.2_к=1,1</v>
          </cell>
          <cell r="C2157" t="str">
            <v>Монтаж прогонiв iз кроком ферм до 12 м
при висотi будiвлi до 25 м /по
залiзобетонних i кам'яних опорах/ Балка Б1</v>
          </cell>
          <cell r="D2157" t="str">
            <v>т</v>
          </cell>
          <cell r="E2157" t="str">
            <v>0,
7428512</v>
          </cell>
          <cell r="F2157">
            <v>5267.52</v>
          </cell>
          <cell r="G2157">
            <v>3912.98</v>
          </cell>
        </row>
        <row r="2158">
          <cell r="B2158" t="str">
            <v>Е9-25-1</v>
          </cell>
          <cell r="C2158" t="str">
            <v>Монтаж прогонiв iз кроком ферм до 12 м
при висотi будiвлi до 25 м Балка Б2</v>
          </cell>
          <cell r="D2158" t="str">
            <v>т</v>
          </cell>
          <cell r="E2158">
            <v>1.054872</v>
          </cell>
          <cell r="F2158">
            <v>5108.3500000000004</v>
          </cell>
          <cell r="G2158">
            <v>5388.66</v>
          </cell>
        </row>
        <row r="2159">
          <cell r="B2159" t="str">
            <v>Е9-24-1</v>
          </cell>
          <cell r="C2159" t="str">
            <v>Монтаж зв'язок i розпiрок з одиночних i
парних кутiв, гнутозварних профiлiв для
прогонiв до 24 м при висотi будiвлi до 25 м
Стійки Ст 1-Ст 10</v>
          </cell>
          <cell r="D2159" t="str">
            <v>т</v>
          </cell>
          <cell r="E2159" t="str">
            <v>0,
4305496</v>
          </cell>
          <cell r="F2159">
            <v>15392.07</v>
          </cell>
          <cell r="G2159">
            <v>6627.05</v>
          </cell>
        </row>
        <row r="2160">
          <cell r="B2160" t="str">
            <v>С121-762</v>
          </cell>
          <cell r="C2160" t="str">
            <v>Окремi конструктивнi елементи будiвель та
споруд [балкаи Б1, Б2] з перевагою гнутих
профiлей,  середня маса складальної
одиницi понад 0,5 т</v>
          </cell>
          <cell r="D2160" t="str">
            <v>т</v>
          </cell>
          <cell r="E2160" t="str">
            <v>1,
7977232</v>
          </cell>
          <cell r="F2160">
            <v>81924.210000000006</v>
          </cell>
          <cell r="G2160">
            <v>147277.04999999999</v>
          </cell>
        </row>
        <row r="2161">
          <cell r="B2161" t="str">
            <v>С121-760</v>
          </cell>
          <cell r="C2161" t="str">
            <v>Окремi конструктивнi елементи будiвель та
споруд [Стійки Ст 2 - Ст 10] з перевагою
гнутих профiлей,  середня маса
складальної одиницi до 0,1 т</v>
          </cell>
          <cell r="D2161" t="str">
            <v>т</v>
          </cell>
          <cell r="E2161" t="str">
            <v>0,
3083288</v>
          </cell>
          <cell r="F2161">
            <v>88949.119999999995</v>
          </cell>
          <cell r="G2161">
            <v>27425.58</v>
          </cell>
        </row>
        <row r="2162">
          <cell r="B2162" t="str">
            <v>С121-761</v>
          </cell>
          <cell r="C2162" t="str">
            <v>Окремi конструктивнi елементи будiвель та
споруд [Стійка Ст 1] з перевагою гнутих
профiлей,  середня маса складальної
одиницi понад 0,1 до 0,5 т</v>
          </cell>
          <cell r="D2162" t="str">
            <v>т</v>
          </cell>
          <cell r="E2162" t="str">
            <v>0,
1222208</v>
          </cell>
          <cell r="F2162">
            <v>83498.960000000006</v>
          </cell>
          <cell r="G2162">
            <v>10205.31</v>
          </cell>
        </row>
        <row r="2163">
          <cell r="B2163" t="str">
            <v>Е9-24-1</v>
          </cell>
          <cell r="C2163" t="str">
            <v>Монтаж зв'язок i розпiрок з одиночних i
парних кутiв, гнутозварних профiлiв для
прогонiв до 24 м при висотi будiвлi до 25 м</v>
          </cell>
          <cell r="D2163" t="str">
            <v>т</v>
          </cell>
          <cell r="E2163">
            <v>3.1683080000000001</v>
          </cell>
          <cell r="F2163">
            <v>15392.07</v>
          </cell>
          <cell r="G2163">
            <v>48766.82</v>
          </cell>
        </row>
        <row r="2164">
          <cell r="B2164" t="str">
            <v>С111-1831-1-2К</v>
          </cell>
          <cell r="C2164" t="str">
            <v>С100х60х3 профіль ф.Blachy Pruszynski</v>
          </cell>
          <cell r="D2164" t="str">
            <v>кг</v>
          </cell>
          <cell r="E2164">
            <v>3.0024799999999998</v>
          </cell>
          <cell r="F2164">
            <v>74.900000000000006</v>
          </cell>
          <cell r="G2164">
            <v>224.89</v>
          </cell>
        </row>
        <row r="2165">
          <cell r="B2165" t="str">
            <v>С111-826</v>
          </cell>
          <cell r="C2165" t="str">
            <v>Швелер гнутий сталевий 100х60х4 ГОСТ
8278-83 L=1300 Б1</v>
          </cell>
          <cell r="D2165" t="str">
            <v>т</v>
          </cell>
          <cell r="E2165">
            <v>4.3524E-2</v>
          </cell>
          <cell r="F2165">
            <v>39057.370000000003</v>
          </cell>
          <cell r="G2165">
            <v>1699.93</v>
          </cell>
        </row>
        <row r="2166">
          <cell r="B2166" t="str">
            <v>С111-826</v>
          </cell>
          <cell r="C2166" t="str">
            <v>Швелер гнутий сталевий 100х60х4 ГОСТ
8278-83 L=9130 Р1</v>
          </cell>
          <cell r="D2166" t="str">
            <v>т</v>
          </cell>
          <cell r="E2166">
            <v>0.122304</v>
          </cell>
          <cell r="F2166">
            <v>39057.370000000003</v>
          </cell>
          <cell r="G2166">
            <v>4776.87</v>
          </cell>
        </row>
        <row r="2167">
          <cell r="B2167" t="str">
            <v>С111-1399-2</v>
          </cell>
          <cell r="C2167" t="str">
            <v>Шпилька М 16х150, 2 гайки, 2 шайби та
контргайка (к-т)</v>
          </cell>
          <cell r="D2167" t="str">
            <v>шт</v>
          </cell>
          <cell r="E2167">
            <v>156</v>
          </cell>
          <cell r="F2167">
            <v>26.61</v>
          </cell>
          <cell r="G2167">
            <v>4151.16</v>
          </cell>
        </row>
        <row r="2168">
          <cell r="B2168" t="str">
            <v>С113-2122-1Н</v>
          </cell>
          <cell r="C2168" t="str">
            <v>Болт М12х60 з гайкою та шайбою</v>
          </cell>
          <cell r="D2168" t="str">
            <v>шт</v>
          </cell>
          <cell r="E2168">
            <v>950</v>
          </cell>
          <cell r="F2168">
            <v>21.17</v>
          </cell>
          <cell r="G2168">
            <v>20111.5</v>
          </cell>
        </row>
        <row r="2169">
          <cell r="B2169" t="str">
            <v>С111-1904-10Н</v>
          </cell>
          <cell r="C2169" t="str">
            <v>Анкер Redibolt M8x60 METALVIS</v>
          </cell>
          <cell r="D2169" t="str">
            <v>шт</v>
          </cell>
          <cell r="E2169">
            <v>30</v>
          </cell>
          <cell r="F2169">
            <v>5.28</v>
          </cell>
          <cell r="G2169">
            <v>158.4</v>
          </cell>
        </row>
        <row r="2170">
          <cell r="B2170" t="str">
            <v>РН8-45-3</v>
          </cell>
          <cell r="C2170" t="str">
            <v>Улаштування примикань висотою 400 мм
з рулонних покрiвельних матерiалiв до
цегляних стiн i парапетiв iз
застосуванням газопламеневих пальникiв,
з наклеюванням стрiчки типу "Экобит"</v>
          </cell>
          <cell r="D2170" t="str">
            <v>100 м</v>
          </cell>
          <cell r="E2170">
            <v>9.4E-2</v>
          </cell>
          <cell r="F2170">
            <v>4569.87</v>
          </cell>
          <cell r="G2170">
            <v>429.57</v>
          </cell>
        </row>
        <row r="2171">
          <cell r="B2171" t="str">
            <v>РН8-45-5к=1,5</v>
          </cell>
          <cell r="C2171" t="str">
            <v>Додавати або виключати на кожнi 100 мм
змiни висоти примикання з рулонних
покрiвельних матерiалiв до цегляних стiн i
парапетiв [при улаштуванні примикань]
(виключати до Н=250)</v>
          </cell>
          <cell r="D2171" t="str">
            <v>100 м</v>
          </cell>
          <cell r="E2171">
            <v>-9.4E-2</v>
          </cell>
          <cell r="F2171">
            <v>258.07</v>
          </cell>
          <cell r="G2171">
            <v>-24.26</v>
          </cell>
        </row>
        <row r="2172">
          <cell r="B2172" t="str">
            <v>С111-72-2</v>
          </cell>
          <cell r="C2172" t="str">
            <v>Праймер бітумний готовий до застосування
"Технониколь-1"</v>
          </cell>
          <cell r="D2172" t="str">
            <v>т</v>
          </cell>
          <cell r="E2172">
            <v>2.9139999999999999E-3</v>
          </cell>
          <cell r="F2172">
            <v>78784.53</v>
          </cell>
          <cell r="G2172">
            <v>229.58</v>
          </cell>
        </row>
        <row r="2173">
          <cell r="B2173" t="str">
            <v>С111-859</v>
          </cell>
          <cell r="C2173" t="str">
            <v>Рубероид наплавляемый " Біполь" ЕКП 4,0</v>
          </cell>
          <cell r="D2173" t="str">
            <v>м2</v>
          </cell>
          <cell r="E2173">
            <v>3.9950000000000001</v>
          </cell>
          <cell r="F2173">
            <v>98.38</v>
          </cell>
          <cell r="G2173">
            <v>393.03</v>
          </cell>
        </row>
        <row r="2174">
          <cell r="B2174" t="str">
            <v>С111-857</v>
          </cell>
          <cell r="C2174" t="str">
            <v>Руберойд пiдкладний Біполь ЕПП 3,0</v>
          </cell>
          <cell r="D2174" t="str">
            <v>м2</v>
          </cell>
          <cell r="E2174">
            <v>3.9950000000000001</v>
          </cell>
          <cell r="F2174">
            <v>91.93</v>
          </cell>
          <cell r="G2174">
            <v>367.26</v>
          </cell>
        </row>
        <row r="2175">
          <cell r="B2175" t="str">
            <v>Е12-1-7</v>
          </cell>
          <cell r="C2175" t="str">
            <v>Улаштування додаткового шару
покрiвельних рулонних наплавлюваних
матерiалiв</v>
          </cell>
          <cell r="D2175" t="str">
            <v>100м2</v>
          </cell>
          <cell r="E2175">
            <v>2.8200000000000003E-2</v>
          </cell>
          <cell r="F2175">
            <v>1335.2</v>
          </cell>
          <cell r="G2175">
            <v>37.65</v>
          </cell>
        </row>
        <row r="2176">
          <cell r="B2176" t="str">
            <v>С111-857</v>
          </cell>
          <cell r="C2176" t="str">
            <v>Руберойд пiдкладний Біполь ЕПП 3,0</v>
          </cell>
          <cell r="D2176" t="str">
            <v>м2</v>
          </cell>
          <cell r="E2176">
            <v>3.2429999999999999</v>
          </cell>
          <cell r="F2176">
            <v>91.93</v>
          </cell>
          <cell r="G2176">
            <v>298.13</v>
          </cell>
        </row>
        <row r="2177">
          <cell r="B2177" t="str">
            <v>С114-4-У-1</v>
          </cell>
          <cell r="C2177" t="str">
            <v>Плити "TERMOLIFE" тип "ТЛ КРОВЛЯ Н"
товщ. 100мм</v>
          </cell>
          <cell r="D2177" t="str">
            <v>м3</v>
          </cell>
          <cell r="E2177">
            <v>4.7E-2</v>
          </cell>
          <cell r="F2177">
            <v>2216.4299999999998</v>
          </cell>
          <cell r="G2177">
            <v>104.17</v>
          </cell>
        </row>
        <row r="2178">
          <cell r="B2178" t="str">
            <v>Е12-15-1</v>
          </cell>
          <cell r="C2178" t="str">
            <v>Улаштування дрiбних покриттiв
[брандмауери, парапети, звiси i т.п.] iз
листової оцинкованої сталi</v>
          </cell>
          <cell r="D2178" t="str">
            <v>100м2</v>
          </cell>
          <cell r="E2178">
            <v>3.7600000000000001E-2</v>
          </cell>
          <cell r="F2178">
            <v>9130</v>
          </cell>
          <cell r="G2178">
            <v>343.29</v>
          </cell>
        </row>
        <row r="2179">
          <cell r="B2179" t="str">
            <v>С111-1797-1Н</v>
          </cell>
          <cell r="C2179" t="str">
            <v>Лист ОЦ РЕ 25мк, товщ.0,5мм ф.Blachy
Pruszynski</v>
          </cell>
          <cell r="D2179" t="str">
            <v>м2</v>
          </cell>
          <cell r="E2179">
            <v>3.76</v>
          </cell>
          <cell r="F2179">
            <v>292.70999999999998</v>
          </cell>
          <cell r="G2179">
            <v>1100.5899999999999</v>
          </cell>
        </row>
        <row r="2180">
          <cell r="B2180" t="str">
            <v>С111-1853-6</v>
          </cell>
          <cell r="C2180" t="str">
            <v>Цвяхи покрівельні 3,5х40 мм</v>
          </cell>
          <cell r="D2180" t="str">
            <v>т</v>
          </cell>
          <cell r="E2180" t="str">
            <v>0,
00017088</v>
          </cell>
          <cell r="F2180">
            <v>44492.07</v>
          </cell>
          <cell r="G2180">
            <v>7.6</v>
          </cell>
        </row>
        <row r="2181">
          <cell r="B2181" t="str">
            <v>Е12-15-1</v>
          </cell>
          <cell r="C2181" t="str">
            <v>Улаштування дрiбних покриттiв
[брандмауери, парапети, звiси i т.п.] iз
листової оцинкованої сталi</v>
          </cell>
          <cell r="D2181" t="str">
            <v>100м2</v>
          </cell>
          <cell r="E2181">
            <v>4.5999999999999999E-2</v>
          </cell>
          <cell r="F2181">
            <v>9130</v>
          </cell>
          <cell r="G2181">
            <v>419.98</v>
          </cell>
        </row>
        <row r="2182">
          <cell r="B2182" t="str">
            <v>С111-1797-1Н</v>
          </cell>
          <cell r="C2182" t="str">
            <v>Лист ОЦ РЕ 25мк, товщ.0,5мм ф.Blachy
Pruszynski</v>
          </cell>
          <cell r="D2182" t="str">
            <v>м2</v>
          </cell>
          <cell r="E2182">
            <v>4.5999999999999996</v>
          </cell>
          <cell r="F2182">
            <v>292.70999999999998</v>
          </cell>
          <cell r="G2182">
            <v>1346.47</v>
          </cell>
        </row>
        <row r="2183">
          <cell r="B2183" t="str">
            <v>С1545-42-2Н</v>
          </cell>
          <cell r="C2183" t="str">
            <v>Саморіз 4,8х19</v>
          </cell>
          <cell r="D2183" t="str">
            <v>100шт</v>
          </cell>
          <cell r="E2183">
            <v>1.3</v>
          </cell>
          <cell r="F2183">
            <v>99.88</v>
          </cell>
          <cell r="G2183">
            <v>129.84</v>
          </cell>
        </row>
        <row r="2184">
          <cell r="B2184" t="str">
            <v>С111-1853-6</v>
          </cell>
          <cell r="C2184" t="str">
            <v>Цвяхи покрівельні 3,5х40 мм</v>
          </cell>
          <cell r="D2184" t="str">
            <v>т</v>
          </cell>
          <cell r="E2184" t="str">
            <v>0,
00016554</v>
          </cell>
          <cell r="F2184">
            <v>44492.07</v>
          </cell>
          <cell r="G2184">
            <v>7.37</v>
          </cell>
        </row>
        <row r="2185">
          <cell r="B2185" t="str">
            <v>Е12-15-1</v>
          </cell>
          <cell r="C2185" t="str">
            <v>Улаштування дрiбних покриттiв
[брандмауери, парапети, звiси i т.п.] iз
листової оцинкованої сталi</v>
          </cell>
          <cell r="D2185" t="str">
            <v>100м2</v>
          </cell>
          <cell r="E2185">
            <v>0.1295</v>
          </cell>
          <cell r="F2185">
            <v>9130</v>
          </cell>
          <cell r="G2185">
            <v>1182.3399999999999</v>
          </cell>
        </row>
        <row r="2186">
          <cell r="B2186" t="str">
            <v>С111-1797-1Н</v>
          </cell>
          <cell r="C2186" t="str">
            <v>Лист ОЦ РЕ 25мк, товщ.0,5мм ф.Blachy
Pruszynski</v>
          </cell>
          <cell r="D2186" t="str">
            <v>м2</v>
          </cell>
          <cell r="E2186">
            <v>12.95</v>
          </cell>
          <cell r="F2186">
            <v>292.70999999999998</v>
          </cell>
          <cell r="G2186">
            <v>3790.59</v>
          </cell>
        </row>
        <row r="2187">
          <cell r="B2187" t="str">
            <v>С111-1853-6</v>
          </cell>
          <cell r="C2187" t="str">
            <v>Цвяхи покрівельні 3,5х40 мм</v>
          </cell>
          <cell r="D2187" t="str">
            <v>т</v>
          </cell>
          <cell r="E2187" t="str">
            <v>0,
00033108</v>
          </cell>
          <cell r="F2187">
            <v>44492.07</v>
          </cell>
          <cell r="G2187">
            <v>14.73</v>
          </cell>
        </row>
        <row r="2188">
          <cell r="B2188" t="str">
            <v>ЕН11-42-3</v>
          </cell>
          <cell r="C2188" t="str">
            <v>Улаштування бортику</v>
          </cell>
          <cell r="D2188" t="str">
            <v>100м</v>
          </cell>
          <cell r="E2188">
            <v>0.37</v>
          </cell>
          <cell r="F2188">
            <v>931.52</v>
          </cell>
          <cell r="G2188">
            <v>344.66</v>
          </cell>
        </row>
        <row r="2189">
          <cell r="B2189" t="str">
            <v>С114-4-У-1</v>
          </cell>
          <cell r="C2189" t="str">
            <v>Плити "TERMOLIFE" тип "ТЛ КРОВЛЯ Н"
товщ. 100мм</v>
          </cell>
          <cell r="D2189" t="str">
            <v>м3</v>
          </cell>
          <cell r="E2189">
            <v>0.185</v>
          </cell>
          <cell r="F2189">
            <v>2216.4299999999998</v>
          </cell>
          <cell r="G2189">
            <v>410.04</v>
          </cell>
        </row>
        <row r="2190">
          <cell r="B2190" t="str">
            <v>ЕН15-171-4</v>
          </cell>
          <cell r="C2190" t="str">
            <v>Олiйне фарбування бiлилами з додаванням
кольору грат, рам, труб дiаметром менше
50 мм тощо за два рази</v>
          </cell>
          <cell r="D2190" t="str">
            <v>100м2</v>
          </cell>
          <cell r="E2190">
            <v>1.645</v>
          </cell>
          <cell r="F2190">
            <v>7784.08</v>
          </cell>
          <cell r="G2190">
            <v>12804.81</v>
          </cell>
        </row>
        <row r="2191">
          <cell r="B2191" t="str">
            <v>С111-1673-1</v>
          </cell>
          <cell r="C2191" t="str">
            <v>Эмаль "ЗЕБРА" (3 в 1) антикорозійна</v>
          </cell>
          <cell r="D2191" t="str">
            <v>л</v>
          </cell>
          <cell r="E2191">
            <v>29.61</v>
          </cell>
          <cell r="F2191">
            <v>182.96</v>
          </cell>
          <cell r="G2191">
            <v>5417.45</v>
          </cell>
        </row>
        <row r="2192">
          <cell r="B2192" t="str">
            <v>Е12-19-2</v>
          </cell>
          <cell r="C2192" t="str">
            <v>Утеплення покриттiв дрибною крошкою
газобетону</v>
          </cell>
          <cell r="D2192" t="str">
            <v>м3</v>
          </cell>
          <cell r="E2192">
            <v>119.6</v>
          </cell>
          <cell r="F2192">
            <v>492.95</v>
          </cell>
          <cell r="G2192">
            <v>58956.82</v>
          </cell>
        </row>
        <row r="2193">
          <cell r="B2193" t="str">
            <v>С1421-9699-2Н</v>
          </cell>
          <cell r="C2193" t="str">
            <v>Дрібна крошка газобетону</v>
          </cell>
          <cell r="D2193" t="str">
            <v>м3</v>
          </cell>
          <cell r="E2193">
            <v>123.188</v>
          </cell>
          <cell r="F2193">
            <v>1784.45</v>
          </cell>
          <cell r="G2193">
            <v>219822.83</v>
          </cell>
        </row>
        <row r="2194">
          <cell r="B2194" t="str">
            <v>ЕН11-11-7</v>
          </cell>
          <cell r="C2194" t="str">
            <v>Улаштування стяжок легкобетонних
товщиною 20 мм</v>
          </cell>
          <cell r="D2194" t="str">
            <v>100м2</v>
          </cell>
          <cell r="E2194">
            <v>4.5999999999999996</v>
          </cell>
          <cell r="F2194">
            <v>9251.5</v>
          </cell>
          <cell r="G2194">
            <v>42556.9</v>
          </cell>
        </row>
        <row r="2195">
          <cell r="B2195" t="str">
            <v>ЕН11-11-8к=6</v>
          </cell>
          <cell r="C2195" t="str">
            <v>Додавати або виключати на кожнi 5 мм
змiни товщини легкобетонних стяжок
(Додавати до товщ. 50 мм)</v>
          </cell>
          <cell r="D2195" t="str">
            <v>100м2</v>
          </cell>
          <cell r="E2195">
            <v>4.5999999999999996</v>
          </cell>
          <cell r="F2195">
            <v>7019.49</v>
          </cell>
          <cell r="G2195">
            <v>32289.65</v>
          </cell>
        </row>
        <row r="2196">
          <cell r="B2196" t="str">
            <v>Е12-18-5</v>
          </cell>
          <cell r="C2196" t="str">
            <v>Утеплення покриттiв плитами з легких
[нiздрюватих] бетонiв або фiбролiту
насухо</v>
          </cell>
          <cell r="D2196" t="str">
            <v>100м2</v>
          </cell>
          <cell r="E2196">
            <v>4.5999999999999996</v>
          </cell>
          <cell r="F2196">
            <v>4045.71</v>
          </cell>
          <cell r="G2196">
            <v>18610.27</v>
          </cell>
        </row>
        <row r="2197">
          <cell r="B2197" t="str">
            <v>С114-4-У-1</v>
          </cell>
          <cell r="C2197" t="str">
            <v>Плити "TERMOLIFE" тип "ТЛ КРОВЛЯ Н"
товщ. 100мм</v>
          </cell>
          <cell r="D2197" t="str">
            <v>м3</v>
          </cell>
          <cell r="E2197">
            <v>47.38</v>
          </cell>
          <cell r="F2197">
            <v>2216.4299999999998</v>
          </cell>
          <cell r="G2197">
            <v>105014.45</v>
          </cell>
        </row>
        <row r="2198">
          <cell r="B2198" t="str">
            <v>Е12-18-3</v>
          </cell>
          <cell r="C2198" t="str">
            <v>Утеплення покриттiв плитами з
мiнеральної вати або перлiту на бiтумнiй
мастицi в один шар</v>
          </cell>
          <cell r="D2198" t="str">
            <v>100м2</v>
          </cell>
          <cell r="E2198">
            <v>4.5999999999999996</v>
          </cell>
          <cell r="F2198">
            <v>10374.620000000001</v>
          </cell>
          <cell r="G2198">
            <v>47723.25</v>
          </cell>
        </row>
        <row r="2199">
          <cell r="B2199" t="str">
            <v>С114-4-У-2</v>
          </cell>
          <cell r="C2199" t="str">
            <v>Плити "TERMOLIFE" тип "ТЛ КРОВЛЯ В"
товщ. 50мм</v>
          </cell>
          <cell r="D2199" t="str">
            <v>м3</v>
          </cell>
          <cell r="E2199">
            <v>23.69</v>
          </cell>
          <cell r="F2199">
            <v>1770.54</v>
          </cell>
          <cell r="G2199">
            <v>41944.09</v>
          </cell>
        </row>
        <row r="2200">
          <cell r="B2200" t="str">
            <v>Е12-18-4</v>
          </cell>
          <cell r="C2200" t="str">
            <v>Утеплення покриттiв плитами з
мiнеральної вати або перлiту на бiтумнiй
мастицi на кожний наступний шар</v>
          </cell>
          <cell r="D2200" t="str">
            <v>100м2</v>
          </cell>
          <cell r="E2200">
            <v>4.5999999999999996</v>
          </cell>
          <cell r="F2200">
            <v>7479.36</v>
          </cell>
          <cell r="G2200">
            <v>34405.06</v>
          </cell>
        </row>
        <row r="2201">
          <cell r="B2201" t="str">
            <v>С114-4-У-2</v>
          </cell>
          <cell r="C2201" t="str">
            <v>Плити "TERMOLIFE" тип "ТЛ КРОВЛЯ В"
товщ. 50мм</v>
          </cell>
          <cell r="D2201" t="str">
            <v>м3</v>
          </cell>
          <cell r="E2201">
            <v>23.69</v>
          </cell>
          <cell r="F2201">
            <v>1770.54</v>
          </cell>
          <cell r="G2201">
            <v>41944.09</v>
          </cell>
        </row>
        <row r="2202">
          <cell r="B2202" t="str">
            <v>Е12-20-3</v>
          </cell>
          <cell r="C2202" t="str">
            <v>Улаштування пароiзоляцiї прокладної в
один шар</v>
          </cell>
          <cell r="D2202" t="str">
            <v>100м2</v>
          </cell>
          <cell r="E2202">
            <v>4.5999999999999996</v>
          </cell>
          <cell r="F2202">
            <v>803.18</v>
          </cell>
          <cell r="G2202">
            <v>3694.63</v>
          </cell>
        </row>
        <row r="2203">
          <cell r="B2203" t="str">
            <v>С111-857</v>
          </cell>
          <cell r="C2203" t="str">
            <v>Руберойд пiдкладний Біполь ЕПП 3,0</v>
          </cell>
          <cell r="D2203" t="str">
            <v>м2</v>
          </cell>
          <cell r="E2203">
            <v>506</v>
          </cell>
          <cell r="F2203">
            <v>91.93</v>
          </cell>
          <cell r="G2203">
            <v>46516.58</v>
          </cell>
        </row>
        <row r="2204">
          <cell r="B2204" t="str">
            <v>РН4-18-1</v>
          </cell>
          <cell r="C2204" t="str">
            <v>Установлення анкерiв</v>
          </cell>
          <cell r="D2204" t="str">
            <v>100 кг</v>
          </cell>
          <cell r="E2204">
            <v>0.68999999999999984</v>
          </cell>
          <cell r="F2204">
            <v>8074.69</v>
          </cell>
          <cell r="G2204">
            <v>5571.54</v>
          </cell>
        </row>
        <row r="2205">
          <cell r="B2205" t="str">
            <v>С111-1846-9Н</v>
          </cell>
          <cell r="C2205" t="str">
            <v>Анкер телескопічний L=240 мм</v>
          </cell>
          <cell r="D2205" t="str">
            <v>шт</v>
          </cell>
          <cell r="E2205">
            <v>2300</v>
          </cell>
          <cell r="F2205">
            <v>6.85</v>
          </cell>
          <cell r="G2205">
            <v>15755</v>
          </cell>
        </row>
        <row r="2206">
          <cell r="B2206" t="str">
            <v>С130-1156-1-2Р</v>
          </cell>
          <cell r="C2206" t="str">
            <v>Флюгарка 110х600 (h)мм</v>
          </cell>
          <cell r="D2206" t="str">
            <v>шт</v>
          </cell>
          <cell r="E2206">
            <v>9</v>
          </cell>
          <cell r="F2206">
            <v>756.08</v>
          </cell>
          <cell r="G2206">
            <v>6804.72</v>
          </cell>
        </row>
        <row r="2207">
          <cell r="B2207" t="str">
            <v>Е12-1-6</v>
          </cell>
          <cell r="C2207" t="str">
            <v>Улаштування покрiвель скатних iз
наплавлюваних матерiалiв у два шари</v>
          </cell>
          <cell r="D2207" t="str">
            <v>100м2</v>
          </cell>
          <cell r="E2207">
            <v>4.5999999999999996</v>
          </cell>
          <cell r="F2207">
            <v>3127.76</v>
          </cell>
          <cell r="G2207">
            <v>14387.7</v>
          </cell>
        </row>
        <row r="2208">
          <cell r="B2208" t="str">
            <v>С111-857</v>
          </cell>
          <cell r="C2208" t="str">
            <v>Руберойд пiдкладний Біполь ЕПП 3,0</v>
          </cell>
          <cell r="D2208" t="str">
            <v>м2</v>
          </cell>
          <cell r="E2208">
            <v>519.79999999999995</v>
          </cell>
          <cell r="F2208">
            <v>91.93</v>
          </cell>
          <cell r="G2208">
            <v>47785.21</v>
          </cell>
        </row>
        <row r="2209">
          <cell r="B2209" t="str">
            <v>С111-859</v>
          </cell>
          <cell r="C2209" t="str">
            <v>Рубероид наплавляемый " Біполь" ЕКП 4,0</v>
          </cell>
          <cell r="D2209" t="str">
            <v>м2</v>
          </cell>
          <cell r="E2209">
            <v>529</v>
          </cell>
          <cell r="F2209">
            <v>98.38</v>
          </cell>
          <cell r="G2209">
            <v>52043.02</v>
          </cell>
        </row>
        <row r="2210">
          <cell r="B2210" t="str">
            <v>Е12-19-2</v>
          </cell>
          <cell r="C2210" t="str">
            <v>Утеплення покриттiв дрибною крошкою
газобетону</v>
          </cell>
          <cell r="D2210" t="str">
            <v>м3</v>
          </cell>
          <cell r="E2210">
            <v>15</v>
          </cell>
          <cell r="F2210">
            <v>492.95</v>
          </cell>
          <cell r="G2210">
            <v>7394.25</v>
          </cell>
        </row>
        <row r="2211">
          <cell r="B2211" t="str">
            <v>С1421-9699-2Н</v>
          </cell>
          <cell r="C2211" t="str">
            <v>Дрібна крошка газобетону</v>
          </cell>
          <cell r="D2211" t="str">
            <v>м3</v>
          </cell>
          <cell r="E2211">
            <v>15.45</v>
          </cell>
          <cell r="F2211">
            <v>1784.45</v>
          </cell>
          <cell r="G2211">
            <v>27569.75</v>
          </cell>
        </row>
        <row r="2212">
          <cell r="B2212" t="str">
            <v>ЕН11-11-7</v>
          </cell>
          <cell r="C2212" t="str">
            <v>Улаштування стяжок легкобетонних
товщиною 20 мм</v>
          </cell>
          <cell r="D2212" t="str">
            <v>100м2</v>
          </cell>
          <cell r="E2212">
            <v>0.60000000000000009</v>
          </cell>
          <cell r="F2212">
            <v>9251.5</v>
          </cell>
          <cell r="G2212">
            <v>5550.9</v>
          </cell>
        </row>
        <row r="2213">
          <cell r="B2213" t="str">
            <v>ЕН11-11-8к=6</v>
          </cell>
          <cell r="C2213" t="str">
            <v>Додавати або виключати на кожнi 5 мм
змiни товщини легкобетонних стяжок
(Додавати до товщ. 50 мм)</v>
          </cell>
          <cell r="D2213" t="str">
            <v>100м2</v>
          </cell>
          <cell r="E2213">
            <v>0.60000000000000009</v>
          </cell>
          <cell r="F2213">
            <v>7019.49</v>
          </cell>
          <cell r="G2213">
            <v>4211.6899999999996</v>
          </cell>
        </row>
        <row r="2214">
          <cell r="B2214" t="str">
            <v>Е12-18-5</v>
          </cell>
          <cell r="C2214" t="str">
            <v>Утеплення покриттiв плитами з легких
[нiздрюватих] бетонiв або фiбролiту
насухо</v>
          </cell>
          <cell r="D2214" t="str">
            <v>100м2</v>
          </cell>
          <cell r="E2214">
            <v>0.60000000000000009</v>
          </cell>
          <cell r="F2214">
            <v>4047.23</v>
          </cell>
          <cell r="G2214">
            <v>2428.34</v>
          </cell>
        </row>
        <row r="2215">
          <cell r="B2215" t="str">
            <v>С114-4-У-1</v>
          </cell>
          <cell r="C2215" t="str">
            <v>Плити "TERMOLIFE" тип "ТЛ КРОВЛЯ Н"
товщ. 100мм</v>
          </cell>
          <cell r="D2215" t="str">
            <v>м3</v>
          </cell>
          <cell r="E2215">
            <v>6.18</v>
          </cell>
          <cell r="F2215">
            <v>2216.4299999999998</v>
          </cell>
          <cell r="G2215">
            <v>13697.54</v>
          </cell>
        </row>
        <row r="2216">
          <cell r="B2216" t="str">
            <v>Е12-18-3</v>
          </cell>
          <cell r="C2216" t="str">
            <v>Утеплення покриттiв плитами з
мiнеральної вати або перлiту на бiтумнiй
мастицi в один шар</v>
          </cell>
          <cell r="D2216" t="str">
            <v>100м2</v>
          </cell>
          <cell r="E2216">
            <v>0.60000000000000009</v>
          </cell>
          <cell r="F2216">
            <v>10374.620000000001</v>
          </cell>
          <cell r="G2216">
            <v>6224.77</v>
          </cell>
        </row>
        <row r="2217">
          <cell r="B2217" t="str">
            <v>С114-4-У-2</v>
          </cell>
          <cell r="C2217" t="str">
            <v>Плити "TERMOLIFE" тип "ТЛ КРОВЛЯ В"
товщ. 50мм</v>
          </cell>
          <cell r="D2217" t="str">
            <v>м3</v>
          </cell>
          <cell r="E2217">
            <v>3.09</v>
          </cell>
          <cell r="F2217">
            <v>1770.54</v>
          </cell>
          <cell r="G2217">
            <v>5470.97</v>
          </cell>
        </row>
        <row r="2218">
          <cell r="B2218" t="str">
            <v>Е12-18-4</v>
          </cell>
          <cell r="C2218" t="str">
            <v>Утеплення покриттiв плитами з
мiнеральної вати або перлiту на бiтумнiй
мастицi на кожний наступний шар</v>
          </cell>
          <cell r="D2218" t="str">
            <v>100м2</v>
          </cell>
          <cell r="E2218">
            <v>0.60000000000000009</v>
          </cell>
          <cell r="F2218">
            <v>7479.36</v>
          </cell>
          <cell r="G2218">
            <v>4487.62</v>
          </cell>
        </row>
        <row r="2219">
          <cell r="B2219" t="str">
            <v>С111-594</v>
          </cell>
          <cell r="C2219" t="str">
            <v>Мастика покрiвельна гаряча ТехноНИКОЛЬ
№41</v>
          </cell>
          <cell r="D2219" t="str">
            <v>т</v>
          </cell>
          <cell r="E2219">
            <v>0.1206</v>
          </cell>
          <cell r="F2219">
            <v>41790.57</v>
          </cell>
          <cell r="G2219">
            <v>5039.9399999999996</v>
          </cell>
        </row>
        <row r="2220">
          <cell r="B2220" t="str">
            <v>С114-4-У-2</v>
          </cell>
          <cell r="C2220" t="str">
            <v>Плити "TERMOLIFE" тип "ТЛ КРОВЛЯ В"
товщ. 50мм</v>
          </cell>
          <cell r="D2220" t="str">
            <v>м3</v>
          </cell>
          <cell r="E2220">
            <v>3.09</v>
          </cell>
          <cell r="F2220">
            <v>1770.54</v>
          </cell>
          <cell r="G2220">
            <v>5470.97</v>
          </cell>
        </row>
        <row r="2221">
          <cell r="B2221" t="str">
            <v>Е12-20-3</v>
          </cell>
          <cell r="C2221" t="str">
            <v>Улаштування пароiзоляцiї прокладної в
один шар</v>
          </cell>
          <cell r="D2221" t="str">
            <v>100м2</v>
          </cell>
          <cell r="E2221">
            <v>0.60000000000000009</v>
          </cell>
          <cell r="F2221">
            <v>803.18</v>
          </cell>
          <cell r="G2221">
            <v>481.91</v>
          </cell>
        </row>
        <row r="2222">
          <cell r="B2222" t="str">
            <v>С111-857</v>
          </cell>
          <cell r="C2222" t="str">
            <v>Руберойд пiдкладний Біполь ЕПП 3,0</v>
          </cell>
          <cell r="D2222" t="str">
            <v>м2</v>
          </cell>
          <cell r="E2222">
            <v>66</v>
          </cell>
          <cell r="F2222">
            <v>91.93</v>
          </cell>
          <cell r="G2222">
            <v>6067.38</v>
          </cell>
        </row>
        <row r="2223">
          <cell r="B2223" t="str">
            <v>РН4-18-1</v>
          </cell>
          <cell r="C2223" t="str">
            <v>Установлення анкерiв</v>
          </cell>
          <cell r="D2223" t="str">
            <v>100 кг</v>
          </cell>
          <cell r="E2223">
            <v>3.6000000000000003E-3</v>
          </cell>
          <cell r="F2223">
            <v>8074.69</v>
          </cell>
          <cell r="G2223">
            <v>29.07</v>
          </cell>
        </row>
        <row r="2224">
          <cell r="B2224" t="str">
            <v>С111-1846-9Н</v>
          </cell>
          <cell r="C2224" t="str">
            <v>Анкер телескопічний L=240 мм</v>
          </cell>
          <cell r="D2224" t="str">
            <v>шт</v>
          </cell>
          <cell r="E2224">
            <v>12</v>
          </cell>
          <cell r="F2224">
            <v>6.85</v>
          </cell>
          <cell r="G2224">
            <v>82.2</v>
          </cell>
        </row>
        <row r="2225">
          <cell r="B2225" t="str">
            <v>Е12-1-6</v>
          </cell>
          <cell r="C2225" t="str">
            <v>Улаштування покрiвель скатних iз
наплавлюваних матерiалiв у два шари</v>
          </cell>
          <cell r="D2225" t="str">
            <v>100м2</v>
          </cell>
          <cell r="E2225">
            <v>0.60000000000000009</v>
          </cell>
          <cell r="F2225">
            <v>2932.74</v>
          </cell>
          <cell r="G2225">
            <v>1759.64</v>
          </cell>
        </row>
        <row r="2226">
          <cell r="B2226" t="str">
            <v>С111-857</v>
          </cell>
          <cell r="C2226" t="str">
            <v>Руберойд пiдкладний Біполь ЕПП 3,0</v>
          </cell>
          <cell r="D2226" t="str">
            <v>м2</v>
          </cell>
          <cell r="E2226">
            <v>67.8</v>
          </cell>
          <cell r="F2226">
            <v>91.93</v>
          </cell>
          <cell r="G2226">
            <v>6232.85</v>
          </cell>
        </row>
        <row r="2227">
          <cell r="B2227" t="str">
            <v>С111-859</v>
          </cell>
          <cell r="C2227" t="str">
            <v>Рубероид наплавляемый " Біполь" ЕКП 4,0</v>
          </cell>
          <cell r="D2227" t="str">
            <v>м2</v>
          </cell>
          <cell r="E2227">
            <v>69</v>
          </cell>
          <cell r="F2227">
            <v>98.38</v>
          </cell>
          <cell r="G2227">
            <v>6788.22</v>
          </cell>
        </row>
        <row r="2228">
          <cell r="B2228" t="str">
            <v>ЕН8-5-1</v>
          </cell>
          <cell r="C2228" t="str">
            <v>Мурування зовнiшнiх простих стiн з цегли
силiкатної при висотi поверху до 4 м</v>
          </cell>
          <cell r="D2228" t="str">
            <v>1 м3</v>
          </cell>
          <cell r="E2228">
            <v>3</v>
          </cell>
          <cell r="F2228">
            <v>699</v>
          </cell>
          <cell r="G2228">
            <v>2097</v>
          </cell>
        </row>
        <row r="2229">
          <cell r="B2229" t="str">
            <v>С1422-11094</v>
          </cell>
          <cell r="C2229" t="str">
            <v>Цегла силiкатна одинарна повнотiла
лицьова незабарвлена, розмiри 250х120х65
мм, марка М100</v>
          </cell>
          <cell r="D2229" t="str">
            <v>1000шт</v>
          </cell>
          <cell r="E2229">
            <v>1.1819999999999999</v>
          </cell>
          <cell r="F2229">
            <v>6052.75</v>
          </cell>
          <cell r="G2229">
            <v>7154.35</v>
          </cell>
        </row>
        <row r="2230">
          <cell r="B2230" t="str">
            <v>С1425-11682</v>
          </cell>
          <cell r="C2230" t="str">
            <v>Розчин готовий кладковий важкий
цементний, марка М75</v>
          </cell>
          <cell r="D2230" t="str">
            <v>м3</v>
          </cell>
          <cell r="E2230">
            <v>0.72</v>
          </cell>
          <cell r="F2230">
            <v>2186.92</v>
          </cell>
          <cell r="G2230">
            <v>1574.58</v>
          </cell>
        </row>
        <row r="2231">
          <cell r="B2231" t="str">
            <v>Е46-34-4</v>
          </cell>
          <cell r="C2231" t="str">
            <v>Розбирання цегляних стiн</v>
          </cell>
          <cell r="D2231" t="str">
            <v>м3</v>
          </cell>
          <cell r="E2231">
            <v>2</v>
          </cell>
          <cell r="F2231">
            <v>1038.8599999999999</v>
          </cell>
          <cell r="G2231">
            <v>2077.7199999999998</v>
          </cell>
        </row>
        <row r="2232">
          <cell r="B2232" t="str">
            <v>РН20-41-1</v>
          </cell>
          <cell r="C2232" t="str">
            <v>Навантаження сміття екскаваторами на
автомобілі-самоскиди, місткість ковша
екскаватора 0,25 м3.</v>
          </cell>
          <cell r="D2232" t="str">
            <v>100 т</v>
          </cell>
          <cell r="E2232">
            <v>1.5800000000000002E-2</v>
          </cell>
          <cell r="F2232">
            <v>7746.86</v>
          </cell>
          <cell r="G2232">
            <v>122.4</v>
          </cell>
        </row>
        <row r="2233">
          <cell r="B2233" t="str">
            <v>С311-30-М</v>
          </cell>
          <cell r="C2233" t="str">
            <v>Перевезення сміття до 30 км</v>
          </cell>
          <cell r="D2233" t="str">
            <v>т</v>
          </cell>
          <cell r="E2233">
            <v>1.58</v>
          </cell>
          <cell r="F2233">
            <v>195</v>
          </cell>
          <cell r="G2233">
            <v>308.10000000000002</v>
          </cell>
        </row>
        <row r="2234">
          <cell r="B2234" t="str">
            <v>ЕН8-5-1</v>
          </cell>
          <cell r="C2234" t="str">
            <v>Мурування зовнiшнiх простих стiн з цегли
силiкатної при висотi поверху до 4 м
(наращування кладки вентиляційних
каналів)</v>
          </cell>
          <cell r="D2234" t="str">
            <v>1 м3</v>
          </cell>
          <cell r="E2234">
            <v>10</v>
          </cell>
          <cell r="F2234">
            <v>699</v>
          </cell>
          <cell r="G2234">
            <v>6990</v>
          </cell>
        </row>
        <row r="2235">
          <cell r="B2235" t="str">
            <v>С1422-11094</v>
          </cell>
          <cell r="C2235" t="str">
            <v>Цегла силiкатна одинарна повнотiла
лицьова незабарвлена, розмiри 250х120х65
мм, марка М100</v>
          </cell>
          <cell r="D2235" t="str">
            <v>1000шт</v>
          </cell>
          <cell r="E2235">
            <v>3.94</v>
          </cell>
          <cell r="F2235">
            <v>6052.75</v>
          </cell>
          <cell r="G2235">
            <v>23847.84</v>
          </cell>
        </row>
        <row r="2236">
          <cell r="B2236" t="str">
            <v>С1425-11682</v>
          </cell>
          <cell r="C2236" t="str">
            <v>Розчин готовий кладковий важкий
цементний, марка М75</v>
          </cell>
          <cell r="D2236" t="str">
            <v>м3</v>
          </cell>
          <cell r="E2236">
            <v>2.4</v>
          </cell>
          <cell r="F2236">
            <v>2186.92</v>
          </cell>
          <cell r="G2236">
            <v>5248.61</v>
          </cell>
        </row>
        <row r="2237">
          <cell r="B2237" t="str">
            <v>ЕН8-11-1</v>
          </cell>
          <cell r="C2237" t="str">
            <v>Армування мурування стiн та iнших
конструкцiй</v>
          </cell>
          <cell r="D2237" t="str">
            <v>1 т</v>
          </cell>
          <cell r="E2237">
            <v>2.7710000000000002E-2</v>
          </cell>
          <cell r="F2237">
            <v>4666.0600000000004</v>
          </cell>
          <cell r="G2237">
            <v>129.30000000000001</v>
          </cell>
        </row>
        <row r="2238">
          <cell r="B2238" t="str">
            <v>С124-22</v>
          </cell>
          <cell r="C2238" t="str">
            <v>Гарячекатана арматурна сталь
перiодичного профiлю, клас А-III, дiаметр 12
мм</v>
          </cell>
          <cell r="D2238" t="str">
            <v>т</v>
          </cell>
          <cell r="E2238">
            <v>2.7710000000000002E-2</v>
          </cell>
          <cell r="F2238">
            <v>21525.03</v>
          </cell>
          <cell r="G2238">
            <v>596.46</v>
          </cell>
        </row>
        <row r="2239">
          <cell r="B2239" t="str">
            <v>РН8-45-3</v>
          </cell>
          <cell r="C2239" t="str">
            <v>Улаштування примикань висотою 400 мм
з рулонних покрiвельних матерiалiв до
цегляних стiн i парапетiв iз
застосуванням газопламеневих пальникiв,
з наклеюванням стрiчки типу "Экобит"</v>
          </cell>
          <cell r="D2239" t="str">
            <v>100 м</v>
          </cell>
          <cell r="E2239">
            <v>0.36</v>
          </cell>
          <cell r="F2239">
            <v>4569.87</v>
          </cell>
          <cell r="G2239">
            <v>1645.15</v>
          </cell>
        </row>
        <row r="2240">
          <cell r="B2240" t="str">
            <v>С111-859</v>
          </cell>
          <cell r="C2240" t="str">
            <v>Рубероид наплавляемый " Біполь" ЕКП 4,0</v>
          </cell>
          <cell r="D2240" t="str">
            <v>м2</v>
          </cell>
          <cell r="E2240">
            <v>21.24</v>
          </cell>
          <cell r="F2240">
            <v>98.38</v>
          </cell>
          <cell r="G2240">
            <v>2089.59</v>
          </cell>
        </row>
        <row r="2241">
          <cell r="B2241" t="str">
            <v>С111-857</v>
          </cell>
          <cell r="C2241" t="str">
            <v>Руберойд пiдкладний Біполь ЕПП 3,0</v>
          </cell>
          <cell r="D2241" t="str">
            <v>м2</v>
          </cell>
          <cell r="E2241">
            <v>21.24</v>
          </cell>
          <cell r="F2241">
            <v>91.93</v>
          </cell>
          <cell r="G2241">
            <v>1952.59</v>
          </cell>
        </row>
        <row r="2242">
          <cell r="B2242" t="str">
            <v>Е12-1-7</v>
          </cell>
          <cell r="C2242" t="str">
            <v>Улаштування додаткового шару
покрiвельних рулонних наплавлюваних
матерiалiв</v>
          </cell>
          <cell r="D2242" t="str">
            <v>100м2</v>
          </cell>
          <cell r="E2242">
            <v>0.14400000000000002</v>
          </cell>
          <cell r="F2242">
            <v>1335.2</v>
          </cell>
          <cell r="G2242">
            <v>192.27</v>
          </cell>
        </row>
        <row r="2243">
          <cell r="B2243" t="str">
            <v>С111-857</v>
          </cell>
          <cell r="C2243" t="str">
            <v>Руберойд пiдкладний Біполь ЕПП 3,0</v>
          </cell>
          <cell r="D2243" t="str">
            <v>м2</v>
          </cell>
          <cell r="E2243">
            <v>16.559999999999999</v>
          </cell>
          <cell r="F2243">
            <v>91.93</v>
          </cell>
          <cell r="G2243">
            <v>1522.36</v>
          </cell>
        </row>
        <row r="2244">
          <cell r="B2244" t="str">
            <v>С114-4-У-1</v>
          </cell>
          <cell r="C2244" t="str">
            <v>Плити "TERMOLIFE" тип "ТЛ КРОВЛЯ Н"
товщ. 100мм</v>
          </cell>
          <cell r="D2244" t="str">
            <v>м3</v>
          </cell>
          <cell r="E2244">
            <v>0.18</v>
          </cell>
          <cell r="F2244">
            <v>2216.4299999999998</v>
          </cell>
          <cell r="G2244">
            <v>398.96</v>
          </cell>
        </row>
        <row r="2245">
          <cell r="B2245" t="str">
            <v>Е12-9-1</v>
          </cell>
          <cell r="C2245" t="str">
            <v>Улаштування деформацiйних швiв</v>
          </cell>
          <cell r="D2245" t="str">
            <v>100м</v>
          </cell>
          <cell r="E2245">
            <v>0.122</v>
          </cell>
          <cell r="F2245">
            <v>65904.02</v>
          </cell>
          <cell r="G2245">
            <v>8040.29</v>
          </cell>
        </row>
        <row r="2246">
          <cell r="B2246" t="str">
            <v>С114-4-У-2</v>
          </cell>
          <cell r="C2246" t="str">
            <v>Плити "TERMOLIFE" тип "ТЛ КРОВЛЯ В"
товщ. 50мм</v>
          </cell>
          <cell r="D2246" t="str">
            <v>м3</v>
          </cell>
          <cell r="E2246">
            <v>3.09</v>
          </cell>
          <cell r="F2246">
            <v>1770.54</v>
          </cell>
          <cell r="G2246">
            <v>5470.97</v>
          </cell>
        </row>
        <row r="2247">
          <cell r="B2247" t="str">
            <v>РН8-45-1</v>
          </cell>
          <cell r="C2247" t="str">
            <v>Улаштування примикань висотою 400 мм
з рулонних покрiвельних матерiалiв до
цегляних стiн i парапетiв iз
застосуванням газопламеневих пальникiв,
з улаштуванням фартуха з оцинкованої
сталi</v>
          </cell>
          <cell r="D2247" t="str">
            <v>100 м</v>
          </cell>
          <cell r="E2247">
            <v>0.24399999999999999</v>
          </cell>
          <cell r="F2247">
            <v>8021.02</v>
          </cell>
          <cell r="G2247">
            <v>1957.13</v>
          </cell>
        </row>
        <row r="2248">
          <cell r="B2248" t="str">
            <v>РН8-45-5к=2</v>
          </cell>
          <cell r="C2248" t="str">
            <v>Додавати або виключати на кожнi 100 мм
змiни висоти примикання з рулонних
покрiвельних матерiалiв до цегляних стiн i
парапетiв [при улаштуванні примикань]
(виключати до висоти 200 мм)</v>
          </cell>
          <cell r="D2248" t="str">
            <v>100 м</v>
          </cell>
          <cell r="E2248">
            <v>0.24399999999999999</v>
          </cell>
          <cell r="F2248">
            <v>344.09</v>
          </cell>
          <cell r="G2248">
            <v>83.96</v>
          </cell>
        </row>
        <row r="2249">
          <cell r="B2249" t="str">
            <v>С111-72-2</v>
          </cell>
          <cell r="C2249" t="str">
            <v>Праймер бітумний готовий до застосування
"Технониколь-1"</v>
          </cell>
          <cell r="D2249" t="str">
            <v>т</v>
          </cell>
          <cell r="E2249">
            <v>6.5880000000000001E-3</v>
          </cell>
          <cell r="F2249">
            <v>78784.53</v>
          </cell>
          <cell r="G2249">
            <v>519.03</v>
          </cell>
        </row>
        <row r="2250">
          <cell r="B2250" t="str">
            <v>С111-213-2</v>
          </cell>
          <cell r="C2250" t="str">
            <v>Морозостійкий герметик бітумний
покрівельний ROOF TM "DAP" (бал.300мл)</v>
          </cell>
          <cell r="D2250" t="str">
            <v>шт</v>
          </cell>
          <cell r="E2250">
            <v>2</v>
          </cell>
          <cell r="F2250">
            <v>114.85</v>
          </cell>
          <cell r="G2250">
            <v>229.7</v>
          </cell>
        </row>
        <row r="2251">
          <cell r="B2251" t="str">
            <v>С111-859</v>
          </cell>
          <cell r="C2251" t="str">
            <v>Рубероид наплавляемый " Біполь" ЕКП 4,0</v>
          </cell>
          <cell r="D2251" t="str">
            <v>м2</v>
          </cell>
          <cell r="E2251">
            <v>9.0280000000000005</v>
          </cell>
          <cell r="F2251">
            <v>98.38</v>
          </cell>
          <cell r="G2251">
            <v>888.17</v>
          </cell>
        </row>
        <row r="2252">
          <cell r="B2252" t="str">
            <v>С111-857</v>
          </cell>
          <cell r="C2252" t="str">
            <v>Руберойд пiдкладний Біполь ЕПП 3,0</v>
          </cell>
          <cell r="D2252" t="str">
            <v>м2</v>
          </cell>
          <cell r="E2252">
            <v>9.0280000000000005</v>
          </cell>
          <cell r="F2252">
            <v>91.93</v>
          </cell>
          <cell r="G2252">
            <v>829.94</v>
          </cell>
        </row>
        <row r="2253">
          <cell r="B2253" t="str">
            <v>Е12-1-7</v>
          </cell>
          <cell r="C2253" t="str">
            <v>Улаштування додаткового шару
покрiвельних рулонних наплавлюваних
матерiалiв</v>
          </cell>
          <cell r="D2253" t="str">
            <v>100м2</v>
          </cell>
          <cell r="E2253">
            <v>7.3200000000000001E-2</v>
          </cell>
          <cell r="F2253">
            <v>1335.2</v>
          </cell>
          <cell r="G2253">
            <v>97.74</v>
          </cell>
        </row>
        <row r="2254">
          <cell r="B2254" t="str">
            <v>С111-857</v>
          </cell>
          <cell r="C2254" t="str">
            <v>Руберойд пiдкладний Біполь ЕПП 3,0</v>
          </cell>
          <cell r="D2254" t="str">
            <v>м2</v>
          </cell>
          <cell r="E2254">
            <v>8.4179999999999993</v>
          </cell>
          <cell r="F2254">
            <v>91.93</v>
          </cell>
          <cell r="G2254">
            <v>773.87</v>
          </cell>
        </row>
        <row r="2255">
          <cell r="B2255" t="str">
            <v>С114-4-У-1</v>
          </cell>
          <cell r="C2255" t="str">
            <v>Плити "TERMOLIFE" тип "ТЛ КРОВЛЯ Н"
товщ. 100мм</v>
          </cell>
          <cell r="D2255" t="str">
            <v>м3</v>
          </cell>
          <cell r="E2255">
            <v>0.122</v>
          </cell>
          <cell r="F2255">
            <v>2216.4299999999998</v>
          </cell>
          <cell r="G2255">
            <v>270.39999999999998</v>
          </cell>
        </row>
        <row r="2256">
          <cell r="B2256" t="str">
            <v>С111-1797</v>
          </cell>
          <cell r="C2256" t="str">
            <v>Сталь листова оцинкована, товщина листа
0,5 мм</v>
          </cell>
          <cell r="D2256" t="str">
            <v>т</v>
          </cell>
          <cell r="E2256">
            <v>2.8730000000000002E-2</v>
          </cell>
          <cell r="F2256">
            <v>90811.51</v>
          </cell>
          <cell r="G2256">
            <v>2609.0100000000002</v>
          </cell>
        </row>
        <row r="2257">
          <cell r="B2257" t="str">
            <v>С1545-42-1-М</v>
          </cell>
          <cell r="C2257" t="str">
            <v>Дюбель 6х60</v>
          </cell>
          <cell r="D2257" t="str">
            <v>шт</v>
          </cell>
          <cell r="E2257">
            <v>124</v>
          </cell>
          <cell r="F2257">
            <v>0.65</v>
          </cell>
          <cell r="G2257">
            <v>80.599999999999994</v>
          </cell>
        </row>
        <row r="2258">
          <cell r="B2258" t="str">
            <v>Е12-9-1</v>
          </cell>
          <cell r="C2258" t="str">
            <v>Улаштування деформацiйних швiв</v>
          </cell>
          <cell r="D2258" t="str">
            <v>100м</v>
          </cell>
          <cell r="E2258">
            <v>0.122</v>
          </cell>
          <cell r="F2258">
            <v>65904.02</v>
          </cell>
          <cell r="G2258">
            <v>8040.29</v>
          </cell>
        </row>
        <row r="2259">
          <cell r="B2259" t="str">
            <v>С114-4-У-2</v>
          </cell>
          <cell r="C2259" t="str">
            <v>Плити "TERMOLIFE" тип "ТЛ КРОВЛЯ В"
товщ. 50мм</v>
          </cell>
          <cell r="D2259" t="str">
            <v>м3</v>
          </cell>
          <cell r="E2259">
            <v>3.09</v>
          </cell>
          <cell r="F2259">
            <v>1770.54</v>
          </cell>
          <cell r="G2259">
            <v>5470.97</v>
          </cell>
        </row>
        <row r="2260">
          <cell r="B2260" t="str">
            <v>Е12-22-1</v>
          </cell>
          <cell r="C2260" t="str">
            <v>Улаштування вирiвнюючих стяжок
цементно-пiщаних товщиною 15 мм iз
розчину для мурування важкого
цементного, марки М 50</v>
          </cell>
          <cell r="D2260" t="str">
            <v>100м2</v>
          </cell>
          <cell r="E2260">
            <v>6.0999999999999999E-2</v>
          </cell>
          <cell r="F2260">
            <v>6803.96</v>
          </cell>
          <cell r="G2260">
            <v>415.04</v>
          </cell>
        </row>
        <row r="2261">
          <cell r="B2261" t="str">
            <v>Е12-15-1</v>
          </cell>
          <cell r="C2261" t="str">
            <v>Улаштування дрiбних покриттiв
[брандмауери, парапети, звiси i т.п.] iз
листової оцинкованої сталi</v>
          </cell>
          <cell r="D2261" t="str">
            <v>100м2</v>
          </cell>
          <cell r="E2261">
            <v>0.10004</v>
          </cell>
          <cell r="F2261">
            <v>9130</v>
          </cell>
          <cell r="G2261">
            <v>913.37</v>
          </cell>
        </row>
        <row r="2262">
          <cell r="B2262" t="str">
            <v>С111-1797</v>
          </cell>
          <cell r="C2262" t="str">
            <v>Сталь листова оцинкована, товщина листа
0,5 мм</v>
          </cell>
          <cell r="D2262" t="str">
            <v>т</v>
          </cell>
          <cell r="E2262">
            <v>3.9300000000000002E-2</v>
          </cell>
          <cell r="F2262">
            <v>90811.51</v>
          </cell>
          <cell r="G2262">
            <v>3568.89</v>
          </cell>
        </row>
        <row r="2263">
          <cell r="B2263" t="str">
            <v>РН8-45-1</v>
          </cell>
          <cell r="C2263" t="str">
            <v>Улаштування примикань висотою 400 мм
з рулонних покрiвельних матерiалiв до
цегляних стiн i парапетiв iз
застосуванням газопламеневих пальникiв,
з улаштуванням фартуха з оцинкованої
сталi</v>
          </cell>
          <cell r="D2263" t="str">
            <v>100 м</v>
          </cell>
          <cell r="E2263">
            <v>0.255</v>
          </cell>
          <cell r="F2263">
            <v>8021.02</v>
          </cell>
          <cell r="G2263">
            <v>2045.36</v>
          </cell>
        </row>
        <row r="2264">
          <cell r="B2264" t="str">
            <v>С111-72-2</v>
          </cell>
          <cell r="C2264" t="str">
            <v>Праймер бітумний готовий до застосування
"Технониколь-1"</v>
          </cell>
          <cell r="D2264" t="str">
            <v>т</v>
          </cell>
          <cell r="E2264">
            <v>1.0964999999999999E-2</v>
          </cell>
          <cell r="F2264">
            <v>78784.53</v>
          </cell>
          <cell r="G2264">
            <v>863.87</v>
          </cell>
        </row>
        <row r="2265">
          <cell r="B2265" t="str">
            <v>С111-213-2</v>
          </cell>
          <cell r="C2265" t="str">
            <v>Морозостійкий герметик бітумний
покрівельний ROOF TM "DAP" (бал.300мл)</v>
          </cell>
          <cell r="D2265" t="str">
            <v>шт</v>
          </cell>
          <cell r="E2265">
            <v>2</v>
          </cell>
          <cell r="F2265">
            <v>114.85</v>
          </cell>
          <cell r="G2265">
            <v>229.7</v>
          </cell>
        </row>
        <row r="2266">
          <cell r="B2266" t="str">
            <v>С111-859</v>
          </cell>
          <cell r="C2266" t="str">
            <v>Рубероид наплавляемый " Біполь" ЕКП 4,0</v>
          </cell>
          <cell r="D2266" t="str">
            <v>м2</v>
          </cell>
          <cell r="E2266">
            <v>15.045</v>
          </cell>
          <cell r="F2266">
            <v>98.38</v>
          </cell>
          <cell r="G2266">
            <v>1480.13</v>
          </cell>
        </row>
        <row r="2267">
          <cell r="B2267" t="str">
            <v>С111-857</v>
          </cell>
          <cell r="C2267" t="str">
            <v>Руберойд пiдкладний Біполь ЕПП 3,0</v>
          </cell>
          <cell r="D2267" t="str">
            <v>м2</v>
          </cell>
          <cell r="E2267">
            <v>15.045</v>
          </cell>
          <cell r="F2267">
            <v>91.93</v>
          </cell>
          <cell r="G2267">
            <v>1383.09</v>
          </cell>
        </row>
        <row r="2268">
          <cell r="B2268" t="str">
            <v>Е12-1-7</v>
          </cell>
          <cell r="C2268" t="str">
            <v>Улаштування додаткового шару
покрiвельних рулонних наплавлюваних
матерiалiв</v>
          </cell>
          <cell r="D2268" t="str">
            <v>100м2</v>
          </cell>
          <cell r="E2268">
            <v>0.26775000000000004</v>
          </cell>
          <cell r="F2268">
            <v>1335.2</v>
          </cell>
          <cell r="G2268">
            <v>357.5</v>
          </cell>
        </row>
        <row r="2269">
          <cell r="B2269" t="str">
            <v>С111-857</v>
          </cell>
          <cell r="C2269" t="str">
            <v>Руберойд пiдкладний Біполь ЕПП 3,0</v>
          </cell>
          <cell r="D2269" t="str">
            <v>м2</v>
          </cell>
          <cell r="E2269">
            <v>30.791250000000002</v>
          </cell>
          <cell r="F2269">
            <v>91.93</v>
          </cell>
          <cell r="G2269">
            <v>2830.64</v>
          </cell>
        </row>
        <row r="2270">
          <cell r="B2270" t="str">
            <v>С114-4-У-1</v>
          </cell>
          <cell r="C2270" t="str">
            <v>Плити "TERMOLIFE" тип "ТЛ КРОВЛЯ Н"
товщ. 100мм</v>
          </cell>
          <cell r="D2270" t="str">
            <v>м3</v>
          </cell>
          <cell r="E2270">
            <v>0.1275</v>
          </cell>
          <cell r="F2270">
            <v>2216.4299999999998</v>
          </cell>
          <cell r="G2270">
            <v>282.58999999999997</v>
          </cell>
        </row>
        <row r="2271">
          <cell r="B2271" t="str">
            <v>С111-1797</v>
          </cell>
          <cell r="C2271" t="str">
            <v>Сталь листова оцинкована, товщина листа
0,5 мм</v>
          </cell>
          <cell r="D2271" t="str">
            <v>т</v>
          </cell>
          <cell r="E2271">
            <v>3.3030000000000004E-2</v>
          </cell>
          <cell r="F2271">
            <v>90811.51</v>
          </cell>
          <cell r="G2271">
            <v>2999.5</v>
          </cell>
        </row>
        <row r="2272">
          <cell r="B2272" t="str">
            <v>С1545-42-1-М</v>
          </cell>
          <cell r="C2272" t="str">
            <v>Дюбель 6х60</v>
          </cell>
          <cell r="D2272" t="str">
            <v>шт</v>
          </cell>
          <cell r="E2272">
            <v>128</v>
          </cell>
          <cell r="F2272">
            <v>0.65</v>
          </cell>
          <cell r="G2272">
            <v>83.2</v>
          </cell>
        </row>
        <row r="2273">
          <cell r="B2273" t="str">
            <v>Е12-15-1</v>
          </cell>
          <cell r="C2273" t="str">
            <v>Улаштування дрiбних покриттiв
[брандмауери, парапети, звiси i т.п.] iз
листової оцинкованої сталi</v>
          </cell>
          <cell r="D2273" t="str">
            <v>100м2</v>
          </cell>
          <cell r="E2273">
            <v>0.10004</v>
          </cell>
          <cell r="F2273">
            <v>9130</v>
          </cell>
          <cell r="G2273">
            <v>913.37</v>
          </cell>
        </row>
        <row r="2274">
          <cell r="B2274" t="str">
            <v>С111-1797</v>
          </cell>
          <cell r="C2274" t="str">
            <v>Сталь листова оцинкована, товщина листа
0,5 мм</v>
          </cell>
          <cell r="D2274" t="str">
            <v>т</v>
          </cell>
          <cell r="E2274">
            <v>7.010000000000001E-2</v>
          </cell>
          <cell r="F2274">
            <v>90811.51</v>
          </cell>
          <cell r="G2274">
            <v>6365.89</v>
          </cell>
        </row>
        <row r="2275">
          <cell r="B2275" t="str">
            <v>С111-1853-6</v>
          </cell>
          <cell r="C2275" t="str">
            <v>Цвяхи покрівельні 3,5х40 мм</v>
          </cell>
          <cell r="D2275" t="str">
            <v>т</v>
          </cell>
          <cell r="E2275" t="str">
            <v>0,
00020826</v>
          </cell>
          <cell r="F2275">
            <v>44492.07</v>
          </cell>
          <cell r="G2275">
            <v>9.27</v>
          </cell>
        </row>
        <row r="2276">
          <cell r="B2276" t="str">
            <v>С111-1816-2</v>
          </cell>
          <cell r="C2276" t="str">
            <v>Металевий костиль</v>
          </cell>
          <cell r="D2276" t="str">
            <v>шт</v>
          </cell>
          <cell r="E2276">
            <v>39</v>
          </cell>
          <cell r="F2276">
            <v>42.89</v>
          </cell>
          <cell r="G2276">
            <v>1672.71</v>
          </cell>
        </row>
        <row r="2277">
          <cell r="B2277" t="str">
            <v>РН8-41-2</v>
          </cell>
          <cell r="C2277" t="str">
            <v>Навiшування водостiчних труб, колiн,
вiдливiв i лiйок з готових елементiв
(Навiшування жолобiв )</v>
          </cell>
          <cell r="D2277" t="str">
            <v>100м</v>
          </cell>
          <cell r="E2277">
            <v>0.36</v>
          </cell>
          <cell r="F2277">
            <v>4197.5600000000004</v>
          </cell>
          <cell r="G2277">
            <v>1511.12</v>
          </cell>
        </row>
        <row r="2278">
          <cell r="B2278" t="str">
            <v>РН8-41-2</v>
          </cell>
          <cell r="C2278" t="str">
            <v>Навiшування водостiчних труб, колiн,
вiдливiв i лiйок з готових елементiв</v>
          </cell>
          <cell r="D2278" t="str">
            <v>100м</v>
          </cell>
          <cell r="E2278">
            <v>0.16</v>
          </cell>
          <cell r="F2278">
            <v>4197.5600000000004</v>
          </cell>
          <cell r="G2278">
            <v>671.61</v>
          </cell>
        </row>
        <row r="2279">
          <cell r="B2279" t="str">
            <v>С130-1156-1Н</v>
          </cell>
          <cell r="C2279" t="str">
            <v>Ринва-150 L=4000 мм</v>
          </cell>
          <cell r="D2279" t="str">
            <v>шт</v>
          </cell>
          <cell r="E2279">
            <v>9</v>
          </cell>
          <cell r="F2279">
            <v>1023.34</v>
          </cell>
          <cell r="G2279">
            <v>9210.06</v>
          </cell>
        </row>
        <row r="2280">
          <cell r="B2280" t="str">
            <v>С130-1156-2Н</v>
          </cell>
          <cell r="C2280" t="str">
            <v>Гак комбінований для ринви-150</v>
          </cell>
          <cell r="D2280" t="str">
            <v>шт</v>
          </cell>
          <cell r="E2280">
            <v>61</v>
          </cell>
          <cell r="F2280">
            <v>118.96</v>
          </cell>
          <cell r="G2280">
            <v>7256.56</v>
          </cell>
        </row>
        <row r="2281">
          <cell r="B2281" t="str">
            <v>С130-1156-3Н</v>
          </cell>
          <cell r="C2281" t="str">
            <v>З'єднувач ринви-150</v>
          </cell>
          <cell r="D2281" t="str">
            <v>шт</v>
          </cell>
          <cell r="E2281">
            <v>10</v>
          </cell>
          <cell r="F2281">
            <v>168.29</v>
          </cell>
          <cell r="G2281">
            <v>1682.9</v>
          </cell>
        </row>
        <row r="2282">
          <cell r="B2282" t="str">
            <v>С130-1156-4Н</v>
          </cell>
          <cell r="C2282" t="str">
            <v>Злив 60_-150</v>
          </cell>
          <cell r="D2282" t="str">
            <v>шт</v>
          </cell>
          <cell r="E2282">
            <v>2</v>
          </cell>
          <cell r="F2282">
            <v>319.33</v>
          </cell>
          <cell r="G2282">
            <v>638.66</v>
          </cell>
        </row>
        <row r="2283">
          <cell r="B2283" t="str">
            <v>С130-1156-5Н</v>
          </cell>
          <cell r="C2283" t="str">
            <v>Коліно 60_-150</v>
          </cell>
          <cell r="D2283" t="str">
            <v>шт</v>
          </cell>
          <cell r="E2283">
            <v>4</v>
          </cell>
          <cell r="F2283">
            <v>319.33</v>
          </cell>
          <cell r="G2283">
            <v>1277.32</v>
          </cell>
        </row>
        <row r="2284">
          <cell r="B2284" t="str">
            <v>С130-1156-6Н</v>
          </cell>
          <cell r="C2284" t="str">
            <v>Лійка 150/100</v>
          </cell>
          <cell r="D2284" t="str">
            <v>шт</v>
          </cell>
          <cell r="E2284">
            <v>2</v>
          </cell>
          <cell r="F2284">
            <v>321.63</v>
          </cell>
          <cell r="G2284">
            <v>643.26</v>
          </cell>
        </row>
        <row r="2285">
          <cell r="B2285" t="str">
            <v>С130-1156-7Н</v>
          </cell>
          <cell r="C2285" t="str">
            <v>Обійма труби-150</v>
          </cell>
          <cell r="D2285" t="str">
            <v>шт</v>
          </cell>
          <cell r="E2285">
            <v>18</v>
          </cell>
          <cell r="F2285">
            <v>122.39</v>
          </cell>
          <cell r="G2285">
            <v>2203.02</v>
          </cell>
        </row>
        <row r="2286">
          <cell r="B2286" t="str">
            <v>С130-1156-8Н</v>
          </cell>
          <cell r="C2286" t="str">
            <v>Кріплення обійми L=200 мм</v>
          </cell>
          <cell r="D2286" t="str">
            <v>шт</v>
          </cell>
          <cell r="E2286">
            <v>18</v>
          </cell>
          <cell r="F2286">
            <v>586.01</v>
          </cell>
          <cell r="G2286">
            <v>10548.18</v>
          </cell>
        </row>
        <row r="2287">
          <cell r="B2287" t="str">
            <v>С130-1156-9Н</v>
          </cell>
          <cell r="C2287" t="str">
            <v>Труба зливна-100 L=4000 мм</v>
          </cell>
          <cell r="D2287" t="str">
            <v>шт</v>
          </cell>
          <cell r="E2287">
            <v>4</v>
          </cell>
          <cell r="F2287">
            <v>1205.8499999999999</v>
          </cell>
          <cell r="G2287">
            <v>4823.3999999999996</v>
          </cell>
        </row>
        <row r="2288">
          <cell r="B2288" t="str">
            <v>С130-1156-10Н</v>
          </cell>
          <cell r="C2288" t="str">
            <v>З'єднувач труби-100 L=500 мм</v>
          </cell>
          <cell r="D2288" t="str">
            <v>шт</v>
          </cell>
          <cell r="E2288">
            <v>2</v>
          </cell>
          <cell r="F2288">
            <v>190.47</v>
          </cell>
          <cell r="G2288">
            <v>380.94</v>
          </cell>
        </row>
        <row r="2289">
          <cell r="B2289" t="str">
            <v>ЕН10-94-4</v>
          </cell>
          <cell r="C2289" t="str">
            <v>Улаштування перегородок на металевому
однорядному каркасі з обшивкою
гіпсокартонними листами або
гіпсоволокнистими плитами у два шари з
ізоляцією у житлових і громадських
будівлях</v>
          </cell>
          <cell r="D2289" t="str">
            <v>100м2</v>
          </cell>
          <cell r="E2289">
            <v>2.3E-2</v>
          </cell>
          <cell r="F2289">
            <v>30304.69</v>
          </cell>
          <cell r="G2289">
            <v>697.01</v>
          </cell>
        </row>
        <row r="2290">
          <cell r="B2290" t="str">
            <v>С126-1300-1</v>
          </cell>
          <cell r="C2290" t="str">
            <v>Профілі для гіпсокартону стійкові CW75</v>
          </cell>
          <cell r="D2290" t="str">
            <v>м</v>
          </cell>
          <cell r="E2290">
            <v>5.5430000000000001</v>
          </cell>
          <cell r="F2290">
            <v>35.799999999999997</v>
          </cell>
          <cell r="G2290">
            <v>198.44</v>
          </cell>
        </row>
        <row r="2291">
          <cell r="B2291" t="str">
            <v>С126-1300-2</v>
          </cell>
          <cell r="C2291" t="str">
            <v>Профілі для гіпсокартону направляючі UW75</v>
          </cell>
          <cell r="D2291" t="str">
            <v>м</v>
          </cell>
          <cell r="E2291">
            <v>1.909</v>
          </cell>
          <cell r="F2291">
            <v>31.04</v>
          </cell>
          <cell r="G2291">
            <v>59.26</v>
          </cell>
        </row>
        <row r="2292">
          <cell r="B2292" t="str">
            <v>С114-4-У-3</v>
          </cell>
          <cell r="C2292" t="str">
            <v>Плити тип "ТЛ Еко Лайт" товщ. 50мм
"TERMOLIFE"</v>
          </cell>
          <cell r="D2292" t="str">
            <v>м3</v>
          </cell>
          <cell r="E2292">
            <v>0.11845000000000001</v>
          </cell>
          <cell r="F2292">
            <v>796.61</v>
          </cell>
          <cell r="G2292">
            <v>94.36</v>
          </cell>
        </row>
        <row r="2293">
          <cell r="B2293" t="str">
            <v>С111-741</v>
          </cell>
          <cell r="C2293" t="str">
            <v>Плита Titan ф.Кнауф</v>
          </cell>
          <cell r="D2293" t="str">
            <v>м2</v>
          </cell>
          <cell r="E2293">
            <v>2388.54</v>
          </cell>
          <cell r="F2293">
            <v>130.41999999999999</v>
          </cell>
          <cell r="G2293">
            <v>311513.39</v>
          </cell>
        </row>
        <row r="2294">
          <cell r="B2294" t="str">
            <v>С111-1683-2-Н</v>
          </cell>
          <cell r="C2294" t="str">
            <v>Стрічка армуюча Kurt ф.Кнауф</v>
          </cell>
          <cell r="D2294" t="str">
            <v>м</v>
          </cell>
          <cell r="E2294">
            <v>7.82</v>
          </cell>
          <cell r="F2294">
            <v>8.5</v>
          </cell>
          <cell r="G2294">
            <v>66.47</v>
          </cell>
        </row>
        <row r="2295">
          <cell r="B2295" t="str">
            <v>С111-1683-2-Н</v>
          </cell>
          <cell r="C2295" t="str">
            <v>Стрічка ущільнювальна</v>
          </cell>
          <cell r="D2295" t="str">
            <v>м</v>
          </cell>
          <cell r="E2295">
            <v>4.5999999999999996</v>
          </cell>
          <cell r="F2295">
            <v>4.78</v>
          </cell>
          <cell r="G2295">
            <v>21.99</v>
          </cell>
        </row>
        <row r="2296">
          <cell r="B2296" t="str">
            <v>С111-1683-2-Н</v>
          </cell>
          <cell r="C2296" t="str">
            <v>Звукоізоляційна смуга з пінополіуретану</v>
          </cell>
          <cell r="D2296" t="str">
            <v>м</v>
          </cell>
          <cell r="E2296">
            <v>3.3119999999999998</v>
          </cell>
          <cell r="F2296">
            <v>4.05</v>
          </cell>
          <cell r="G2296">
            <v>13.41</v>
          </cell>
        </row>
        <row r="2297">
          <cell r="B2297" t="str">
            <v>С111-1849-1-О</v>
          </cell>
          <cell r="C2297" t="str">
            <v>Дюбель 6/42</v>
          </cell>
          <cell r="D2297" t="str">
            <v>шт</v>
          </cell>
          <cell r="E2297">
            <v>6</v>
          </cell>
          <cell r="F2297">
            <v>0.71</v>
          </cell>
          <cell r="G2297">
            <v>4.26</v>
          </cell>
        </row>
        <row r="2298">
          <cell r="B2298" t="str">
            <v>С111-1480-1</v>
          </cell>
          <cell r="C2298" t="str">
            <v>Шуруп ХТN 3,9х35мм</v>
          </cell>
          <cell r="D2298" t="str">
            <v>шт</v>
          </cell>
          <cell r="E2298">
            <v>118</v>
          </cell>
          <cell r="F2298">
            <v>0.71</v>
          </cell>
          <cell r="G2298">
            <v>83.78</v>
          </cell>
        </row>
        <row r="2299">
          <cell r="B2299" t="str">
            <v>С111-1480-2</v>
          </cell>
          <cell r="C2299" t="str">
            <v>Шуруп ХТN 3,9х23мм</v>
          </cell>
          <cell r="D2299" t="str">
            <v>шт</v>
          </cell>
          <cell r="E2299">
            <v>14</v>
          </cell>
          <cell r="F2299">
            <v>0.51</v>
          </cell>
          <cell r="G2299">
            <v>7.14</v>
          </cell>
        </row>
        <row r="2300">
          <cell r="B2300" t="str">
            <v>С111-1896-11</v>
          </cell>
          <cell r="C2300" t="str">
            <v>Шпатлівка Фугенфюллер</v>
          </cell>
          <cell r="D2300" t="str">
            <v>кг</v>
          </cell>
          <cell r="E2300">
            <v>2.5070000000000001</v>
          </cell>
          <cell r="F2300">
            <v>7.89</v>
          </cell>
          <cell r="G2300">
            <v>19.78</v>
          </cell>
        </row>
        <row r="2301">
          <cell r="B2301" t="str">
            <v>ЕН10-20-4</v>
          </cell>
          <cell r="C2301" t="str">
            <v>Улаштування перегородок з
металопластику з матовим склінням</v>
          </cell>
          <cell r="D2301" t="str">
            <v>100м2</v>
          </cell>
          <cell r="E2301">
            <v>0.107</v>
          </cell>
          <cell r="F2301">
            <v>6968.62</v>
          </cell>
          <cell r="G2301">
            <v>745.64</v>
          </cell>
        </row>
        <row r="2302">
          <cell r="B2302" t="str">
            <v>С126-1144-1Н</v>
          </cell>
          <cell r="C2302" t="str">
            <v>Перегородка з металопластику з матовим
склінням (комплектне постачання)</v>
          </cell>
          <cell r="D2302" t="str">
            <v>м2</v>
          </cell>
          <cell r="E2302">
            <v>10.7</v>
          </cell>
          <cell r="F2302">
            <v>2264.25</v>
          </cell>
          <cell r="G2302">
            <v>24227.48</v>
          </cell>
        </row>
        <row r="2303">
          <cell r="B2303" t="str">
            <v>ЕН11-9-1</v>
          </cell>
          <cell r="C2303" t="str">
            <v>Улаштування тепло- i звукоiзоляцiї
суцiльної з плит або мат мiнераловатних
або скловолокнистих</v>
          </cell>
          <cell r="D2303" t="str">
            <v>100м2</v>
          </cell>
          <cell r="E2303">
            <v>0.02</v>
          </cell>
          <cell r="F2303">
            <v>2341.25</v>
          </cell>
          <cell r="G2303">
            <v>46.83</v>
          </cell>
        </row>
        <row r="2304">
          <cell r="B2304" t="str">
            <v>С114-97-Н</v>
          </cell>
          <cell r="C2304" t="str">
            <v>Плити теплоiзоляцiйнi з екструзійного
пінополістиролу "XPS CARBON PROF 300
RF" "ТехноНІКОЛЬ" б=80мм</v>
          </cell>
          <cell r="D2304" t="str">
            <v>м3</v>
          </cell>
          <cell r="E2304">
            <v>0.1648</v>
          </cell>
          <cell r="F2304">
            <v>2822.31</v>
          </cell>
          <cell r="G2304">
            <v>465.12</v>
          </cell>
        </row>
        <row r="2305">
          <cell r="B2305" t="str">
            <v>Е12-20-3</v>
          </cell>
          <cell r="C2305" t="str">
            <v>Улаштування пароiзоляцiї прокладної в
один шар</v>
          </cell>
          <cell r="D2305" t="str">
            <v>100м2</v>
          </cell>
          <cell r="E2305">
            <v>0.02</v>
          </cell>
          <cell r="F2305">
            <v>803.18</v>
          </cell>
          <cell r="G2305">
            <v>16.059999999999999</v>
          </cell>
        </row>
        <row r="2306">
          <cell r="B2306" t="str">
            <v>С111-1720</v>
          </cell>
          <cell r="C2306" t="str">
            <v>Плiвка полiетиленова</v>
          </cell>
          <cell r="D2306" t="str">
            <v>м2</v>
          </cell>
          <cell r="E2306">
            <v>2.2000000000000002</v>
          </cell>
          <cell r="F2306">
            <v>8.5299999999999994</v>
          </cell>
          <cell r="G2306">
            <v>18.77</v>
          </cell>
        </row>
        <row r="2307">
          <cell r="B2307" t="str">
            <v>ЕН11-11-5</v>
          </cell>
          <cell r="C2307" t="str">
            <v>Улаштування стяжок бетонних
товщиною 20 мм</v>
          </cell>
          <cell r="D2307" t="str">
            <v>100м2</v>
          </cell>
          <cell r="E2307">
            <v>0.02</v>
          </cell>
          <cell r="F2307">
            <v>7791.82</v>
          </cell>
          <cell r="G2307">
            <v>155.84</v>
          </cell>
        </row>
        <row r="2308">
          <cell r="B2308" t="str">
            <v>ЕН11-11-6к=7</v>
          </cell>
          <cell r="C2308" t="str">
            <v>Додавати або виключати на кожнi 5 мм
змiни товщини бетонних стяжок</v>
          </cell>
          <cell r="D2308" t="str">
            <v>100м2</v>
          </cell>
          <cell r="E2308">
            <v>0.02</v>
          </cell>
          <cell r="F2308">
            <v>7341.66</v>
          </cell>
          <cell r="G2308">
            <v>146.83000000000001</v>
          </cell>
        </row>
        <row r="2309">
          <cell r="B2309" t="str">
            <v>ЕН11-29-2</v>
          </cell>
          <cell r="C2309" t="str">
            <v>Улаштування покриттів з керамічних
плиток на розчині із сухої клеючої суміші,
кількість плиток в 1 м2 понад 7 до 12 шт</v>
          </cell>
          <cell r="D2309" t="str">
            <v>100м2</v>
          </cell>
          <cell r="E2309">
            <v>0.02</v>
          </cell>
          <cell r="F2309">
            <v>12574.21</v>
          </cell>
          <cell r="G2309">
            <v>251.48</v>
          </cell>
        </row>
        <row r="2310">
          <cell r="B2310" t="str">
            <v>С111-2014-6</v>
          </cell>
          <cell r="C2310" t="str">
            <v>Грунтовка глибокопроникна Ceresit CT 17</v>
          </cell>
          <cell r="D2310" t="str">
            <v>л</v>
          </cell>
          <cell r="E2310">
            <v>0.4</v>
          </cell>
          <cell r="F2310">
            <v>41.77</v>
          </cell>
          <cell r="G2310">
            <v>16.71</v>
          </cell>
        </row>
        <row r="2311">
          <cell r="B2311" t="str">
            <v>С111-2000-1</v>
          </cell>
          <cell r="C2311" t="str">
            <v>Клеюча сумiш для керамiчної плитки Ceresit
СМ 11</v>
          </cell>
          <cell r="D2311" t="str">
            <v>кг</v>
          </cell>
          <cell r="E2311">
            <v>10.4</v>
          </cell>
          <cell r="F2311">
            <v>14.23</v>
          </cell>
          <cell r="G2311">
            <v>147.99</v>
          </cell>
        </row>
        <row r="2312">
          <cell r="B2312" t="str">
            <v>С111-287</v>
          </cell>
          <cell r="C2312" t="str">
            <v>Плитки керамогранітні 1-го сорту рядові для
пiдлог НГЛ-8,5 мм, розмiр 300х300
(298х298х8,5)</v>
          </cell>
          <cell r="D2312" t="str">
            <v>м2</v>
          </cell>
          <cell r="E2312">
            <v>2.04</v>
          </cell>
          <cell r="F2312">
            <v>229.71</v>
          </cell>
          <cell r="G2312">
            <v>468.61</v>
          </cell>
        </row>
        <row r="2313">
          <cell r="B2313" t="str">
            <v>С113-2088-1-2М</v>
          </cell>
          <cell r="C2313" t="str">
            <v>Хрестики для плитки</v>
          </cell>
          <cell r="D2313" t="str">
            <v>100шт</v>
          </cell>
          <cell r="E2313">
            <v>0.14000000000000001</v>
          </cell>
          <cell r="F2313">
            <v>9.5399999999999991</v>
          </cell>
          <cell r="G2313">
            <v>1.34</v>
          </cell>
        </row>
        <row r="2314">
          <cell r="B2314" t="str">
            <v>С111-2001-2</v>
          </cell>
          <cell r="C2314" t="str">
            <v>Еластичний водостiйкий кольоровий шов до
5 мм Ceresit СЕ 40 aguastatic</v>
          </cell>
          <cell r="D2314" t="str">
            <v>кг</v>
          </cell>
          <cell r="E2314">
            <v>0.90800000000000003</v>
          </cell>
          <cell r="F2314">
            <v>90.89</v>
          </cell>
          <cell r="G2314">
            <v>82.53</v>
          </cell>
        </row>
        <row r="2315">
          <cell r="B2315" t="str">
            <v>Е12-21-1</v>
          </cell>
          <cell r="C2315" t="str">
            <v>Грунтування основ iз бетону або розчину</v>
          </cell>
          <cell r="D2315" t="str">
            <v>100м2</v>
          </cell>
          <cell r="E2315">
            <v>1.1257999999999999</v>
          </cell>
          <cell r="F2315">
            <v>497.41</v>
          </cell>
          <cell r="G2315">
            <v>559.98</v>
          </cell>
        </row>
        <row r="2316">
          <cell r="B2316" t="str">
            <v>С111-2014-6</v>
          </cell>
          <cell r="C2316" t="str">
            <v>Грунтовка глибокопроникна Ceresit CT 17</v>
          </cell>
          <cell r="D2316" t="str">
            <v>л</v>
          </cell>
          <cell r="E2316">
            <v>22.515999999999998</v>
          </cell>
          <cell r="F2316">
            <v>41.77</v>
          </cell>
          <cell r="G2316">
            <v>940.49</v>
          </cell>
        </row>
        <row r="2317">
          <cell r="B2317" t="str">
            <v>ЕН11-20-3</v>
          </cell>
          <cell r="C2317" t="str">
            <v>Улаштування покриття
двокомпонентного поліуретанового
товщиною 3 мм</v>
          </cell>
          <cell r="D2317" t="str">
            <v>100м2</v>
          </cell>
          <cell r="E2317">
            <v>1.1257999999999999</v>
          </cell>
          <cell r="F2317">
            <v>7375.27</v>
          </cell>
          <cell r="G2317">
            <v>8303.08</v>
          </cell>
        </row>
        <row r="2318">
          <cell r="B2318" t="str">
            <v>ЕН11-20-4к=7</v>
          </cell>
          <cell r="C2318" t="str">
            <v>Додавати або виключати на 1 мм змiни
товщини полiвiнiлацетатних покриттів
(Додавати до товщ.10 мм)</v>
          </cell>
          <cell r="D2318" t="str">
            <v>100м2</v>
          </cell>
          <cell r="E2318">
            <v>1.1257999999999999</v>
          </cell>
          <cell r="F2318">
            <v>9665.57</v>
          </cell>
          <cell r="G2318">
            <v>10881.5</v>
          </cell>
        </row>
        <row r="2319">
          <cell r="B2319" t="str">
            <v>С111-2005-2</v>
          </cell>
          <cell r="C2319" t="str">
            <v>Самовирiвнювальна сумiш 2-10 мм Ceresit
СN 72</v>
          </cell>
          <cell r="D2319" t="str">
            <v>кг</v>
          </cell>
          <cell r="E2319">
            <v>1801.28</v>
          </cell>
          <cell r="F2319">
            <v>38.270000000000003</v>
          </cell>
          <cell r="G2319">
            <v>68934.990000000005</v>
          </cell>
        </row>
        <row r="2320">
          <cell r="B2320" t="str">
            <v>С111-2008-1</v>
          </cell>
          <cell r="C2320" t="str">
            <v>Епоксидна грунтовка для бетонних i
залiзобетонних основ Ceresit СF 71</v>
          </cell>
          <cell r="D2320" t="str">
            <v>кг</v>
          </cell>
          <cell r="E2320">
            <v>33.774000000000001</v>
          </cell>
          <cell r="F2320">
            <v>712.22</v>
          </cell>
          <cell r="G2320">
            <v>24054.52</v>
          </cell>
        </row>
        <row r="2321">
          <cell r="B2321" t="str">
            <v>С111-2007-2</v>
          </cell>
          <cell r="C2321" t="str">
            <v>Полiуретанове покриття для пiдлог з
помiрним навантаженням Ceresit СF 72</v>
          </cell>
          <cell r="D2321" t="str">
            <v>кг</v>
          </cell>
          <cell r="E2321">
            <v>360.25599999999997</v>
          </cell>
          <cell r="F2321">
            <v>554.12</v>
          </cell>
          <cell r="G2321">
            <v>199625.05</v>
          </cell>
        </row>
        <row r="2322">
          <cell r="B2322" t="str">
            <v>Е12-21-1</v>
          </cell>
          <cell r="C2322" t="str">
            <v>Грунтування основ iз бетону або розчину</v>
          </cell>
          <cell r="D2322" t="str">
            <v>100м2</v>
          </cell>
          <cell r="E2322">
            <v>5.3</v>
          </cell>
          <cell r="F2322">
            <v>497.41</v>
          </cell>
          <cell r="G2322">
            <v>2636.27</v>
          </cell>
        </row>
        <row r="2323">
          <cell r="B2323" t="str">
            <v>С111-2014-6</v>
          </cell>
          <cell r="C2323" t="str">
            <v>Грунтовка глибокопроникна Ceresit CT 17</v>
          </cell>
          <cell r="D2323" t="str">
            <v>л</v>
          </cell>
          <cell r="E2323">
            <v>106</v>
          </cell>
          <cell r="F2323">
            <v>41.77</v>
          </cell>
          <cell r="G2323">
            <v>4427.62</v>
          </cell>
        </row>
        <row r="2324">
          <cell r="B2324" t="str">
            <v>ЕН11-20-3</v>
          </cell>
          <cell r="C2324" t="str">
            <v>Улаштування покриття
двокомпонентного поліуретанового
товщиною 3 мм</v>
          </cell>
          <cell r="D2324" t="str">
            <v>100м2</v>
          </cell>
          <cell r="E2324">
            <v>5.3</v>
          </cell>
          <cell r="F2324">
            <v>7375.27</v>
          </cell>
          <cell r="G2324">
            <v>39088.93</v>
          </cell>
        </row>
        <row r="2325">
          <cell r="B2325" t="str">
            <v>ЕН11-20-4к=5</v>
          </cell>
          <cell r="C2325" t="str">
            <v>Додавати або виключати на 1 мм змiни
товщини полiвiнiлацетатних покриттів
(Додавати до товщ.8 мм)</v>
          </cell>
          <cell r="D2325" t="str">
            <v>100м2</v>
          </cell>
          <cell r="E2325">
            <v>5.3</v>
          </cell>
          <cell r="F2325">
            <v>6903.98</v>
          </cell>
          <cell r="G2325">
            <v>36591.089999999997</v>
          </cell>
        </row>
        <row r="2326">
          <cell r="B2326" t="str">
            <v>С111-2005-2</v>
          </cell>
          <cell r="C2326" t="str">
            <v>Самовирiвнювальна сумiш 2-10 мм Ceresit
СN 72</v>
          </cell>
          <cell r="D2326" t="str">
            <v>кг</v>
          </cell>
          <cell r="E2326">
            <v>6360</v>
          </cell>
          <cell r="F2326">
            <v>38.270000000000003</v>
          </cell>
          <cell r="G2326">
            <v>243397.2</v>
          </cell>
        </row>
        <row r="2327">
          <cell r="B2327" t="str">
            <v>С111-2008-1</v>
          </cell>
          <cell r="C2327" t="str">
            <v>Епоксидна грунтовка для бетонних i
залiзобетонних основ Ceresit СF 71</v>
          </cell>
          <cell r="D2327" t="str">
            <v>кг</v>
          </cell>
          <cell r="E2327">
            <v>159</v>
          </cell>
          <cell r="F2327">
            <v>712.22</v>
          </cell>
          <cell r="G2327">
            <v>113242.98</v>
          </cell>
        </row>
        <row r="2328">
          <cell r="B2328" t="str">
            <v>С111-2007-2</v>
          </cell>
          <cell r="C2328" t="str">
            <v>Полiуретанове покриття для пiдлог з
помiрним навантаженням Ceresit СF 72</v>
          </cell>
          <cell r="D2328" t="str">
            <v>кг</v>
          </cell>
          <cell r="E2328">
            <v>1696</v>
          </cell>
          <cell r="F2328">
            <v>554.12</v>
          </cell>
          <cell r="G2328">
            <v>939787.52</v>
          </cell>
        </row>
        <row r="2329">
          <cell r="B2329" t="str">
            <v>Е12-21-1</v>
          </cell>
          <cell r="C2329" t="str">
            <v>Грунтування основ iз бетону або розчину</v>
          </cell>
          <cell r="D2329" t="str">
            <v>100м2</v>
          </cell>
          <cell r="E2329">
            <v>0.51980000000000004</v>
          </cell>
          <cell r="F2329">
            <v>497.41</v>
          </cell>
          <cell r="G2329">
            <v>258.55</v>
          </cell>
        </row>
        <row r="2330">
          <cell r="B2330" t="str">
            <v>С111-2014-6</v>
          </cell>
          <cell r="C2330" t="str">
            <v>Грунтовка глибокопроникна Ceresit CT 17</v>
          </cell>
          <cell r="D2330" t="str">
            <v>л</v>
          </cell>
          <cell r="E2330">
            <v>10.396000000000001</v>
          </cell>
          <cell r="F2330">
            <v>41.77</v>
          </cell>
          <cell r="G2330">
            <v>434.24</v>
          </cell>
        </row>
        <row r="2331">
          <cell r="B2331" t="str">
            <v>ЕН11-20-3</v>
          </cell>
          <cell r="C2331" t="str">
            <v>Улаштування покриття
двокомпонентного поліуретанового
товщиною 3 мм</v>
          </cell>
          <cell r="D2331" t="str">
            <v>100м2</v>
          </cell>
          <cell r="E2331">
            <v>0.51980000000000004</v>
          </cell>
          <cell r="F2331">
            <v>7375.27</v>
          </cell>
          <cell r="G2331">
            <v>3833.67</v>
          </cell>
        </row>
        <row r="2332">
          <cell r="B2332" t="str">
            <v>ЕН11-20-4к=7</v>
          </cell>
          <cell r="C2332" t="str">
            <v>Додавати або виключати на 1 мм змiни
товщини полiвiнiлацетатних покриттів
(Додавати до товщ.10 мм)</v>
          </cell>
          <cell r="D2332" t="str">
            <v>100м2</v>
          </cell>
          <cell r="E2332">
            <v>0.51980000000000004</v>
          </cell>
          <cell r="F2332">
            <v>9665.57</v>
          </cell>
          <cell r="G2332">
            <v>5024.16</v>
          </cell>
        </row>
        <row r="2333">
          <cell r="B2333" t="str">
            <v>С111-2005-2</v>
          </cell>
          <cell r="C2333" t="str">
            <v>Самовирiвнювальна сумiш 2-10 мм Ceresit
СN 72</v>
          </cell>
          <cell r="D2333" t="str">
            <v>кг</v>
          </cell>
          <cell r="E2333">
            <v>831.68</v>
          </cell>
          <cell r="F2333">
            <v>38.270000000000003</v>
          </cell>
          <cell r="G2333">
            <v>31828.39</v>
          </cell>
        </row>
        <row r="2334">
          <cell r="B2334" t="str">
            <v>С111-2008-1</v>
          </cell>
          <cell r="C2334" t="str">
            <v>Епоксидна грунтовка для бетонних i
залiзобетонних основ Ceresit СF 71</v>
          </cell>
          <cell r="D2334" t="str">
            <v>кг</v>
          </cell>
          <cell r="E2334">
            <v>15.593999999999999</v>
          </cell>
          <cell r="F2334">
            <v>712.22</v>
          </cell>
          <cell r="G2334">
            <v>11106.36</v>
          </cell>
        </row>
        <row r="2335">
          <cell r="B2335" t="str">
            <v>С111-2007-2</v>
          </cell>
          <cell r="C2335" t="str">
            <v>Полiуретанове покриття для пiдлог з
помiрним навантаженням Ceresit СF 72</v>
          </cell>
          <cell r="D2335" t="str">
            <v>кг</v>
          </cell>
          <cell r="E2335">
            <v>166.33600000000001</v>
          </cell>
          <cell r="F2335">
            <v>554.12</v>
          </cell>
          <cell r="G2335">
            <v>92170.1</v>
          </cell>
        </row>
        <row r="2336">
          <cell r="B2336" t="str">
            <v>ЕН6-1-13</v>
          </cell>
          <cell r="C2336" t="str">
            <v>Улаштування фундаментiв стовпiв
бетонних бетон важкий В 15 (М 200),
крупнiсть заповнювача бiльше 40 мм
(1200х1880х850), (0,6х0,8х0,38)</v>
          </cell>
          <cell r="D2336" t="str">
            <v>100м3</v>
          </cell>
          <cell r="E2336">
            <v>2.1000000000000001E-2</v>
          </cell>
          <cell r="F2336">
            <v>400430.51</v>
          </cell>
          <cell r="G2336">
            <v>8409.0400000000009</v>
          </cell>
        </row>
        <row r="2337">
          <cell r="B2337" t="str">
            <v>Е9-34-5</v>
          </cell>
          <cell r="C2337" t="str">
            <v>Монтаж опорних конструкцiй
етажеркового типу ( Рм1)</v>
          </cell>
          <cell r="D2337" t="str">
            <v>т</v>
          </cell>
          <cell r="E2337">
            <v>6.0900000000000008E-3</v>
          </cell>
          <cell r="F2337">
            <v>4713.8599999999997</v>
          </cell>
          <cell r="G2337">
            <v>28.71</v>
          </cell>
        </row>
        <row r="2338">
          <cell r="B2338" t="str">
            <v>С1110-173</v>
          </cell>
          <cell r="C2338" t="str">
            <v>Сталь кутова 50х50 мм</v>
          </cell>
          <cell r="D2338" t="str">
            <v>т</v>
          </cell>
          <cell r="E2338" t="str">
            <v>0,
0063336</v>
          </cell>
          <cell r="F2338">
            <v>21736</v>
          </cell>
          <cell r="G2338">
            <v>137.66999999999999</v>
          </cell>
        </row>
        <row r="2339">
          <cell r="B2339" t="str">
            <v>ЕН15-171-4</v>
          </cell>
          <cell r="C2339" t="str">
            <v>Олiйне фарбування бiлилами з додаванням
кольору грат, рам, труб дiаметром менше
50 мм тощо за два рази</v>
          </cell>
          <cell r="D2339" t="str">
            <v>100м2</v>
          </cell>
          <cell r="E2339">
            <v>3.2000000000000002E-3</v>
          </cell>
          <cell r="F2339">
            <v>7784.08</v>
          </cell>
          <cell r="G2339">
            <v>24.91</v>
          </cell>
        </row>
        <row r="2340">
          <cell r="B2340" t="str">
            <v>С111-1673-1</v>
          </cell>
          <cell r="C2340" t="str">
            <v>Эмаль "ЗЕБРА" (3 в 1) антикорозійна</v>
          </cell>
          <cell r="D2340" t="str">
            <v>л</v>
          </cell>
          <cell r="E2340">
            <v>5.7600000000000005E-2</v>
          </cell>
          <cell r="F2340">
            <v>182.96</v>
          </cell>
          <cell r="G2340">
            <v>10.54</v>
          </cell>
        </row>
        <row r="2341">
          <cell r="B2341" t="str">
            <v>Е9-47-1к=0,7</v>
          </cell>
          <cell r="C2341" t="str">
            <v>Демонтаж обшивки стін профiльованим
листом</v>
          </cell>
          <cell r="D2341" t="str">
            <v>100м2</v>
          </cell>
          <cell r="E2341">
            <v>2.1629999999999998</v>
          </cell>
          <cell r="F2341">
            <v>2411.06</v>
          </cell>
          <cell r="G2341">
            <v>5215.12</v>
          </cell>
        </row>
        <row r="2342">
          <cell r="B2342" t="str">
            <v>С1545-104(зворотнiматерiали)</v>
          </cell>
          <cell r="C2342" t="str">
            <v>Брухт металевий
(зворотнi матерiали)</v>
          </cell>
          <cell r="D2342" t="str">
            <v>т</v>
          </cell>
          <cell r="E2342">
            <v>1.38432</v>
          </cell>
          <cell r="F2342" t="str">
            <v xml:space="preserve">   -   </v>
          </cell>
          <cell r="G2342" t="str">
            <v xml:space="preserve">   -   </v>
          </cell>
        </row>
        <row r="2343">
          <cell r="B2343" t="str">
            <v>РН19-1-2</v>
          </cell>
          <cell r="C2343" t="str">
            <v>Розбирання iзоляцiї з мiнеральної вати</v>
          </cell>
          <cell r="D2343" t="str">
            <v>м3</v>
          </cell>
          <cell r="E2343">
            <v>10.815</v>
          </cell>
          <cell r="F2343">
            <v>285.51</v>
          </cell>
          <cell r="G2343">
            <v>3087.79</v>
          </cell>
        </row>
        <row r="2344">
          <cell r="B2344" t="str">
            <v>ЕН15-25-3</v>
          </cell>
          <cell r="C2344" t="str">
            <v>Облицювання поверхонь стін керамiчними
плитками на розчині із сухої клеючої суміші,
число плиток в 1 м2 понад 12 до 20 шт</v>
          </cell>
          <cell r="D2344" t="str">
            <v>100м2</v>
          </cell>
          <cell r="E2344">
            <v>1.9400000000000001E-2</v>
          </cell>
          <cell r="F2344">
            <v>21110.240000000002</v>
          </cell>
          <cell r="G2344">
            <v>409.54</v>
          </cell>
        </row>
        <row r="2345">
          <cell r="B2345" t="str">
            <v>С111-233-4</v>
          </cell>
          <cell r="C2345" t="str">
            <v>Грунтовка "Кнауф-Хафтемульсія"</v>
          </cell>
          <cell r="D2345" t="str">
            <v>кг</v>
          </cell>
          <cell r="E2345">
            <v>0.38800000000000001</v>
          </cell>
          <cell r="F2345">
            <v>130.59</v>
          </cell>
          <cell r="G2345">
            <v>50.67</v>
          </cell>
        </row>
        <row r="2346">
          <cell r="B2346" t="str">
            <v>С111-2000-5К</v>
          </cell>
          <cell r="C2346" t="str">
            <v>Клеюча сумiш для плитки Кнауф
Флізенклебер</v>
          </cell>
          <cell r="D2346" t="str">
            <v>кг</v>
          </cell>
          <cell r="E2346">
            <v>7.5659999999999998</v>
          </cell>
          <cell r="F2346">
            <v>4.42</v>
          </cell>
          <cell r="G2346">
            <v>33.44</v>
          </cell>
        </row>
        <row r="2347">
          <cell r="B2347" t="str">
            <v>С111-258</v>
          </cell>
          <cell r="C2347" t="str">
            <v>Плитки керамiчнi для внутрiшнього
облицювання стiн</v>
          </cell>
          <cell r="D2347" t="str">
            <v>м2</v>
          </cell>
          <cell r="E2347">
            <v>1.9594</v>
          </cell>
          <cell r="F2347">
            <v>331.2</v>
          </cell>
          <cell r="G2347">
            <v>648.95000000000005</v>
          </cell>
        </row>
        <row r="2348">
          <cell r="B2348" t="str">
            <v>С111-2001-1</v>
          </cell>
          <cell r="C2348" t="str">
            <v>Кольоровий шов 2-5мм Baumit PremiumFuge</v>
          </cell>
          <cell r="D2348" t="str">
            <v>кг</v>
          </cell>
          <cell r="E2348">
            <v>0.9622400000000001</v>
          </cell>
          <cell r="F2348">
            <v>119.53</v>
          </cell>
          <cell r="G2348">
            <v>115.02</v>
          </cell>
        </row>
        <row r="2349">
          <cell r="B2349" t="str">
            <v>С113-2088-1-2М</v>
          </cell>
          <cell r="C2349" t="str">
            <v>Хрестики для плитки</v>
          </cell>
          <cell r="D2349" t="str">
            <v>100шт</v>
          </cell>
          <cell r="E2349">
            <v>0.2</v>
          </cell>
          <cell r="F2349">
            <v>9.5399999999999991</v>
          </cell>
          <cell r="G2349">
            <v>1.91</v>
          </cell>
        </row>
        <row r="2350">
          <cell r="B2350" t="str">
            <v>ЕН8-3-1</v>
          </cell>
          <cell r="C2350" t="str">
            <v>Гiдроiзоляцiя горизонтальна цементна з
додаванням Mapei Idrosilex polvere (3%)</v>
          </cell>
          <cell r="D2350" t="str">
            <v>100м2</v>
          </cell>
          <cell r="E2350">
            <v>0.28925000000000001</v>
          </cell>
          <cell r="F2350">
            <v>1963.26</v>
          </cell>
          <cell r="G2350">
            <v>567.87</v>
          </cell>
        </row>
        <row r="2351">
          <cell r="B2351" t="str">
            <v>С1425-11685-3</v>
          </cell>
          <cell r="C2351" t="str">
            <v>Розчин мурувальний важкий цементний,
марка М400</v>
          </cell>
          <cell r="D2351" t="str">
            <v>м3</v>
          </cell>
          <cell r="E2351">
            <v>0.59007000000000009</v>
          </cell>
          <cell r="F2351">
            <v>3434.14</v>
          </cell>
          <cell r="G2351">
            <v>2026.38</v>
          </cell>
        </row>
        <row r="2352">
          <cell r="B2352" t="str">
            <v>С111-2017-5</v>
          </cell>
          <cell r="C2352" t="str">
            <v>Гидроизоляционная добавка Mapei Idrosilex
Polvere</v>
          </cell>
          <cell r="D2352" t="str">
            <v>кг</v>
          </cell>
          <cell r="E2352">
            <v>10.123749999999999</v>
          </cell>
          <cell r="F2352">
            <v>124.24</v>
          </cell>
          <cell r="G2352">
            <v>1257.77</v>
          </cell>
        </row>
        <row r="2354">
          <cell r="B2354" t="str">
            <v>ЕН6-18-1</v>
          </cell>
          <cell r="C2354" t="str">
            <v>Улаштування балок фундаментних
/бетон важкий В 20 (М250), крупнiсть
заповнювача 20-40мм/</v>
          </cell>
          <cell r="D2354" t="str">
            <v>100м3</v>
          </cell>
          <cell r="E2354">
            <v>6.8000000000000005E-3</v>
          </cell>
          <cell r="F2354">
            <v>489974.82</v>
          </cell>
          <cell r="G2354">
            <v>3331.83</v>
          </cell>
        </row>
        <row r="2355">
          <cell r="B2355" t="str">
            <v>ЕН6-11-7</v>
          </cell>
          <cell r="C2355" t="str">
            <v>Установлення закладних деталей вагою
до 5 кг</v>
          </cell>
          <cell r="D2355" t="str">
            <v>т</v>
          </cell>
          <cell r="E2355">
            <v>-1.3000000000000002E-4</v>
          </cell>
          <cell r="F2355">
            <v>51174.73</v>
          </cell>
          <cell r="G2355">
            <v>-6.65</v>
          </cell>
        </row>
        <row r="2356">
          <cell r="B2356" t="str">
            <v>Е1-18-4</v>
          </cell>
          <cell r="C2356" t="str">
            <v>Розроблення ґрунту з навантаженням на
автомобiлi-самоскиди екскаваторами
одноковшовими дизельними на
пневмоколісному ходу з ковшом мiсткiстю
0,25 м3, група ґрунтiв 1</v>
          </cell>
          <cell r="D2356" t="str">
            <v>1000м3</v>
          </cell>
          <cell r="E2356">
            <v>9.6000000000000002E-2</v>
          </cell>
          <cell r="F2356">
            <v>105143.51</v>
          </cell>
          <cell r="G2356">
            <v>10093.780000000001</v>
          </cell>
        </row>
        <row r="2357">
          <cell r="B2357" t="str">
            <v>Е1-162-7</v>
          </cell>
          <cell r="C2357" t="str">
            <v>Розробка ґрунту вручну з крiпленням у
траншеях шириною до 2 м, глибиною до 3 м,
група ґрунтiв 1</v>
          </cell>
          <cell r="D2357" t="str">
            <v>100м3</v>
          </cell>
          <cell r="E2357">
            <v>1.9500000000000002</v>
          </cell>
          <cell r="F2357">
            <v>22291.75</v>
          </cell>
          <cell r="G2357">
            <v>43468.91</v>
          </cell>
        </row>
        <row r="2358">
          <cell r="B2358" t="str">
            <v>Е1-171-2</v>
          </cell>
          <cell r="C2358" t="str">
            <v>Крiплення iнвентарними щитами стiнок
траншей шириною до 2 м у ґрунтах
стiйких</v>
          </cell>
          <cell r="D2358" t="str">
            <v>100м2</v>
          </cell>
          <cell r="E2358">
            <v>1.302</v>
          </cell>
          <cell r="F2358">
            <v>12181.63</v>
          </cell>
          <cell r="G2358">
            <v>15860.48</v>
          </cell>
        </row>
        <row r="2359">
          <cell r="B2359" t="str">
            <v>Е1-162-1_тех.ч._п.1.3.185_к=0,8</v>
          </cell>
          <cell r="C2359" t="str">
            <v>Розробка грунту вручну з крiпленням у
траншеях шириною до 2 м, глибиною до 2 м,
група грунтiв 1 /з вертикальними стiнками
без крiплень /</v>
          </cell>
          <cell r="D2359" t="str">
            <v>100м3</v>
          </cell>
          <cell r="E2359">
            <v>0.1237</v>
          </cell>
          <cell r="F2359">
            <v>11373.34</v>
          </cell>
          <cell r="G2359">
            <v>1406.88</v>
          </cell>
        </row>
        <row r="2360">
          <cell r="B2360" t="str">
            <v>Е1-164-1</v>
          </cell>
          <cell r="C2360" t="str">
            <v>Розробка ґрунту вручну в траншеях
глибиною до 2 м без крiплень з укосами,
група ґрунтiв 1</v>
          </cell>
          <cell r="D2360" t="str">
            <v>100м3</v>
          </cell>
          <cell r="E2360">
            <v>0.13300000000000001</v>
          </cell>
          <cell r="F2360">
            <v>12279.73</v>
          </cell>
          <cell r="G2360">
            <v>1633.2</v>
          </cell>
        </row>
        <row r="2361">
          <cell r="B2361" t="str">
            <v>Е1-18-4</v>
          </cell>
          <cell r="C2361" t="str">
            <v>Розроблення грунту з навантаженням на
автомобiлi-самоскиди екскаваторами
одноковшовими дизельними на
пневмоколісному ходу з ковшом мiсткiстю
0,25 м3, група грунтiв 1 (навантаження
грунту)</v>
          </cell>
          <cell r="D2361" t="str">
            <v>1000м3</v>
          </cell>
          <cell r="E2361">
            <v>0.15</v>
          </cell>
          <cell r="F2361">
            <v>95585.01</v>
          </cell>
          <cell r="G2361">
            <v>14337.75</v>
          </cell>
        </row>
        <row r="2362">
          <cell r="B2362" t="str">
            <v>С311-30</v>
          </cell>
          <cell r="C2362" t="str">
            <v>Перевезення грунту до 30 км</v>
          </cell>
          <cell r="D2362" t="str">
            <v>т</v>
          </cell>
          <cell r="E2362">
            <v>418.2</v>
          </cell>
          <cell r="F2362">
            <v>180</v>
          </cell>
          <cell r="G2362">
            <v>75276</v>
          </cell>
        </row>
        <row r="2363">
          <cell r="B2363" t="str">
            <v>ЕН6-33-4</v>
          </cell>
          <cell r="C2363" t="str">
            <v>Улаштування стiн i плоских днищ
прямокутних споруд при товщинi стiн
понад 150 мм</v>
          </cell>
          <cell r="D2363" t="str">
            <v>100 м3</v>
          </cell>
          <cell r="E2363">
            <v>0.72499999999999998</v>
          </cell>
          <cell r="F2363">
            <v>433027.53</v>
          </cell>
          <cell r="G2363">
            <v>313944.96000000002</v>
          </cell>
        </row>
        <row r="2364">
          <cell r="B2364" t="str">
            <v>С124-19</v>
          </cell>
          <cell r="C2364" t="str">
            <v>Гарячекатана арматурна сталь
перiодичного профiлю, клас А-III, дiаметр 6
мм</v>
          </cell>
          <cell r="D2364" t="str">
            <v>т</v>
          </cell>
          <cell r="E2364">
            <v>1.9340000000000003E-2</v>
          </cell>
          <cell r="F2364">
            <v>42989.09</v>
          </cell>
          <cell r="G2364">
            <v>831.41</v>
          </cell>
        </row>
        <row r="2365">
          <cell r="B2365" t="str">
            <v>ЕН6-1-1</v>
          </cell>
          <cell r="C2365" t="str">
            <v>Улаштування бетонної пiдготовки бетон
важкий В 10 (М 150), крупнiсть
заповнювача бiльше 40 мм товщ.0,1м</v>
          </cell>
          <cell r="D2365" t="str">
            <v>100м3</v>
          </cell>
          <cell r="E2365">
            <v>3.3250000000000002E-2</v>
          </cell>
          <cell r="F2365">
            <v>303005.88</v>
          </cell>
          <cell r="G2365">
            <v>10074.950000000001</v>
          </cell>
        </row>
        <row r="2366">
          <cell r="B2366" t="str">
            <v>ЕН6-33-4</v>
          </cell>
          <cell r="C2366" t="str">
            <v>Улаштування стiн i плоских днищ
прямокутних споруд при товщинi стiн
понад 150 мм</v>
          </cell>
          <cell r="D2366" t="str">
            <v>100 м3</v>
          </cell>
          <cell r="E2366">
            <v>0.33400000000000002</v>
          </cell>
          <cell r="F2366">
            <v>443807.34</v>
          </cell>
          <cell r="G2366">
            <v>148231.65</v>
          </cell>
        </row>
        <row r="2367">
          <cell r="B2367" t="str">
            <v>С124-22</v>
          </cell>
          <cell r="C2367" t="str">
            <v>Гарячекатана арматурна сталь
перiодичного профiлю, клас А-III, дiаметр 12
мм</v>
          </cell>
          <cell r="D2367" t="str">
            <v>т</v>
          </cell>
          <cell r="E2367">
            <v>2.4443000000000001</v>
          </cell>
          <cell r="F2367">
            <v>21525.03</v>
          </cell>
          <cell r="G2367">
            <v>52613.63</v>
          </cell>
        </row>
        <row r="2368">
          <cell r="B2368" t="str">
            <v>С124-19</v>
          </cell>
          <cell r="C2368" t="str">
            <v>Гарячекатана арматурна сталь
перiодичного профiлю, клас А-III, дiаметр 6
мм</v>
          </cell>
          <cell r="D2368" t="str">
            <v>т</v>
          </cell>
          <cell r="E2368">
            <v>1.0440000000000001E-2</v>
          </cell>
          <cell r="F2368">
            <v>42989.09</v>
          </cell>
          <cell r="G2368">
            <v>448.81</v>
          </cell>
        </row>
        <row r="2369">
          <cell r="B2369" t="str">
            <v>ЕН8-3-7</v>
          </cell>
          <cell r="C2369" t="str">
            <v>Гiдроiзоляцiя стiн, фундаментiв бокова
обмазувальна бiтумна в 2 шари по
вирiвнянiй поверхнi бутового мурування,
цеглi, бетону</v>
          </cell>
          <cell r="D2369" t="str">
            <v>100м2</v>
          </cell>
          <cell r="E2369">
            <v>1.1515</v>
          </cell>
          <cell r="F2369">
            <v>9402.64</v>
          </cell>
          <cell r="G2369">
            <v>10827.14</v>
          </cell>
        </row>
        <row r="2370">
          <cell r="B2370" t="str">
            <v>ЕН6-22-13</v>
          </cell>
          <cell r="C2370" t="str">
            <v>Улаштування перекриттiв каналiв бетон
важкий В 25 (М 350), крупнiсть
заповнювача 10-20мм</v>
          </cell>
          <cell r="D2370" t="str">
            <v>100м3</v>
          </cell>
          <cell r="E2370">
            <v>1.7000000000000001E-3</v>
          </cell>
          <cell r="F2370">
            <v>489195.21</v>
          </cell>
          <cell r="G2370">
            <v>831.63</v>
          </cell>
        </row>
        <row r="2371">
          <cell r="B2371" t="str">
            <v>С124-21</v>
          </cell>
          <cell r="C2371" t="str">
            <v>Гарячекатана арматурна сталь
перiодичного профiлю, клас А-III, дiаметр 10
мм</v>
          </cell>
          <cell r="D2371" t="str">
            <v>т</v>
          </cell>
          <cell r="E2371" t="str">
            <v>0,
0456142</v>
          </cell>
          <cell r="F2371">
            <v>20153.68</v>
          </cell>
          <cell r="G2371">
            <v>919.29</v>
          </cell>
        </row>
        <row r="2372">
          <cell r="B2372" t="str">
            <v>ЕН6-11-7</v>
          </cell>
          <cell r="C2372" t="str">
            <v>Установлення закладних деталей вагою
до 5 кг</v>
          </cell>
          <cell r="D2372" t="str">
            <v>т</v>
          </cell>
          <cell r="E2372">
            <v>9.0200000000000002E-3</v>
          </cell>
          <cell r="F2372">
            <v>17235.14</v>
          </cell>
          <cell r="G2372">
            <v>155.46</v>
          </cell>
        </row>
        <row r="2373">
          <cell r="B2373" t="str">
            <v>С124-64</v>
          </cell>
          <cell r="C2373" t="str">
            <v>Деталi закладнi МН-1</v>
          </cell>
          <cell r="D2373" t="str">
            <v>т</v>
          </cell>
          <cell r="E2373">
            <v>9.0200000000000002E-3</v>
          </cell>
          <cell r="F2373">
            <v>57862.53</v>
          </cell>
          <cell r="G2373">
            <v>521.91999999999996</v>
          </cell>
        </row>
        <row r="2374">
          <cell r="B2374" t="str">
            <v>Е9-25-1</v>
          </cell>
          <cell r="C2374" t="str">
            <v>Монтаж прогонiв iз кроком ферм до 12 м
при висотi будiвлi до 25 м (Бм1-3шт., Бм2-
1шт., Бм3-1шт, Бм4-2шт)</v>
          </cell>
          <cell r="D2374" t="str">
            <v>т</v>
          </cell>
          <cell r="E2374">
            <v>9.5470000000000013E-2</v>
          </cell>
          <cell r="F2374">
            <v>5121.47</v>
          </cell>
          <cell r="G2374">
            <v>488.95</v>
          </cell>
        </row>
        <row r="2375">
          <cell r="B2375" t="str">
            <v>С111-1837</v>
          </cell>
          <cell r="C2375" t="str">
            <v>Швелери N10-14 iз сталi марки 18сп</v>
          </cell>
          <cell r="D2375" t="str">
            <v>т</v>
          </cell>
          <cell r="E2375">
            <v>9.5470000000000013E-2</v>
          </cell>
          <cell r="F2375">
            <v>25025.29</v>
          </cell>
          <cell r="G2375">
            <v>2389.16</v>
          </cell>
        </row>
        <row r="2376">
          <cell r="B2376" t="str">
            <v>С111-1814</v>
          </cell>
          <cell r="C2376" t="str">
            <v>Сталь кутова</v>
          </cell>
          <cell r="D2376" t="str">
            <v>т</v>
          </cell>
          <cell r="E2376">
            <v>8.2000000000000009E-4</v>
          </cell>
          <cell r="F2376">
            <v>26861.72</v>
          </cell>
          <cell r="G2376">
            <v>22.03</v>
          </cell>
        </row>
        <row r="2377">
          <cell r="B2377" t="str">
            <v>Е34-53-1заст.</v>
          </cell>
          <cell r="C2377" t="str">
            <v>Улаштування настилу з рифленої сталi
для пiдпiдлогових каналiв</v>
          </cell>
          <cell r="D2377" t="str">
            <v>10м2</v>
          </cell>
          <cell r="E2377">
            <v>0.1245</v>
          </cell>
          <cell r="F2377">
            <v>4798.07</v>
          </cell>
          <cell r="G2377">
            <v>597.36</v>
          </cell>
        </row>
        <row r="2378">
          <cell r="B2378" t="str">
            <v>С111-1804</v>
          </cell>
          <cell r="C2378" t="str">
            <v>Сталь листова</v>
          </cell>
          <cell r="D2378" t="str">
            <v>т</v>
          </cell>
          <cell r="E2378">
            <v>9.5760000000000012E-2</v>
          </cell>
          <cell r="F2378">
            <v>26536.13</v>
          </cell>
          <cell r="G2378">
            <v>2541.1</v>
          </cell>
        </row>
        <row r="2379">
          <cell r="B2379" t="str">
            <v>С111-1814</v>
          </cell>
          <cell r="C2379" t="str">
            <v>Сталь кутова</v>
          </cell>
          <cell r="D2379" t="str">
            <v>т</v>
          </cell>
          <cell r="E2379">
            <v>3.0320000000000003E-2</v>
          </cell>
          <cell r="F2379">
            <v>26861.72</v>
          </cell>
          <cell r="G2379">
            <v>814.45</v>
          </cell>
        </row>
        <row r="2380">
          <cell r="B2380" t="str">
            <v>С111-1172</v>
          </cell>
          <cell r="C2380" t="str">
            <v>Прокат для армування з/б конструкцiй
круглий та перiодичного профiлю, клас А-III,
дiаметр 10 мм</v>
          </cell>
          <cell r="D2380" t="str">
            <v>т</v>
          </cell>
          <cell r="E2380">
            <v>1.4800000000000002E-3</v>
          </cell>
          <cell r="F2380">
            <v>27851.599999999999</v>
          </cell>
          <cell r="G2380">
            <v>41.22</v>
          </cell>
        </row>
        <row r="2381">
          <cell r="B2381" t="str">
            <v>ЕН15-171-4</v>
          </cell>
          <cell r="C2381" t="str">
            <v>Олiйне фарбування бiлилами з додаванням
кольору грат, рам, труб дiаметром менше
50 мм тощо за два рази</v>
          </cell>
          <cell r="D2381" t="str">
            <v>100м2</v>
          </cell>
          <cell r="E2381">
            <v>4.1600000000000005E-2</v>
          </cell>
          <cell r="F2381">
            <v>9951.77</v>
          </cell>
          <cell r="G2381">
            <v>413.99</v>
          </cell>
        </row>
        <row r="2382">
          <cell r="B2382" t="str">
            <v>Е34-53-1</v>
          </cell>
          <cell r="C2382" t="str">
            <v>Улаштування настилу з рифленої сталi
для пiдпiдлогових каналiв (Лючок)</v>
          </cell>
          <cell r="D2382" t="str">
            <v>10м2</v>
          </cell>
          <cell r="E2382">
            <v>2.7380000000000002E-2</v>
          </cell>
          <cell r="F2382">
            <v>4798.07</v>
          </cell>
          <cell r="G2382">
            <v>131.37</v>
          </cell>
        </row>
        <row r="2383">
          <cell r="B2383" t="str">
            <v>С111-1804</v>
          </cell>
          <cell r="C2383" t="str">
            <v>Сталь листова</v>
          </cell>
          <cell r="D2383" t="str">
            <v>т</v>
          </cell>
          <cell r="E2383">
            <v>1.72E-2</v>
          </cell>
          <cell r="F2383">
            <v>26536.13</v>
          </cell>
          <cell r="G2383">
            <v>456.42</v>
          </cell>
        </row>
        <row r="2384">
          <cell r="B2384" t="str">
            <v>С111-1814</v>
          </cell>
          <cell r="C2384" t="str">
            <v>Сталь кутова</v>
          </cell>
          <cell r="D2384" t="str">
            <v>т</v>
          </cell>
          <cell r="E2384">
            <v>1.6E-2</v>
          </cell>
          <cell r="F2384">
            <v>26861.72</v>
          </cell>
          <cell r="G2384">
            <v>429.79</v>
          </cell>
        </row>
        <row r="2385">
          <cell r="B2385" t="str">
            <v>С111-1109</v>
          </cell>
          <cell r="C2385" t="str">
            <v>Рифлений прокат 4х370х370 ГОСТ 8568-77</v>
          </cell>
          <cell r="D2385" t="str">
            <v>т</v>
          </cell>
          <cell r="E2385">
            <v>0.01</v>
          </cell>
          <cell r="F2385">
            <v>36995.589999999997</v>
          </cell>
          <cell r="G2385">
            <v>369.96</v>
          </cell>
        </row>
        <row r="2386">
          <cell r="B2386" t="str">
            <v>С111-1172</v>
          </cell>
          <cell r="C2386" t="str">
            <v>Прокат для армування з/б конструкцiй
круглий та перiодичного профiлю, клас А-III,
дiаметр 10 мм</v>
          </cell>
          <cell r="D2386" t="str">
            <v>т</v>
          </cell>
          <cell r="E2386">
            <v>5.9999999999999984E-4</v>
          </cell>
          <cell r="F2386">
            <v>27851.599999999999</v>
          </cell>
          <cell r="G2386">
            <v>16.71</v>
          </cell>
        </row>
        <row r="2387">
          <cell r="B2387" t="str">
            <v>ЕН15-171-4</v>
          </cell>
          <cell r="C2387" t="str">
            <v>Олiйне фарбування бiлилами з додаванням
кольору грат, рам, труб дiаметром менше
50 мм тощо за два рази</v>
          </cell>
          <cell r="D2387" t="str">
            <v>100м2</v>
          </cell>
          <cell r="E2387">
            <v>2.24E-2</v>
          </cell>
          <cell r="F2387">
            <v>9951.77</v>
          </cell>
          <cell r="G2387">
            <v>222.92</v>
          </cell>
        </row>
        <row r="2388">
          <cell r="B2388" t="str">
            <v>Е9-29-1</v>
          </cell>
          <cell r="C2388" t="str">
            <v>Монтаж сходiв прямолiнiйних i
криволiнiйних, пожежних з огорожею</v>
          </cell>
          <cell r="D2388" t="str">
            <v>т</v>
          </cell>
          <cell r="E2388">
            <v>2.9260000000000001E-2</v>
          </cell>
          <cell r="F2388">
            <v>7756.59</v>
          </cell>
          <cell r="G2388">
            <v>226.96</v>
          </cell>
        </row>
        <row r="2389">
          <cell r="B2389" t="str">
            <v>С121-781-1</v>
          </cell>
          <cell r="C2389" t="str">
            <v>Драбини металеві приставні</v>
          </cell>
          <cell r="D2389" t="str">
            <v>т</v>
          </cell>
          <cell r="E2389">
            <v>2.9260000000000001E-2</v>
          </cell>
          <cell r="F2389">
            <v>34598.75</v>
          </cell>
          <cell r="G2389">
            <v>1012.36</v>
          </cell>
        </row>
        <row r="2390">
          <cell r="B2390" t="str">
            <v>ЕН15-171-4</v>
          </cell>
          <cell r="C2390" t="str">
            <v>Олiйне фарбування бiлилами з додаванням
кольору грат, рам, труб дiаметром менше
50 мм тощо за два рази</v>
          </cell>
          <cell r="D2390" t="str">
            <v>100м2</v>
          </cell>
          <cell r="E2390">
            <v>1.6199999999999999E-2</v>
          </cell>
          <cell r="F2390">
            <v>9951.77</v>
          </cell>
          <cell r="G2390">
            <v>161.22</v>
          </cell>
        </row>
        <row r="2391">
          <cell r="B2391" t="str">
            <v>ЕН6-1-1</v>
          </cell>
          <cell r="C2391" t="str">
            <v>Улаштування бетонної пiдготовки бетон
важкий В 10 (М 150), крупнiсть
заповнювача бiльше 40 мм товщ.0,1м</v>
          </cell>
          <cell r="D2391" t="str">
            <v>100м3</v>
          </cell>
          <cell r="E2391">
            <v>0.13612000000000002</v>
          </cell>
          <cell r="F2391">
            <v>304949.31</v>
          </cell>
          <cell r="G2391">
            <v>41509.699999999997</v>
          </cell>
        </row>
        <row r="2392">
          <cell r="B2392" t="str">
            <v>ЕН6-33-3</v>
          </cell>
          <cell r="C2392" t="str">
            <v>Улаштування стiн i плоских днищ
прямокутних споруд при товщинi стiн до
150 мм</v>
          </cell>
          <cell r="D2392" t="str">
            <v>100 м3</v>
          </cell>
          <cell r="E2392">
            <v>0.24199999999999999</v>
          </cell>
          <cell r="F2392">
            <v>517202.8</v>
          </cell>
          <cell r="G2392">
            <v>125163.08</v>
          </cell>
        </row>
        <row r="2393">
          <cell r="B2393" t="str">
            <v>С124-20</v>
          </cell>
          <cell r="C2393" t="str">
            <v>Гарячекатана арматурна сталь
перiодичного профiлю, клас А-III, дiаметр 8
мм</v>
          </cell>
          <cell r="D2393" t="str">
            <v>т</v>
          </cell>
          <cell r="E2393">
            <v>1.2947</v>
          </cell>
          <cell r="F2393">
            <v>20153.68</v>
          </cell>
          <cell r="G2393">
            <v>26092.97</v>
          </cell>
        </row>
        <row r="2394">
          <cell r="B2394" t="str">
            <v>ЕН6-11-8</v>
          </cell>
          <cell r="C2394" t="str">
            <v>Установлення закладних деталей вагою
понад 5 кг до 10 кг</v>
          </cell>
          <cell r="D2394" t="str">
            <v>т</v>
          </cell>
          <cell r="E2394">
            <v>9.8750000000000004E-2</v>
          </cell>
          <cell r="F2394">
            <v>9039.0499999999993</v>
          </cell>
          <cell r="G2394">
            <v>892.61</v>
          </cell>
        </row>
        <row r="2395">
          <cell r="B2395" t="str">
            <v>ЕН6-11-7</v>
          </cell>
          <cell r="C2395" t="str">
            <v>Установлення закладних деталей вагою
до 5 кг</v>
          </cell>
          <cell r="D2395" t="str">
            <v>т</v>
          </cell>
          <cell r="E2395">
            <v>2.3200000000000002E-2</v>
          </cell>
          <cell r="F2395">
            <v>75097.67</v>
          </cell>
          <cell r="G2395">
            <v>1742.27</v>
          </cell>
        </row>
        <row r="2396">
          <cell r="B2396" t="str">
            <v>С1110-173</v>
          </cell>
          <cell r="C2396" t="str">
            <v>Сталь кутова 50х50 мм</v>
          </cell>
          <cell r="D2396" t="str">
            <v>т</v>
          </cell>
          <cell r="E2396">
            <v>2.3200000000000002E-2</v>
          </cell>
          <cell r="F2396">
            <v>21736</v>
          </cell>
          <cell r="G2396">
            <v>504.28</v>
          </cell>
        </row>
        <row r="2397">
          <cell r="B2397" t="str">
            <v>ЕН8-3-7</v>
          </cell>
          <cell r="C2397" t="str">
            <v>Гiдроiзоляцiя стiн, фундаментiв бокова
обмазувальна бiтумна в 2 шари по
вирiвнянiй поверхнi бутового мурування,
цеглi, бетону</v>
          </cell>
          <cell r="D2397" t="str">
            <v>100м2</v>
          </cell>
          <cell r="E2397">
            <v>0.85820000000000007</v>
          </cell>
          <cell r="F2397">
            <v>9402.64</v>
          </cell>
          <cell r="G2397">
            <v>8069.35</v>
          </cell>
        </row>
        <row r="2398">
          <cell r="B2398" t="str">
            <v>Е7-64-1</v>
          </cell>
          <cell r="C2398" t="str">
            <v>Укладання плит перекриття каналiв
площею до 0,5 м2</v>
          </cell>
          <cell r="D2398" t="str">
            <v>100шт</v>
          </cell>
          <cell r="E2398">
            <v>0.59</v>
          </cell>
          <cell r="F2398">
            <v>6327.9</v>
          </cell>
          <cell r="G2398">
            <v>3733.46</v>
          </cell>
        </row>
        <row r="2399">
          <cell r="B2399" t="str">
            <v>Е7-64-2</v>
          </cell>
          <cell r="C2399" t="str">
            <v>Укладання плит перекриття каналiв
площею до 1 м2</v>
          </cell>
          <cell r="D2399" t="str">
            <v>100шт</v>
          </cell>
          <cell r="E2399">
            <v>0.02</v>
          </cell>
          <cell r="F2399">
            <v>19187.599999999999</v>
          </cell>
          <cell r="G2399">
            <v>383.75</v>
          </cell>
        </row>
        <row r="2400">
          <cell r="B2400" t="str">
            <v>Е7-64-3</v>
          </cell>
          <cell r="C2400" t="str">
            <v>Укладання плит перекриття каналiв
площею до 5 м2</v>
          </cell>
          <cell r="D2400" t="str">
            <v>100шт</v>
          </cell>
          <cell r="E2400">
            <v>0.14000000000000001</v>
          </cell>
          <cell r="F2400">
            <v>20635.57</v>
          </cell>
          <cell r="G2400">
            <v>2888.98</v>
          </cell>
        </row>
        <row r="2401">
          <cell r="B2401" t="str">
            <v>К585521-П003</v>
          </cell>
          <cell r="C2401" t="str">
            <v>Плити перекриття П1-8 серiя 3.006.1-2.87</v>
          </cell>
          <cell r="D2401" t="str">
            <v>шт</v>
          </cell>
          <cell r="E2401">
            <v>2</v>
          </cell>
          <cell r="F2401">
            <v>176.86</v>
          </cell>
          <cell r="G2401">
            <v>353.72</v>
          </cell>
        </row>
        <row r="2402">
          <cell r="B2402" t="str">
            <v>К585521-П009</v>
          </cell>
          <cell r="C2402" t="str">
            <v>Плити перекриття П3-5 серiя 3.006.1-2.87</v>
          </cell>
          <cell r="D2402" t="str">
            <v>шт</v>
          </cell>
          <cell r="E2402">
            <v>48</v>
          </cell>
          <cell r="F2402">
            <v>203.92</v>
          </cell>
          <cell r="G2402">
            <v>9788.16</v>
          </cell>
        </row>
        <row r="2403">
          <cell r="B2403" t="str">
            <v>К585521-П014</v>
          </cell>
          <cell r="C2403" t="str">
            <v>Плити перекриття П4-15 серiя 3.006.1-2.87</v>
          </cell>
          <cell r="D2403" t="str">
            <v>шт</v>
          </cell>
          <cell r="E2403">
            <v>9</v>
          </cell>
          <cell r="F2403">
            <v>346.41</v>
          </cell>
          <cell r="G2403">
            <v>3117.69</v>
          </cell>
        </row>
        <row r="2404">
          <cell r="B2404" t="str">
            <v>К585521-П019</v>
          </cell>
          <cell r="C2404" t="str">
            <v>Плити перекриття П5-8 серiя 3.006.1-2.87</v>
          </cell>
          <cell r="D2404" t="str">
            <v>шт</v>
          </cell>
          <cell r="E2404">
            <v>6</v>
          </cell>
          <cell r="F2404">
            <v>1122.3599999999999</v>
          </cell>
          <cell r="G2404">
            <v>6734.16</v>
          </cell>
        </row>
        <row r="2405">
          <cell r="B2405" t="str">
            <v>К585521-П022</v>
          </cell>
          <cell r="C2405" t="str">
            <v>Плити перекриття П6-15 серiя 3.006.1-2.87</v>
          </cell>
          <cell r="D2405" t="str">
            <v>шт</v>
          </cell>
          <cell r="E2405">
            <v>3</v>
          </cell>
          <cell r="F2405">
            <v>2296.73</v>
          </cell>
          <cell r="G2405">
            <v>6890.19</v>
          </cell>
        </row>
        <row r="2406">
          <cell r="B2406" t="str">
            <v>К585521-П034</v>
          </cell>
          <cell r="C2406" t="str">
            <v>Плити перекриття П9-15 серiя 3.006.1-2.87</v>
          </cell>
          <cell r="D2406" t="str">
            <v>шт</v>
          </cell>
          <cell r="E2406">
            <v>2</v>
          </cell>
          <cell r="F2406">
            <v>4022.98</v>
          </cell>
          <cell r="G2406">
            <v>8045.96</v>
          </cell>
        </row>
        <row r="2407">
          <cell r="B2407" t="str">
            <v>К585521-П042</v>
          </cell>
          <cell r="C2407" t="str">
            <v>Плити перекриття П11-8 серiя 3.006.1-2.87</v>
          </cell>
          <cell r="D2407" t="str">
            <v>шт</v>
          </cell>
          <cell r="E2407">
            <v>2</v>
          </cell>
          <cell r="F2407">
            <v>4426.8900000000003</v>
          </cell>
          <cell r="G2407">
            <v>8853.7800000000007</v>
          </cell>
        </row>
        <row r="2408">
          <cell r="B2408" t="str">
            <v>К585521-П111</v>
          </cell>
          <cell r="C2408" t="str">
            <v>Плити перекриття П6Д-15 серiя 3.006.1-2.87</v>
          </cell>
          <cell r="D2408" t="str">
            <v>шт</v>
          </cell>
          <cell r="E2408">
            <v>2</v>
          </cell>
          <cell r="F2408">
            <v>623.25</v>
          </cell>
          <cell r="G2408">
            <v>1246.5</v>
          </cell>
        </row>
        <row r="2409">
          <cell r="B2409" t="str">
            <v>К585521-П131</v>
          </cell>
          <cell r="C2409" t="str">
            <v>Плити перекриття П11Д-8 серiя 3.006.1-2.87</v>
          </cell>
          <cell r="D2409" t="str">
            <v>шт</v>
          </cell>
          <cell r="E2409">
            <v>1</v>
          </cell>
          <cell r="F2409">
            <v>1162.23</v>
          </cell>
          <cell r="G2409">
            <v>1162.23</v>
          </cell>
        </row>
        <row r="2410">
          <cell r="B2410" t="str">
            <v>ЕН11-11-1</v>
          </cell>
          <cell r="C2410" t="str">
            <v>Улаштування стяжок цементних
товщиною 20 мм (вирвниваючий прошарок)</v>
          </cell>
          <cell r="D2410" t="str">
            <v>100м2</v>
          </cell>
          <cell r="E2410">
            <v>0.1724</v>
          </cell>
          <cell r="F2410">
            <v>10009.09</v>
          </cell>
          <cell r="G2410">
            <v>1725.57</v>
          </cell>
        </row>
        <row r="2411">
          <cell r="B2411" t="str">
            <v>ЕН8-3-3</v>
          </cell>
          <cell r="C2411" t="str">
            <v>Гiдроiзоляцiя стiн, фундаментiв
горизонтальна обклеювальна в 2 шари</v>
          </cell>
          <cell r="D2411" t="str">
            <v>100м2</v>
          </cell>
          <cell r="E2411">
            <v>0.1724</v>
          </cell>
          <cell r="F2411">
            <v>20962.07</v>
          </cell>
          <cell r="G2411">
            <v>3613.86</v>
          </cell>
        </row>
        <row r="2412">
          <cell r="B2412" t="str">
            <v>С111-1624</v>
          </cell>
          <cell r="C2412" t="str">
            <v>Грунтовка бiтумна</v>
          </cell>
          <cell r="D2412" t="str">
            <v>т</v>
          </cell>
          <cell r="E2412">
            <v>1.3791999999999999E-2</v>
          </cell>
          <cell r="F2412">
            <v>54107.75</v>
          </cell>
          <cell r="G2412">
            <v>746.25</v>
          </cell>
        </row>
        <row r="2413">
          <cell r="B2413" t="str">
            <v>С111-1564</v>
          </cell>
          <cell r="C2413" t="str">
            <v>Гiдроiзол</v>
          </cell>
          <cell r="D2413" t="str">
            <v>м2</v>
          </cell>
          <cell r="E2413">
            <v>37.927999999999997</v>
          </cell>
          <cell r="F2413">
            <v>41.98</v>
          </cell>
          <cell r="G2413">
            <v>1592.22</v>
          </cell>
        </row>
        <row r="2414">
          <cell r="B2414" t="str">
            <v>ЕН11-11-1</v>
          </cell>
          <cell r="C2414" t="str">
            <v>Улаштування стяжок цементних
товщиною 20 мм</v>
          </cell>
          <cell r="D2414" t="str">
            <v>100м2</v>
          </cell>
          <cell r="E2414">
            <v>0.1724</v>
          </cell>
          <cell r="F2414">
            <v>10009.09</v>
          </cell>
          <cell r="G2414">
            <v>1725.57</v>
          </cell>
        </row>
        <row r="2415">
          <cell r="B2415" t="str">
            <v>ЕН11-11-2к=2</v>
          </cell>
          <cell r="C2415" t="str">
            <v>Додавати або виключати на кожнi 5 мм
змiни товщини стяжок цементних
(додавати до 30мм)</v>
          </cell>
          <cell r="D2415" t="str">
            <v>100м2</v>
          </cell>
          <cell r="E2415">
            <v>0.1724</v>
          </cell>
          <cell r="F2415">
            <v>3280.01</v>
          </cell>
          <cell r="G2415">
            <v>565.47</v>
          </cell>
        </row>
        <row r="2416">
          <cell r="B2416" t="str">
            <v>ЕН6-1-1</v>
          </cell>
          <cell r="C2416" t="str">
            <v>Улаштування бетонної пiдготовки бетон
важкий В 10 (М 150), крупнiсть
заповнювача бiльше 40 мм товщ.0,1м</v>
          </cell>
          <cell r="D2416" t="str">
            <v>100м3</v>
          </cell>
          <cell r="E2416">
            <v>2.2500000000000003E-3</v>
          </cell>
          <cell r="F2416">
            <v>303005.88</v>
          </cell>
          <cell r="G2416">
            <v>681.76</v>
          </cell>
        </row>
        <row r="2417">
          <cell r="B2417" t="str">
            <v>ЕН6-33-3</v>
          </cell>
          <cell r="C2417" t="str">
            <v>Улаштування стiн i плоских днищ
прямокутних споруд при товщинi стiн до
150 мм</v>
          </cell>
          <cell r="D2417" t="str">
            <v>100 м3</v>
          </cell>
          <cell r="E2417">
            <v>1.7000000000000001E-2</v>
          </cell>
          <cell r="F2417">
            <v>517196.01</v>
          </cell>
          <cell r="G2417">
            <v>8792.33</v>
          </cell>
        </row>
        <row r="2418">
          <cell r="B2418" t="str">
            <v>С124-22</v>
          </cell>
          <cell r="C2418" t="str">
            <v>Гарячекатана арматурна сталь
перiодичного профiлю, клас А-III, дiаметр 12
мм</v>
          </cell>
          <cell r="D2418" t="str">
            <v>т</v>
          </cell>
          <cell r="E2418">
            <v>0.22684000000000001</v>
          </cell>
          <cell r="F2418">
            <v>21525.03</v>
          </cell>
          <cell r="G2418">
            <v>4882.74</v>
          </cell>
        </row>
        <row r="2419">
          <cell r="B2419" t="str">
            <v>С124-1</v>
          </cell>
          <cell r="C2419" t="str">
            <v>Гарячекатана арматурна сталь гладка, клас
А-1, дiаметр 6 мм</v>
          </cell>
          <cell r="D2419" t="str">
            <v>т</v>
          </cell>
          <cell r="E2419">
            <v>1.2000000000000001E-3</v>
          </cell>
          <cell r="F2419">
            <v>20153.68</v>
          </cell>
          <cell r="G2419">
            <v>24.18</v>
          </cell>
        </row>
        <row r="2420">
          <cell r="B2420" t="str">
            <v>ЕН6-11-8</v>
          </cell>
          <cell r="C2420" t="str">
            <v>Установлення закладних деталей вагою
понад 5 кг до 10 кг</v>
          </cell>
          <cell r="D2420" t="str">
            <v>т</v>
          </cell>
          <cell r="E2420">
            <v>1.7600000000000001E-2</v>
          </cell>
          <cell r="F2420">
            <v>9039.0499999999993</v>
          </cell>
          <cell r="G2420">
            <v>159.09</v>
          </cell>
        </row>
        <row r="2421">
          <cell r="B2421" t="str">
            <v>С124-64</v>
          </cell>
          <cell r="C2421" t="str">
            <v>Деталi закладнi МН-2</v>
          </cell>
          <cell r="D2421" t="str">
            <v>т</v>
          </cell>
          <cell r="E2421">
            <v>1.7600000000000001E-2</v>
          </cell>
          <cell r="F2421">
            <v>57862.53</v>
          </cell>
          <cell r="G2421">
            <v>1018.38</v>
          </cell>
        </row>
        <row r="2422">
          <cell r="B2422" t="str">
            <v>ЕН8-3-7</v>
          </cell>
          <cell r="C2422" t="str">
            <v>Гiдроiзоляцiя стiн, фундаментiв бокова
обмазувальна бiтумна в 2 шари по
вирiвнянiй поверхнi бутового мурування,
цеглi, бетону</v>
          </cell>
          <cell r="D2422" t="str">
            <v>100м2</v>
          </cell>
          <cell r="E2422">
            <v>0.1014</v>
          </cell>
          <cell r="F2422">
            <v>9402.64</v>
          </cell>
          <cell r="G2422">
            <v>953.43</v>
          </cell>
        </row>
        <row r="2423">
          <cell r="B2423" t="str">
            <v>Е9-53-1</v>
          </cell>
          <cell r="C2423" t="str">
            <v>Монтаж конструкцiй люкiв</v>
          </cell>
          <cell r="D2423" t="str">
            <v>т</v>
          </cell>
          <cell r="E2423">
            <v>7.0680000000000021E-2</v>
          </cell>
          <cell r="F2423">
            <v>9371.3799999999992</v>
          </cell>
          <cell r="G2423">
            <v>662.37</v>
          </cell>
        </row>
        <row r="2424">
          <cell r="B2424" t="str">
            <v>С121-784</v>
          </cell>
          <cell r="C2424" t="str">
            <v>Металевi вироби</v>
          </cell>
          <cell r="D2424" t="str">
            <v>т</v>
          </cell>
          <cell r="E2424">
            <v>7.0680000000000021E-2</v>
          </cell>
          <cell r="F2424">
            <v>33035.82</v>
          </cell>
          <cell r="G2424">
            <v>2334.9699999999998</v>
          </cell>
        </row>
        <row r="2425">
          <cell r="B2425" t="str">
            <v>ЕН15-171-4</v>
          </cell>
          <cell r="C2425" t="str">
            <v>Олiйне фарбування бiлилами з додаванням
кольору грат, рам, труб дiаметром менше
50 мм тощо за два рази</v>
          </cell>
          <cell r="D2425" t="str">
            <v>100м2</v>
          </cell>
          <cell r="E2425">
            <v>3.0200000000000001E-2</v>
          </cell>
          <cell r="F2425">
            <v>9951.77</v>
          </cell>
          <cell r="G2425">
            <v>300.54000000000002</v>
          </cell>
        </row>
        <row r="2426">
          <cell r="B2426" t="str">
            <v>С124-1</v>
          </cell>
          <cell r="C2426" t="str">
            <v>Гарячекатана арматурна сталь гладка, клас
А-1, дiаметр 6 мм</v>
          </cell>
          <cell r="D2426" t="str">
            <v>т</v>
          </cell>
          <cell r="E2426">
            <v>7.2000000000000005E-4</v>
          </cell>
          <cell r="F2426">
            <v>20153.68</v>
          </cell>
          <cell r="G2426">
            <v>14.51</v>
          </cell>
        </row>
        <row r="2427">
          <cell r="B2427" t="str">
            <v>ЕН6-11-8</v>
          </cell>
          <cell r="C2427" t="str">
            <v>Установлення закладних деталей вагою
понад 5 кг до 10 кг</v>
          </cell>
          <cell r="D2427" t="str">
            <v>т</v>
          </cell>
          <cell r="E2427">
            <v>1.12E-2</v>
          </cell>
          <cell r="F2427">
            <v>9039.0499999999993</v>
          </cell>
          <cell r="G2427">
            <v>101.24</v>
          </cell>
        </row>
        <row r="2428">
          <cell r="B2428" t="str">
            <v>С124-64</v>
          </cell>
          <cell r="C2428" t="str">
            <v>Деталi закладнi МН-2</v>
          </cell>
          <cell r="D2428" t="str">
            <v>т</v>
          </cell>
          <cell r="E2428">
            <v>1.12E-2</v>
          </cell>
          <cell r="F2428">
            <v>57862.53</v>
          </cell>
          <cell r="G2428">
            <v>648.05999999999995</v>
          </cell>
        </row>
        <row r="2429">
          <cell r="B2429" t="str">
            <v>Е9-25-1</v>
          </cell>
          <cell r="C2429" t="str">
            <v>Монтаж прогонiв iз кроком ферм до 12 м
при висотi будiвлi до 25 м (Бм1-1шт)</v>
          </cell>
          <cell r="D2429" t="str">
            <v>т</v>
          </cell>
          <cell r="E2429">
            <v>1.1647999999999999E-2</v>
          </cell>
          <cell r="F2429">
            <v>1899.38</v>
          </cell>
          <cell r="G2429">
            <v>22.12</v>
          </cell>
        </row>
        <row r="2430">
          <cell r="B2430" t="str">
            <v>С111-1837</v>
          </cell>
          <cell r="C2430" t="str">
            <v>Швелери N10-14 iз сталi марки 18сп</v>
          </cell>
          <cell r="D2430" t="str">
            <v>т</v>
          </cell>
          <cell r="E2430">
            <v>1.1647999999999999E-2</v>
          </cell>
          <cell r="F2430">
            <v>25025.29</v>
          </cell>
          <cell r="G2430">
            <v>291.49</v>
          </cell>
        </row>
        <row r="2431">
          <cell r="B2431" t="str">
            <v>Е9-53-1</v>
          </cell>
          <cell r="C2431" t="str">
            <v>Монтаж конструкцiй люкiв</v>
          </cell>
          <cell r="D2431" t="str">
            <v>т</v>
          </cell>
          <cell r="E2431">
            <v>7.7299999999999994E-2</v>
          </cell>
          <cell r="F2431">
            <v>9371.3799999999992</v>
          </cell>
          <cell r="G2431">
            <v>724.41</v>
          </cell>
        </row>
        <row r="2432">
          <cell r="B2432" t="str">
            <v>С121-784</v>
          </cell>
          <cell r="C2432" t="str">
            <v>Металевi вироби</v>
          </cell>
          <cell r="D2432" t="str">
            <v>т</v>
          </cell>
          <cell r="E2432">
            <v>7.7299999999999994E-2</v>
          </cell>
          <cell r="F2432">
            <v>33035.82</v>
          </cell>
          <cell r="G2432">
            <v>2553.67</v>
          </cell>
        </row>
        <row r="2433">
          <cell r="B2433" t="str">
            <v>ЕН15-171-4</v>
          </cell>
          <cell r="C2433" t="str">
            <v>Олiйне фарбування бiлилами з додаванням
кольору грат, рам, труб дiаметром менше
50 мм тощо за два рази</v>
          </cell>
          <cell r="D2433" t="str">
            <v>100м2</v>
          </cell>
          <cell r="E2433">
            <v>3.3000000000000002E-2</v>
          </cell>
          <cell r="F2433">
            <v>9951.77</v>
          </cell>
          <cell r="G2433">
            <v>328.41</v>
          </cell>
        </row>
        <row r="2434">
          <cell r="B2434" t="str">
            <v>С124-1</v>
          </cell>
          <cell r="C2434" t="str">
            <v>Гарячекатана арматурна сталь гладка, клас
А-1, дiаметр 6 мм</v>
          </cell>
          <cell r="D2434" t="str">
            <v>т</v>
          </cell>
          <cell r="E2434">
            <v>7.2000000000000005E-4</v>
          </cell>
          <cell r="F2434">
            <v>20153.68</v>
          </cell>
          <cell r="G2434">
            <v>14.51</v>
          </cell>
        </row>
        <row r="2435">
          <cell r="B2435" t="str">
            <v>ЕН6-11-8</v>
          </cell>
          <cell r="C2435" t="str">
            <v>Установлення закладних деталей вагою
понад 5 кг до 10 кг</v>
          </cell>
          <cell r="D2435" t="str">
            <v>т</v>
          </cell>
          <cell r="E2435">
            <v>9.6000000000000009E-3</v>
          </cell>
          <cell r="F2435">
            <v>9039.0499999999993</v>
          </cell>
          <cell r="G2435">
            <v>86.77</v>
          </cell>
        </row>
        <row r="2436">
          <cell r="B2436" t="str">
            <v>С124-64</v>
          </cell>
          <cell r="C2436" t="str">
            <v>Деталi закладнi МН-2</v>
          </cell>
          <cell r="D2436" t="str">
            <v>т</v>
          </cell>
          <cell r="E2436">
            <v>9.6000000000000009E-3</v>
          </cell>
          <cell r="F2436">
            <v>57862.53</v>
          </cell>
          <cell r="G2436">
            <v>555.48</v>
          </cell>
        </row>
        <row r="2437">
          <cell r="B2437" t="str">
            <v>ЕН8-3-7</v>
          </cell>
          <cell r="C2437" t="str">
            <v>Гiдроiзоляцiя стiн, фундаментiв бокова
обмазувальна бiтумна в 2 шари по
вирiвнянiй поверхнi бутового мурування,
цеглi, бетону</v>
          </cell>
          <cell r="D2437" t="str">
            <v>100м2</v>
          </cell>
          <cell r="E2437">
            <v>7.6139999999999999E-2</v>
          </cell>
          <cell r="F2437">
            <v>9402.64</v>
          </cell>
          <cell r="G2437">
            <v>715.92</v>
          </cell>
        </row>
        <row r="2438">
          <cell r="B2438" t="str">
            <v>Е9-53-1</v>
          </cell>
          <cell r="C2438" t="str">
            <v>Монтаж конструкцiй люкiв</v>
          </cell>
          <cell r="D2438" t="str">
            <v>т</v>
          </cell>
          <cell r="E2438">
            <v>8.1449999999999995E-2</v>
          </cell>
          <cell r="F2438">
            <v>9371.3799999999992</v>
          </cell>
          <cell r="G2438">
            <v>763.3</v>
          </cell>
        </row>
        <row r="2439">
          <cell r="B2439" t="str">
            <v>С121-784</v>
          </cell>
          <cell r="C2439" t="str">
            <v>Металевi вироби</v>
          </cell>
          <cell r="D2439" t="str">
            <v>т</v>
          </cell>
          <cell r="E2439">
            <v>8.1449999999999995E-2</v>
          </cell>
          <cell r="F2439">
            <v>33035.82</v>
          </cell>
          <cell r="G2439">
            <v>2690.77</v>
          </cell>
        </row>
        <row r="2440">
          <cell r="B2440" t="str">
            <v>ЕН15-171-4</v>
          </cell>
          <cell r="C2440" t="str">
            <v>Олiйне фарбування бiлилами з додаванням
кольору грат, рам, труб дiаметром менше
50 мм тощо за два рази</v>
          </cell>
          <cell r="D2440" t="str">
            <v>100м2</v>
          </cell>
          <cell r="E2440">
            <v>3.5000000000000003E-2</v>
          </cell>
          <cell r="F2440">
            <v>9951.77</v>
          </cell>
          <cell r="G2440">
            <v>348.31</v>
          </cell>
        </row>
        <row r="2441">
          <cell r="B2441" t="str">
            <v>РН16-79-1</v>
          </cell>
          <cell r="C2441" t="str">
            <v>Розбирання вручну цегляної кладки камер,
каналiв, компенсаторних нiш, кутiв
повороту без очищення цегли</v>
          </cell>
          <cell r="D2441" t="str">
            <v>м3</v>
          </cell>
          <cell r="E2441">
            <v>0.4</v>
          </cell>
          <cell r="F2441">
            <v>657.43</v>
          </cell>
          <cell r="G2441">
            <v>262.97000000000003</v>
          </cell>
        </row>
        <row r="2442">
          <cell r="B2442" t="str">
            <v>ЕН8-5-9</v>
          </cell>
          <cell r="C2442" t="str">
            <v>Мурування стiн приямкiв i каналiв з цегли
керамiчної</v>
          </cell>
          <cell r="D2442" t="str">
            <v>1 м3</v>
          </cell>
          <cell r="E2442">
            <v>1</v>
          </cell>
          <cell r="F2442">
            <v>934.91</v>
          </cell>
          <cell r="G2442">
            <v>934.91</v>
          </cell>
        </row>
        <row r="2443">
          <cell r="B2443" t="str">
            <v>С1425-11682</v>
          </cell>
          <cell r="C2443" t="str">
            <v>Розчин готовий кладковий важкий
цементний, марка М75</v>
          </cell>
          <cell r="D2443" t="str">
            <v>м3</v>
          </cell>
          <cell r="E2443">
            <v>0.24</v>
          </cell>
          <cell r="F2443">
            <v>2186.92</v>
          </cell>
          <cell r="G2443">
            <v>524.86</v>
          </cell>
        </row>
        <row r="2444">
          <cell r="B2444" t="str">
            <v>С1422-10936</v>
          </cell>
          <cell r="C2444" t="str">
            <v>Цегла керамiчна одинарна повнотiла,
розмiри 250х120х65 мм, марка М100</v>
          </cell>
          <cell r="D2444" t="str">
            <v>1000шт</v>
          </cell>
          <cell r="E2444">
            <v>0.4</v>
          </cell>
          <cell r="F2444">
            <v>5815.15</v>
          </cell>
          <cell r="G2444">
            <v>2326.06</v>
          </cell>
        </row>
        <row r="2445">
          <cell r="B2445" t="str">
            <v>Е34-53-1заст.</v>
          </cell>
          <cell r="C2445" t="str">
            <v>Улаштування настилу з рифленої сталi
для пiдпiдлогових каналiв</v>
          </cell>
          <cell r="D2445" t="str">
            <v>10м2</v>
          </cell>
          <cell r="E2445">
            <v>0.13225000000000001</v>
          </cell>
          <cell r="F2445">
            <v>4798.07</v>
          </cell>
          <cell r="G2445">
            <v>634.54</v>
          </cell>
        </row>
        <row r="2446">
          <cell r="B2446" t="str">
            <v>С111-1804</v>
          </cell>
          <cell r="C2446" t="str">
            <v>Сталь листова</v>
          </cell>
          <cell r="D2446" t="str">
            <v>т</v>
          </cell>
          <cell r="E2446">
            <v>8.0760000000000012E-2</v>
          </cell>
          <cell r="F2446">
            <v>26536.13</v>
          </cell>
          <cell r="G2446">
            <v>2143.06</v>
          </cell>
        </row>
        <row r="2447">
          <cell r="B2447" t="str">
            <v>С111-1814</v>
          </cell>
          <cell r="C2447" t="str">
            <v>Сталь кутова</v>
          </cell>
          <cell r="D2447" t="str">
            <v>т</v>
          </cell>
          <cell r="E2447">
            <v>3.1740000000000004E-2</v>
          </cell>
          <cell r="F2447">
            <v>26861.72</v>
          </cell>
          <cell r="G2447">
            <v>852.59</v>
          </cell>
        </row>
        <row r="2448">
          <cell r="B2448" t="str">
            <v>С111-1172</v>
          </cell>
          <cell r="C2448" t="str">
            <v>Прокат для армування з/б конструкцiй
круглий та перiодичного профiлю, клас А-III,
дiаметр 10 мм</v>
          </cell>
          <cell r="D2448" t="str">
            <v>т</v>
          </cell>
          <cell r="E2448">
            <v>7.400000000000001E-4</v>
          </cell>
          <cell r="F2448">
            <v>27851.599999999999</v>
          </cell>
          <cell r="G2448">
            <v>20.61</v>
          </cell>
        </row>
        <row r="2449">
          <cell r="B2449" t="str">
            <v>ЕН15-171-4</v>
          </cell>
          <cell r="C2449" t="str">
            <v>Олiйне фарбування бiлилами з додаванням
кольору грат, рам, труб дiаметром менше
50 мм тощо за два рази</v>
          </cell>
          <cell r="D2449" t="str">
            <v>100м2</v>
          </cell>
          <cell r="E2449">
            <v>4.8600000000000004E-2</v>
          </cell>
          <cell r="F2449">
            <v>9951.77</v>
          </cell>
          <cell r="G2449">
            <v>483.66</v>
          </cell>
        </row>
        <row r="2450">
          <cell r="B2450" t="str">
            <v>Е7-64-3к=0,8</v>
          </cell>
          <cell r="C2450" t="str">
            <v>Демонтаж плит перекриття каналiв
площею до 5 м2</v>
          </cell>
          <cell r="D2450" t="str">
            <v>100шт</v>
          </cell>
          <cell r="E2450">
            <v>0.30000000000000004</v>
          </cell>
          <cell r="F2450">
            <v>15411.29</v>
          </cell>
          <cell r="G2450">
            <v>4623.3900000000003</v>
          </cell>
        </row>
        <row r="2451">
          <cell r="B2451" t="str">
            <v>Е7-64-3</v>
          </cell>
          <cell r="C2451" t="str">
            <v>Укладання плит перекриття каналiв
площею до 5 м2 (раніше демонтовані)</v>
          </cell>
          <cell r="D2451" t="str">
            <v>100шт</v>
          </cell>
          <cell r="E2451">
            <v>0.30000000000000004</v>
          </cell>
          <cell r="F2451">
            <v>20635.57</v>
          </cell>
          <cell r="G2451">
            <v>6190.67</v>
          </cell>
        </row>
        <row r="2452">
          <cell r="B2452" t="str">
            <v>Е7-61-1к=0,8</v>
          </cell>
          <cell r="C2452" t="str">
            <v>Демонтаж непрохiдних однолоткових
каналiв (плити П11д-8 120шт, лотки
120шт)</v>
          </cell>
          <cell r="D2452" t="str">
            <v>100м3</v>
          </cell>
          <cell r="E2452">
            <v>0.34800000000000003</v>
          </cell>
          <cell r="F2452">
            <v>51028.38</v>
          </cell>
          <cell r="G2452">
            <v>17757.88</v>
          </cell>
        </row>
        <row r="2453">
          <cell r="B2453" t="str">
            <v>Е46-27-2</v>
          </cell>
          <cell r="C2453" t="str">
            <v>Пробивання прорiзiв в конструкцiях з
бетону</v>
          </cell>
          <cell r="D2453" t="str">
            <v>м3</v>
          </cell>
          <cell r="E2453">
            <v>8.9999999999999993E-3</v>
          </cell>
          <cell r="F2453">
            <v>2838.91</v>
          </cell>
          <cell r="G2453">
            <v>25.55</v>
          </cell>
        </row>
        <row r="2454">
          <cell r="B2454" t="str">
            <v>РН20-41-1</v>
          </cell>
          <cell r="C2454" t="str">
            <v>Навантаження сміття екскаваторами на
автомобілі-самоскиди, місткість ковша
екскаватора 0,25 м3.</v>
          </cell>
          <cell r="D2454" t="str">
            <v>100 т</v>
          </cell>
          <cell r="E2454">
            <v>0.87240000000000006</v>
          </cell>
          <cell r="F2454">
            <v>7746.86</v>
          </cell>
          <cell r="G2454">
            <v>6758.36</v>
          </cell>
        </row>
        <row r="2455">
          <cell r="B2455" t="str">
            <v>С311-30-М</v>
          </cell>
          <cell r="C2455" t="str">
            <v>Перевезення сміття до 30 км</v>
          </cell>
          <cell r="D2455" t="str">
            <v>т</v>
          </cell>
          <cell r="E2455">
            <v>87.24</v>
          </cell>
          <cell r="F2455">
            <v>195</v>
          </cell>
          <cell r="G2455">
            <v>17011.8</v>
          </cell>
        </row>
        <row r="2457">
          <cell r="B2457" t="str">
            <v>Е9-17-4тех.ч._п.1.3.2_к=1,1т.ч.т.5 к=1,03</v>
          </cell>
          <cell r="C2457" t="str">
            <v>Монтаж колон одноповерхових i
багатоповерхових будiвель i кранових
естакад висотою до 25 м складеного
перерiзу масою до 3 т /по залiзобетонних i
кам'яних опорах/</v>
          </cell>
          <cell r="D2457" t="str">
            <v>т</v>
          </cell>
          <cell r="E2457">
            <v>45.396000000000001</v>
          </cell>
          <cell r="F2457">
            <v>8274.73</v>
          </cell>
          <cell r="G2457">
            <v>375639.64</v>
          </cell>
        </row>
        <row r="2458">
          <cell r="B2458" t="str">
            <v>Е9-22-4т.ч.т.5 к=1,03</v>
          </cell>
          <cell r="C2458" t="str">
            <v>Монтаж кроквяних i пiдкроквяних ферм на
висотi до 25 м прогоном до 36 м, масою до
5 т</v>
          </cell>
          <cell r="D2458" t="str">
            <v>т</v>
          </cell>
          <cell r="E2458">
            <v>23.223199999999999</v>
          </cell>
          <cell r="F2458">
            <v>10302.75</v>
          </cell>
          <cell r="G2458">
            <v>239262.82</v>
          </cell>
        </row>
        <row r="2459">
          <cell r="B2459" t="str">
            <v>Е9-23-1т.ч.т.5 к=1,03</v>
          </cell>
          <cell r="C2459" t="str">
            <v>Монтаж вертикальних зв'язок у виглядi
ферм для прогонiв до 24 м при висотi
будiвлi до 25 м</v>
          </cell>
          <cell r="D2459" t="str">
            <v>т</v>
          </cell>
          <cell r="E2459">
            <v>4.42</v>
          </cell>
          <cell r="F2459">
            <v>11892.83</v>
          </cell>
          <cell r="G2459">
            <v>52566.31</v>
          </cell>
        </row>
        <row r="2460">
          <cell r="B2460" t="str">
            <v>С121-545</v>
          </cell>
          <cell r="C2460" t="str">
            <v>Основнi несучi конструкцiї каркасiв
одноповерхових промислових будiвель:
колони, опорнi плити, пiдкрановi балки з
гальмувальними конструкцiями, деталями
крiплення рейок та тупиками, колiї
пiдвiсного транспорту, кроквянi та
пiдкроквянi ферми або балки, надколоники,
прогони, зв'язки, фахверковi стояки, стiновi
ригелi, вiтровi ферми, безкрановi або з
пiдвiсним транспортом, або з мостовими
кранами вантажопiдйомнiстю до 50 т,
прогонами до 36 м, при шазi колон до 12 м,
цiльнометалевi iз застосуванням
профiльованого настилу в покриттi, витрата
сталi на 1 м2 до 70 кг</v>
          </cell>
          <cell r="D2460" t="str">
            <v>т</v>
          </cell>
          <cell r="E2460">
            <v>73.039199999999994</v>
          </cell>
          <cell r="F2460">
            <v>47003.54</v>
          </cell>
          <cell r="G2460" t="str">
            <v>3433100,
96</v>
          </cell>
        </row>
        <row r="2461">
          <cell r="B2461" t="str">
            <v>Е9-48-1</v>
          </cell>
          <cell r="C2461" t="str">
            <v>Електродугове зварювання при монтажi
каркасiв одноповерхових виробничих
будiвель</v>
          </cell>
          <cell r="D2461" t="str">
            <v>т</v>
          </cell>
          <cell r="E2461">
            <v>73.039199999999994</v>
          </cell>
          <cell r="F2461">
            <v>902.14</v>
          </cell>
          <cell r="G2461">
            <v>65891.58</v>
          </cell>
        </row>
        <row r="2462">
          <cell r="B2462" t="str">
            <v>Е13-16-6</v>
          </cell>
          <cell r="C2462" t="str">
            <v>Грунтування металевих поверхонь за
один раз грунтовкою ГФ-021 (монтажних
швів)</v>
          </cell>
          <cell r="D2462" t="str">
            <v>100м2</v>
          </cell>
          <cell r="E2462">
            <v>0.8327500000000001</v>
          </cell>
          <cell r="F2462">
            <v>1107.73</v>
          </cell>
          <cell r="G2462">
            <v>922.46</v>
          </cell>
        </row>
        <row r="2463">
          <cell r="B2463" t="str">
            <v>Е13-26-6к=2</v>
          </cell>
          <cell r="C2463" t="str">
            <v>Фарбування металевих погрунтованих
поверхонь емаллю ПФ-115 за 2 рази</v>
          </cell>
          <cell r="D2463" t="str">
            <v>100м2</v>
          </cell>
          <cell r="E2463">
            <v>16.655000000000001</v>
          </cell>
          <cell r="F2463">
            <v>4011.6</v>
          </cell>
          <cell r="G2463">
            <v>66813.2</v>
          </cell>
        </row>
        <row r="2464">
          <cell r="B2464" t="str">
            <v>Е9-17-1т.ч.т.5 к=1,03</v>
          </cell>
          <cell r="C2464" t="str">
            <v>Монтаж колон одноповерхових i
багатоповерхових будiвель i кранових
естакад висотою до 25 м суцiльного
перерiзу масою до 1,0 т</v>
          </cell>
          <cell r="D2464" t="str">
            <v>т</v>
          </cell>
          <cell r="E2464">
            <v>7.4463999999999997</v>
          </cell>
          <cell r="F2464">
            <v>5721.27</v>
          </cell>
          <cell r="G2464">
            <v>42602.86</v>
          </cell>
        </row>
        <row r="2465">
          <cell r="B2465" t="str">
            <v>С121-647</v>
          </cell>
          <cell r="C2465" t="str">
            <v>Основнi несучi конструкцiї для будiвель
багатоповерхових, виробничого та
невиробничого призначення, висотою до
100 м: колони, опорнi плити, балки
перекриттiв пiд встановлення устаткування
та покриттiв, ферми покриттiв та
мiжповерхових перекриттiв, зв'язки,
фахверки стiн, при реконструкцiї будiвель</v>
          </cell>
          <cell r="D2465" t="str">
            <v>т</v>
          </cell>
          <cell r="E2465">
            <v>7.4463999999999997</v>
          </cell>
          <cell r="F2465">
            <v>47003.54</v>
          </cell>
          <cell r="G2465">
            <v>350007.16</v>
          </cell>
        </row>
        <row r="2466">
          <cell r="B2466" t="str">
            <v>Е9-48-1</v>
          </cell>
          <cell r="C2466" t="str">
            <v>Електродугове зварювання при монтажi
каркасiв</v>
          </cell>
          <cell r="D2466" t="str">
            <v>т</v>
          </cell>
          <cell r="E2466">
            <v>7.4463999999999997</v>
          </cell>
          <cell r="F2466">
            <v>902.14</v>
          </cell>
          <cell r="G2466">
            <v>6717.7</v>
          </cell>
        </row>
        <row r="2467">
          <cell r="B2467" t="str">
            <v>Е13-16-6</v>
          </cell>
          <cell r="C2467" t="str">
            <v>Грунтування металевих поверхонь за
один раз грунтовкою ГФ-021 (монтажних
швів)</v>
          </cell>
          <cell r="D2467" t="str">
            <v>100м2</v>
          </cell>
          <cell r="E2467">
            <v>0.13525000000000001</v>
          </cell>
          <cell r="F2467">
            <v>1107.73</v>
          </cell>
          <cell r="G2467">
            <v>149.82</v>
          </cell>
        </row>
        <row r="2468">
          <cell r="B2468" t="str">
            <v>Е13-26-6к=2</v>
          </cell>
          <cell r="C2468" t="str">
            <v>Фарбування металевих погрунтованих
поверхонь емаллю ПФ-115 за 2 рази</v>
          </cell>
          <cell r="D2468" t="str">
            <v>100м2</v>
          </cell>
          <cell r="E2468">
            <v>2.7050000000000001</v>
          </cell>
          <cell r="F2468">
            <v>4011.6</v>
          </cell>
          <cell r="G2468">
            <v>10851.38</v>
          </cell>
        </row>
        <row r="2470">
          <cell r="B2470" t="str">
            <v>1507-3002-1</v>
          </cell>
          <cell r="C2470" t="str">
            <v>Свiтильник світлодіодний накладний міра
захисту IP20, НББ64-60-023 Селена 3А</v>
          </cell>
          <cell r="D2470" t="str">
            <v>шт</v>
          </cell>
          <cell r="E2470">
            <v>16</v>
          </cell>
          <cell r="F2470">
            <v>723.74</v>
          </cell>
          <cell r="G2470">
            <v>11579.84</v>
          </cell>
        </row>
        <row r="2471">
          <cell r="B2471" t="str">
            <v>С1547-1-1</v>
          </cell>
          <cell r="C2471" t="str">
            <v>Лампи світлодіодні А60е 7W E27 4100K 220V</v>
          </cell>
          <cell r="D2471" t="str">
            <v>шт</v>
          </cell>
          <cell r="E2471">
            <v>16</v>
          </cell>
          <cell r="F2471">
            <v>72.97</v>
          </cell>
          <cell r="G2471">
            <v>1167.52</v>
          </cell>
        </row>
        <row r="2472">
          <cell r="B2472" t="str">
            <v>Е21-22-2</v>
          </cell>
          <cell r="C2472" t="str">
            <v>Установлення вимикачiв заглибленого
типу при схованiй проводцi одноклавiшних</v>
          </cell>
          <cell r="D2472" t="str">
            <v>100шт</v>
          </cell>
          <cell r="E2472">
            <v>0.02</v>
          </cell>
          <cell r="F2472">
            <v>1741.19</v>
          </cell>
          <cell r="G2472">
            <v>34.82</v>
          </cell>
        </row>
        <row r="2473">
          <cell r="B2473" t="str">
            <v>290902-55</v>
          </cell>
          <cell r="C2473" t="str">
            <v>Вимикач одноклавішний, 6 А, 220 В,
прихований монтаж, ІР 20</v>
          </cell>
          <cell r="D2473" t="str">
            <v>шт</v>
          </cell>
          <cell r="E2473">
            <v>2</v>
          </cell>
          <cell r="F2473">
            <v>60.54</v>
          </cell>
          <cell r="G2473">
            <v>121.08</v>
          </cell>
        </row>
        <row r="2474">
          <cell r="B2474" t="str">
            <v>С1545-90</v>
          </cell>
          <cell r="C2474" t="str">
            <v>Коробка відгалужувальна, для трубної
розводки, ІР54</v>
          </cell>
          <cell r="D2474" t="str">
            <v>100шт</v>
          </cell>
          <cell r="E2474">
            <v>0.2</v>
          </cell>
          <cell r="F2474">
            <v>8703.7900000000009</v>
          </cell>
          <cell r="G2474">
            <v>1740.76</v>
          </cell>
        </row>
        <row r="2475">
          <cell r="B2475" t="str">
            <v>Е21-22-7</v>
          </cell>
          <cell r="C2475" t="str">
            <v>Установлення штепсельних розеток
незаглибленого типу при вiдкритiй проводцi</v>
          </cell>
          <cell r="D2475" t="str">
            <v>100шт</v>
          </cell>
          <cell r="E2475">
            <v>0.01</v>
          </cell>
          <cell r="F2475">
            <v>1715.95</v>
          </cell>
          <cell r="G2475">
            <v>17.16</v>
          </cell>
        </row>
        <row r="2476">
          <cell r="B2476" t="str">
            <v>290902-224</v>
          </cell>
          <cell r="C2476" t="str">
            <v>Розетка штепсельна двополюсна з третім
заземлюючим контактом, 16А, 220В, ІР540,
подвійна накладна</v>
          </cell>
          <cell r="D2476" t="str">
            <v>шт</v>
          </cell>
          <cell r="E2476">
            <v>1</v>
          </cell>
          <cell r="F2476">
            <v>245.77</v>
          </cell>
          <cell r="G2476">
            <v>245.77</v>
          </cell>
        </row>
        <row r="2477">
          <cell r="B2477" t="str">
            <v>Е21-2-1</v>
          </cell>
          <cell r="C2477" t="str">
            <v>Прокладання вiнiпластових труб, що
поставляються прямими трубами
довжиною 5-7 м, по стiнах i колонах iз
крiпленням накладними скобами, дiаметр
умовного проходу до 25 мм</v>
          </cell>
          <cell r="D2477" t="str">
            <v>100м</v>
          </cell>
          <cell r="E2477">
            <v>1.02</v>
          </cell>
          <cell r="F2477">
            <v>3189.31</v>
          </cell>
          <cell r="G2477">
            <v>3253.1</v>
          </cell>
        </row>
        <row r="2478">
          <cell r="B2478" t="str">
            <v>Е21-2-4</v>
          </cell>
          <cell r="C2478" t="str">
            <v>Прокладання вiнiпластових труб, що
поставляються прямими трубами
довжиною 5-7 м, по основi пiдлоги, дiаметр
умовного проходу до 25 мм</v>
          </cell>
          <cell r="D2478" t="str">
            <v>100м</v>
          </cell>
          <cell r="E2478">
            <v>0.04</v>
          </cell>
          <cell r="F2478">
            <v>731.88</v>
          </cell>
          <cell r="G2478">
            <v>29.28</v>
          </cell>
        </row>
        <row r="2479">
          <cell r="B2479" t="str">
            <v>С1530-1-2</v>
          </cell>
          <cell r="C2479" t="str">
            <v>Труба ПВХ, гладка діам.16 мм</v>
          </cell>
          <cell r="D2479" t="str">
            <v>м</v>
          </cell>
          <cell r="E2479">
            <v>107.06</v>
          </cell>
          <cell r="F2479">
            <v>6.91</v>
          </cell>
          <cell r="G2479">
            <v>739.78</v>
          </cell>
        </row>
        <row r="2480">
          <cell r="B2480" t="str">
            <v>Е21-4-2</v>
          </cell>
          <cell r="C2480" t="str">
            <v>Затягування у прокладенi труби або
металевi рукави проводу першого
одножильного або багатожильного у
загальному обплетеннi сумарним
перерiзом до 6 мм2</v>
          </cell>
          <cell r="D2480" t="str">
            <v>100м</v>
          </cell>
          <cell r="E2480">
            <v>1.06</v>
          </cell>
          <cell r="F2480">
            <v>683.12</v>
          </cell>
          <cell r="G2480">
            <v>724.11</v>
          </cell>
        </row>
        <row r="2481">
          <cell r="B2481" t="str">
            <v>15093-35013</v>
          </cell>
          <cell r="C2481" t="str">
            <v>Кабель силовий з мідними жилами з ПВХ
оболонкою і ізоляцією перерiзом 3.1,5мм2
ВВГнг-0,66</v>
          </cell>
          <cell r="D2481" t="str">
            <v>1000м</v>
          </cell>
          <cell r="E2481">
            <v>0.11</v>
          </cell>
          <cell r="F2481">
            <v>21823.119999999999</v>
          </cell>
          <cell r="G2481">
            <v>2400.54</v>
          </cell>
        </row>
        <row r="2482">
          <cell r="B2482" t="str">
            <v>Е21-22-12</v>
          </cell>
          <cell r="C2482" t="str">
            <v>Установлення вимикачiв, перемикачiв
пакетних 2-х i 3-х полюсних на струм до
25 А</v>
          </cell>
          <cell r="D2482" t="str">
            <v>100шт</v>
          </cell>
          <cell r="E2482">
            <v>0.02</v>
          </cell>
          <cell r="F2482">
            <v>17217.12</v>
          </cell>
          <cell r="G2482">
            <v>344.34</v>
          </cell>
        </row>
        <row r="2483">
          <cell r="B2483" t="str">
            <v>1504-1002-5-1</v>
          </cell>
          <cell r="C2483" t="str">
            <v>Автоматичний вимикач з незалежним
розчіплювачем, кiлькiсть полюсiв-1 Ін=6 А,
PL6-C6/1</v>
          </cell>
          <cell r="D2483" t="str">
            <v>шт</v>
          </cell>
          <cell r="E2483">
            <v>2</v>
          </cell>
          <cell r="F2483">
            <v>164.84</v>
          </cell>
          <cell r="G2483">
            <v>329.68</v>
          </cell>
        </row>
        <row r="2485">
          <cell r="B2485" t="str">
            <v>М8-81-1</v>
          </cell>
          <cell r="C2485" t="str">
            <v>Апарат керування i сигналiзацiї, кiлькiсть
кiнцiв, що пiдключаються, до 2</v>
          </cell>
          <cell r="D2485" t="str">
            <v>шт</v>
          </cell>
          <cell r="E2485">
            <v>1</v>
          </cell>
          <cell r="F2485">
            <v>116.08</v>
          </cell>
          <cell r="G2485">
            <v>116.08</v>
          </cell>
        </row>
        <row r="2486">
          <cell r="B2486" t="str">
            <v>1504-18119</v>
          </cell>
          <cell r="C2486" t="str">
            <v>Пост керування ПКУ15-21-131-54У2</v>
          </cell>
          <cell r="D2486" t="str">
            <v>шт</v>
          </cell>
          <cell r="E2486">
            <v>1</v>
          </cell>
          <cell r="F2486">
            <v>332.5</v>
          </cell>
          <cell r="G2486">
            <v>332.5</v>
          </cell>
        </row>
        <row r="2487">
          <cell r="B2487" t="str">
            <v>М8-532-4</v>
          </cell>
          <cell r="C2487" t="str">
            <v>Пост керування кнопковий загального
призначення, що установлюється на
конструкцiї на стiнi або колонi, кiлькiсть
елементiв поста до 3</v>
          </cell>
          <cell r="D2487" t="str">
            <v>шт</v>
          </cell>
          <cell r="E2487">
            <v>1</v>
          </cell>
          <cell r="F2487">
            <v>249.72</v>
          </cell>
          <cell r="G2487">
            <v>249.72</v>
          </cell>
        </row>
        <row r="2488">
          <cell r="B2488" t="str">
            <v>1602-50115</v>
          </cell>
          <cell r="C2488" t="str">
            <v>Дзвiнок гучного бою ЗВЛП-220 В</v>
          </cell>
          <cell r="D2488" t="str">
            <v>шт</v>
          </cell>
          <cell r="E2488">
            <v>1</v>
          </cell>
          <cell r="F2488">
            <v>871.15</v>
          </cell>
          <cell r="G2488">
            <v>871.15</v>
          </cell>
        </row>
        <row r="2489">
          <cell r="B2489" t="str">
            <v>М8-81-1</v>
          </cell>
          <cell r="C2489" t="str">
            <v>Апарат керування i сигналiзацiї, кiлькiсть
кiнцiв, що пiдключаються, до 2</v>
          </cell>
          <cell r="D2489" t="str">
            <v>шт</v>
          </cell>
          <cell r="E2489">
            <v>1</v>
          </cell>
          <cell r="F2489">
            <v>116.08</v>
          </cell>
          <cell r="G2489">
            <v>116.08</v>
          </cell>
        </row>
        <row r="2490">
          <cell r="B2490" t="str">
            <v>М8-545-1</v>
          </cell>
          <cell r="C2490" t="str">
            <v>Коробка [ящик] iз затискачами для
проводiв i кабелiв перерiзом жил до 6 мм2,
що установлюється на конструкцiї на
стiнi або колонi, кiлькiсть затискачiв у
коробцi до 10</v>
          </cell>
          <cell r="D2490" t="str">
            <v>шт</v>
          </cell>
          <cell r="E2490">
            <v>4</v>
          </cell>
          <cell r="F2490">
            <v>529.41999999999996</v>
          </cell>
          <cell r="G2490">
            <v>2117.6799999999998</v>
          </cell>
        </row>
        <row r="2491">
          <cell r="B2491" t="str">
            <v>2405-1356</v>
          </cell>
          <cell r="C2491" t="str">
            <v>Коробки клемнi ККС-4</v>
          </cell>
          <cell r="D2491" t="str">
            <v>шт</v>
          </cell>
          <cell r="E2491">
            <v>4</v>
          </cell>
          <cell r="F2491">
            <v>146.37</v>
          </cell>
          <cell r="G2491">
            <v>585.48</v>
          </cell>
        </row>
        <row r="2492">
          <cell r="B2492" t="str">
            <v>М8-545-2</v>
          </cell>
          <cell r="C2492" t="str">
            <v>Коробка [ящик] iз затискачами для
проводiв i кабелiв перерiзом жил до 6 мм2,
що установлюється на конструкцiї на
стiнi або колонi, кiлькiсть затискачiв у
коробцi до 20</v>
          </cell>
          <cell r="D2492" t="str">
            <v>шт</v>
          </cell>
          <cell r="E2492">
            <v>1</v>
          </cell>
          <cell r="F2492">
            <v>782.21</v>
          </cell>
          <cell r="G2492">
            <v>782.21</v>
          </cell>
        </row>
        <row r="2493">
          <cell r="B2493" t="str">
            <v>2405-1356</v>
          </cell>
          <cell r="C2493" t="str">
            <v>Коробки клемнi ККС-12</v>
          </cell>
          <cell r="D2493" t="str">
            <v>шт</v>
          </cell>
          <cell r="E2493">
            <v>1</v>
          </cell>
          <cell r="F2493">
            <v>372.83</v>
          </cell>
          <cell r="G2493">
            <v>372.83</v>
          </cell>
        </row>
        <row r="2494">
          <cell r="B2494" t="str">
            <v>2405-1361</v>
          </cell>
          <cell r="C2494" t="str">
            <v>Коробка вiдгалужувальна</v>
          </cell>
          <cell r="D2494" t="str">
            <v>шт</v>
          </cell>
          <cell r="E2494">
            <v>3</v>
          </cell>
          <cell r="F2494">
            <v>33.340000000000003</v>
          </cell>
          <cell r="G2494">
            <v>100.02</v>
          </cell>
        </row>
        <row r="2495">
          <cell r="B2495" t="str">
            <v>С1110-88</v>
          </cell>
          <cell r="C2495" t="str">
            <v>Кронштейн металевий під датчики</v>
          </cell>
          <cell r="D2495" t="str">
            <v>шт</v>
          </cell>
          <cell r="E2495">
            <v>3</v>
          </cell>
          <cell r="F2495">
            <v>262.83999999999997</v>
          </cell>
          <cell r="G2495">
            <v>788.52</v>
          </cell>
        </row>
        <row r="2496">
          <cell r="B2496" t="str">
            <v>М8-409-3</v>
          </cell>
          <cell r="C2496" t="str">
            <v>Труба вiнiпластова по стiнах i колонах з
крiпленням накладними скобами, дiаметр
до 63 мм</v>
          </cell>
          <cell r="D2496" t="str">
            <v>100 м</v>
          </cell>
          <cell r="E2496">
            <v>0.18</v>
          </cell>
          <cell r="F2496">
            <v>6436.21</v>
          </cell>
          <cell r="G2496">
            <v>1158.52</v>
          </cell>
        </row>
        <row r="2497">
          <cell r="B2497" t="str">
            <v>С1530-45</v>
          </cell>
          <cell r="C2497" t="str">
            <v>Труби полівінілхлорідна гладка, Ду=63 мм</v>
          </cell>
          <cell r="D2497" t="str">
            <v>10м</v>
          </cell>
          <cell r="E2497">
            <v>1.8</v>
          </cell>
          <cell r="F2497">
            <v>620.16</v>
          </cell>
          <cell r="G2497">
            <v>1116.29</v>
          </cell>
        </row>
        <row r="2498">
          <cell r="B2498" t="str">
            <v>М8-409-2</v>
          </cell>
          <cell r="C2498" t="str">
            <v>Труба вiнiпластова по стiнах i колонах з
крiпленням накладними скобами, дiаметр
до 50 мм</v>
          </cell>
          <cell r="D2498" t="str">
            <v>100 м</v>
          </cell>
          <cell r="E2498">
            <v>0.15</v>
          </cell>
          <cell r="F2498">
            <v>6080.86</v>
          </cell>
          <cell r="G2498">
            <v>912.13</v>
          </cell>
        </row>
        <row r="2499">
          <cell r="B2499" t="str">
            <v>С1530-43</v>
          </cell>
          <cell r="C2499" t="str">
            <v>Труба полiвінілхлорідна, гладка Ду= 40 мм</v>
          </cell>
          <cell r="D2499" t="str">
            <v>10м</v>
          </cell>
          <cell r="E2499">
            <v>1.5</v>
          </cell>
          <cell r="F2499">
            <v>264.75</v>
          </cell>
          <cell r="G2499">
            <v>397.13</v>
          </cell>
        </row>
        <row r="2500">
          <cell r="B2500" t="str">
            <v>М8-409-1</v>
          </cell>
          <cell r="C2500" t="str">
            <v>Труба вiнiпластова по стiнах i колонах з
крiпленням накладними скобами, дiаметр
до 25 мм</v>
          </cell>
          <cell r="D2500" t="str">
            <v>100 м</v>
          </cell>
          <cell r="E2500">
            <v>0.74</v>
          </cell>
          <cell r="F2500">
            <v>6888.54</v>
          </cell>
          <cell r="G2500">
            <v>5097.5200000000004</v>
          </cell>
        </row>
        <row r="2501">
          <cell r="B2501" t="str">
            <v>С1530-41</v>
          </cell>
          <cell r="C2501" t="str">
            <v>Труби полівінілхлорідна гладка, Ду=25 мм</v>
          </cell>
          <cell r="D2501" t="str">
            <v>10м</v>
          </cell>
          <cell r="E2501">
            <v>7.1</v>
          </cell>
          <cell r="F2501">
            <v>119.35</v>
          </cell>
          <cell r="G2501">
            <v>847.39</v>
          </cell>
        </row>
        <row r="2502">
          <cell r="B2502" t="str">
            <v>С1530-1-3</v>
          </cell>
          <cell r="C2502" t="str">
            <v>Труба гнучка гофрована з самозатухающого
ПВХ Ду=25 мм</v>
          </cell>
          <cell r="D2502" t="str">
            <v>м</v>
          </cell>
          <cell r="E2502">
            <v>3</v>
          </cell>
          <cell r="F2502">
            <v>19.97</v>
          </cell>
          <cell r="G2502">
            <v>59.91</v>
          </cell>
        </row>
        <row r="2503">
          <cell r="B2503" t="str">
            <v>М8-412-2</v>
          </cell>
          <cell r="C2503" t="str">
            <v>Провiд перший багатожильний у
загальному обплетеннi у прокладених
трубах, сумарний перерiз до 6 мм2</v>
          </cell>
          <cell r="D2503" t="str">
            <v>100 м</v>
          </cell>
          <cell r="E2503">
            <v>1.04</v>
          </cell>
          <cell r="F2503">
            <v>817.8</v>
          </cell>
          <cell r="G2503">
            <v>850.51</v>
          </cell>
        </row>
        <row r="2504">
          <cell r="B2504" t="str">
            <v>М8-412-9</v>
          </cell>
          <cell r="C2504" t="str">
            <v>Кожен наступний провiд багатожильний у
загальному обплетеннi у прокладених
трубах, сумарний перерiз до 6 мм2</v>
          </cell>
          <cell r="D2504" t="str">
            <v>100 м</v>
          </cell>
          <cell r="E2504">
            <v>0.68500000000000005</v>
          </cell>
          <cell r="F2504">
            <v>369.1</v>
          </cell>
          <cell r="G2504">
            <v>252.83</v>
          </cell>
        </row>
        <row r="2505">
          <cell r="B2505" t="str">
            <v>15093-34023</v>
          </cell>
          <cell r="C2505" t="str">
            <v>Кабель силовий з мідними жилами з ПВХ
оболонкою і ізоляцією перерiзом 2.2,5мм2
ВВГнг-0,66</v>
          </cell>
          <cell r="D2505" t="str">
            <v>1000м</v>
          </cell>
          <cell r="E2505">
            <v>0.10400000000000001</v>
          </cell>
          <cell r="F2505">
            <v>23171.02</v>
          </cell>
          <cell r="G2505">
            <v>2409.79</v>
          </cell>
        </row>
        <row r="2506">
          <cell r="B2506" t="str">
            <v>15093-34013</v>
          </cell>
          <cell r="C2506" t="str">
            <v>Кабель силовий з мідними жилами з ПВХ
оболонкою і ізоляцією перерiзом 2.1,5мм2
ВВГнг-0,66</v>
          </cell>
          <cell r="D2506" t="str">
            <v>1000м</v>
          </cell>
          <cell r="E2506">
            <v>1.5E-3</v>
          </cell>
          <cell r="F2506">
            <v>15726.4</v>
          </cell>
          <cell r="G2506">
            <v>23.59</v>
          </cell>
        </row>
        <row r="2507">
          <cell r="B2507" t="str">
            <v>15093-35013</v>
          </cell>
          <cell r="C2507" t="str">
            <v>Кабель силовий з мідними жилами з ПВХ
оболонкою і ізоляцією перерiзом 3.1,5мм2
ВВГнг-0,66</v>
          </cell>
          <cell r="D2507" t="str">
            <v>1000м</v>
          </cell>
          <cell r="E2507">
            <v>6.7000000000000004E-2</v>
          </cell>
          <cell r="F2507">
            <v>21823.119999999999</v>
          </cell>
          <cell r="G2507">
            <v>1462.15</v>
          </cell>
        </row>
        <row r="2508">
          <cell r="B2508" t="str">
            <v>М8-412-3</v>
          </cell>
          <cell r="C2508" t="str">
            <v>Провiд перший багатожильний у
загальному обплетеннi у прокладених
трубах, сумарний перерiз до 16 мм2</v>
          </cell>
          <cell r="D2508" t="str">
            <v>100 м</v>
          </cell>
          <cell r="E2508">
            <v>0.03</v>
          </cell>
          <cell r="F2508">
            <v>1038.2</v>
          </cell>
          <cell r="G2508">
            <v>31.15</v>
          </cell>
        </row>
        <row r="2509">
          <cell r="B2509" t="str">
            <v>15096-11231</v>
          </cell>
          <cell r="C2509" t="str">
            <v>Кабель перерiзом 7.1,5мм2 КВВГ</v>
          </cell>
          <cell r="D2509" t="str">
            <v>1000м</v>
          </cell>
          <cell r="E2509">
            <v>1.5E-3</v>
          </cell>
          <cell r="F2509">
            <v>52164.33</v>
          </cell>
          <cell r="G2509">
            <v>78.25</v>
          </cell>
        </row>
        <row r="2510">
          <cell r="B2510" t="str">
            <v>15096-11211</v>
          </cell>
          <cell r="C2510" t="str">
            <v>Кабель перерiзом 5.1,5мм2 КВВГ</v>
          </cell>
          <cell r="D2510" t="str">
            <v>1000м</v>
          </cell>
          <cell r="E2510">
            <v>1.5E-3</v>
          </cell>
          <cell r="F2510">
            <v>38289.26</v>
          </cell>
          <cell r="G2510">
            <v>57.43</v>
          </cell>
        </row>
        <row r="2511">
          <cell r="B2511" t="str">
            <v>М8-575-1</v>
          </cell>
          <cell r="C2511" t="str">
            <v>Установлення приладiв або апаратiв,
знятих перед транспортуванням</v>
          </cell>
          <cell r="D2511" t="str">
            <v>шт</v>
          </cell>
          <cell r="E2511">
            <v>1</v>
          </cell>
          <cell r="F2511">
            <v>117.29</v>
          </cell>
          <cell r="G2511">
            <v>117.29</v>
          </cell>
        </row>
        <row r="2512">
          <cell r="B2512" t="str">
            <v>1504-1002-5-1</v>
          </cell>
          <cell r="C2512" t="str">
            <v>Автоматичний вимикач з незалежним
розчіплювачем, кiлькiсть полюсiв-1 Ін=4 А,
PL6-C4/1</v>
          </cell>
          <cell r="D2512" t="str">
            <v>шт</v>
          </cell>
          <cell r="E2512">
            <v>1</v>
          </cell>
          <cell r="F2512">
            <v>193.83</v>
          </cell>
          <cell r="G2512">
            <v>193.83</v>
          </cell>
        </row>
        <row r="2514">
          <cell r="B2514" t="str">
            <v>Е16-14-20</v>
          </cell>
          <cell r="C2514" t="str">
            <v>Прокладання трубопроводiв
водопостачання з напiрних
полiетиленових труб високого тиску
зовнiшнiм дiаметром 110 мм зі з'єднанням
терморезисторним зварюванням</v>
          </cell>
          <cell r="D2514" t="str">
            <v>100м</v>
          </cell>
          <cell r="E2514">
            <v>0.32</v>
          </cell>
          <cell r="F2514">
            <v>14417.65</v>
          </cell>
          <cell r="G2514">
            <v>4613.6499999999996</v>
          </cell>
        </row>
        <row r="2515">
          <cell r="B2515" t="str">
            <v>С113-1380</v>
          </cell>
          <cell r="C2515" t="str">
            <v>Труби полiетиленовi для подачi холодної
води РЕ 100 SDR-17(1,0 МПа), зовнiшнiй
дiаметр 110х6,6 мм</v>
          </cell>
          <cell r="D2515" t="str">
            <v>м</v>
          </cell>
          <cell r="E2515">
            <v>31.84</v>
          </cell>
          <cell r="F2515">
            <v>370.23</v>
          </cell>
          <cell r="G2515">
            <v>11788.12</v>
          </cell>
        </row>
        <row r="2516">
          <cell r="B2516" t="str">
            <v>Е16-15-3</v>
          </cell>
          <cell r="C2516" t="str">
            <v>Установлення засувки чавунної з гумовим
клином з невисувним шпинделем фланцева
для води, тиск 10 HN 10 бар, Т до 70 _
дiаметром до 100 мм</v>
          </cell>
          <cell r="D2516" t="str">
            <v>шт</v>
          </cell>
          <cell r="E2516">
            <v>1</v>
          </cell>
          <cell r="F2516">
            <v>352.91</v>
          </cell>
          <cell r="G2516">
            <v>352.91</v>
          </cell>
        </row>
        <row r="2517">
          <cell r="B2517" t="str">
            <v>С111-960</v>
          </cell>
          <cell r="C2517" t="str">
            <v>Засувка чавунна з гумовим  клином з
невисувним шпинделем фланцева для води,
тиск РN10 бар, Т до 70_ Д=100</v>
          </cell>
          <cell r="D2517" t="str">
            <v>шт</v>
          </cell>
          <cell r="E2517">
            <v>1</v>
          </cell>
          <cell r="F2517">
            <v>21758.16</v>
          </cell>
          <cell r="G2517">
            <v>21758.16</v>
          </cell>
        </row>
        <row r="2518">
          <cell r="B2518" t="str">
            <v>С130-969</v>
          </cell>
          <cell r="C2518" t="str">
            <v>Фланець сталевий вільний тиск до 1,0 МПа
ГОСТ 12822-80  д= 100 мм</v>
          </cell>
          <cell r="D2518" t="str">
            <v>шт</v>
          </cell>
          <cell r="E2518">
            <v>1</v>
          </cell>
          <cell r="F2518">
            <v>376.44</v>
          </cell>
          <cell r="G2518">
            <v>376.44</v>
          </cell>
        </row>
        <row r="2519">
          <cell r="B2519" t="str">
            <v>С113-1307</v>
          </cell>
          <cell r="C2519" t="str">
            <v>Втулка під  фланець з ПНТ для напірних
труб дiам. 110 мм</v>
          </cell>
          <cell r="D2519" t="str">
            <v>шт</v>
          </cell>
          <cell r="E2519">
            <v>1</v>
          </cell>
          <cell r="F2519">
            <v>322.17</v>
          </cell>
          <cell r="G2519">
            <v>322.17</v>
          </cell>
        </row>
        <row r="2520">
          <cell r="B2520" t="str">
            <v>С113-1320</v>
          </cell>
          <cell r="C2520" t="str">
            <v>Бурт поліпропіленовий Д-110  (Wavin)</v>
          </cell>
          <cell r="D2520" t="str">
            <v>шт</v>
          </cell>
          <cell r="E2520">
            <v>1</v>
          </cell>
          <cell r="F2520">
            <v>305.29000000000002</v>
          </cell>
          <cell r="G2520">
            <v>305.29000000000002</v>
          </cell>
        </row>
        <row r="2521">
          <cell r="B2521" t="str">
            <v>С130-969</v>
          </cell>
          <cell r="C2521" t="str">
            <v>Фланець вільний тиск до 1,0 МПа  Wavin  д-
100 мм</v>
          </cell>
          <cell r="D2521" t="str">
            <v>шт</v>
          </cell>
          <cell r="E2521">
            <v>1</v>
          </cell>
          <cell r="F2521">
            <v>442.01</v>
          </cell>
          <cell r="G2521">
            <v>442.01</v>
          </cell>
        </row>
        <row r="2522">
          <cell r="B2522" t="str">
            <v>С113-1293</v>
          </cell>
          <cell r="C2522" t="str">
            <v>Муфта  полiпропіленова дiам. 110 мм</v>
          </cell>
          <cell r="D2522" t="str">
            <v>шт</v>
          </cell>
          <cell r="E2522">
            <v>1</v>
          </cell>
          <cell r="F2522">
            <v>549.03</v>
          </cell>
          <cell r="G2522">
            <v>549.03</v>
          </cell>
        </row>
        <row r="2523">
          <cell r="B2523" t="str">
            <v>С1532-31</v>
          </cell>
          <cell r="C2523" t="str">
            <v>Вiдвод 90 град. зварний ПЕ100 SDR7, Ру до
1МПа  Dn 110</v>
          </cell>
          <cell r="D2523" t="str">
            <v>шт</v>
          </cell>
          <cell r="E2523">
            <v>3</v>
          </cell>
          <cell r="F2523">
            <v>172.62</v>
          </cell>
          <cell r="G2523">
            <v>517.86</v>
          </cell>
        </row>
        <row r="2524">
          <cell r="B2524" t="str">
            <v>С1532-31</v>
          </cell>
          <cell r="C2524" t="str">
            <v>Вiдвод 45 град. зварний ПЕ100 SDR7, Ру до
1МПа  Dn 110</v>
          </cell>
          <cell r="D2524" t="str">
            <v>шт</v>
          </cell>
          <cell r="E2524">
            <v>2</v>
          </cell>
          <cell r="F2524">
            <v>172.62</v>
          </cell>
          <cell r="G2524">
            <v>345.24</v>
          </cell>
        </row>
        <row r="2525">
          <cell r="B2525" t="str">
            <v>С1545-44</v>
          </cell>
          <cell r="C2525" t="str">
            <v>Дюбель 12х100 мм</v>
          </cell>
          <cell r="D2525" t="str">
            <v>100шт</v>
          </cell>
          <cell r="E2525">
            <v>0.22</v>
          </cell>
          <cell r="F2525">
            <v>384.03</v>
          </cell>
          <cell r="G2525">
            <v>84.49</v>
          </cell>
        </row>
        <row r="2526">
          <cell r="B2526" t="str">
            <v>С130-1098-1-2П</v>
          </cell>
          <cell r="C2526" t="str">
            <v>Хомут S-образний Д-110мм с гайкой М8/М10</v>
          </cell>
          <cell r="D2526" t="str">
            <v>шт</v>
          </cell>
          <cell r="E2526">
            <v>22</v>
          </cell>
          <cell r="F2526">
            <v>40.229999999999997</v>
          </cell>
          <cell r="G2526">
            <v>885.06</v>
          </cell>
        </row>
        <row r="2527">
          <cell r="B2527" t="str">
            <v>С1630-114</v>
          </cell>
          <cell r="C2527" t="str">
            <v>Метал для кріплення</v>
          </cell>
          <cell r="D2527" t="str">
            <v>кг</v>
          </cell>
          <cell r="E2527">
            <v>15</v>
          </cell>
          <cell r="F2527">
            <v>42.15</v>
          </cell>
          <cell r="G2527">
            <v>632.25</v>
          </cell>
        </row>
        <row r="2528">
          <cell r="B2528" t="str">
            <v>ЕН6-1-13</v>
          </cell>
          <cell r="C2528" t="str">
            <v>Улаштування фундаментiв стовпiв
бетонних</v>
          </cell>
          <cell r="D2528" t="str">
            <v>100м3</v>
          </cell>
          <cell r="E2528">
            <v>3.2000000000000002E-3</v>
          </cell>
          <cell r="F2528">
            <v>97034.34</v>
          </cell>
          <cell r="G2528">
            <v>310.51</v>
          </cell>
        </row>
        <row r="2529">
          <cell r="B2529" t="str">
            <v>С1424-11619</v>
          </cell>
          <cell r="C2529" t="str">
            <v>Сумiшi бетоннi готовi важкi, клас бетону В7,
5 [М100], крупнiсть заповнювача бiльше 10
до 20 мм</v>
          </cell>
          <cell r="D2529" t="str">
            <v>м3</v>
          </cell>
          <cell r="E2529">
            <v>0.32640000000000002</v>
          </cell>
          <cell r="F2529">
            <v>2464.86</v>
          </cell>
          <cell r="G2529">
            <v>804.53</v>
          </cell>
        </row>
        <row r="2530">
          <cell r="B2530" t="str">
            <v>С130-38</v>
          </cell>
          <cell r="C2530" t="str">
            <v>Болт сантехнічний10х100 мм</v>
          </cell>
          <cell r="D2530" t="str">
            <v>т</v>
          </cell>
          <cell r="E2530">
            <v>1.2000000000000001E-3</v>
          </cell>
          <cell r="F2530">
            <v>118614.53</v>
          </cell>
          <cell r="G2530">
            <v>142.34</v>
          </cell>
        </row>
        <row r="2531">
          <cell r="B2531" t="str">
            <v>РН15-16-8</v>
          </cell>
          <cell r="C2531" t="str">
            <v>Під'єднання нових ділянок трубопроводу до
існуючих мереж водопостачання чи
опалення діаметром 100 мм</v>
          </cell>
          <cell r="D2531" t="str">
            <v>1 шт</v>
          </cell>
          <cell r="E2531">
            <v>2</v>
          </cell>
          <cell r="F2531">
            <v>142.01</v>
          </cell>
          <cell r="G2531">
            <v>284.02</v>
          </cell>
        </row>
        <row r="2532">
          <cell r="B2532" t="str">
            <v>Е16-14-9к=0,4</v>
          </cell>
          <cell r="C2532" t="str">
            <v>Демонтаж труби поліетиленової
дiаметром 110 мм</v>
          </cell>
          <cell r="D2532" t="str">
            <v>100м</v>
          </cell>
          <cell r="E2532">
            <v>0.32</v>
          </cell>
          <cell r="F2532">
            <v>5080.37</v>
          </cell>
          <cell r="G2532">
            <v>1625.72</v>
          </cell>
        </row>
        <row r="2533">
          <cell r="B2533" t="str">
            <v>Е16-15-3к=0,4</v>
          </cell>
          <cell r="C2533" t="str">
            <v>Демонтаж засувки чавунної дiаметром 100
мм</v>
          </cell>
          <cell r="D2533" t="str">
            <v>шт</v>
          </cell>
          <cell r="E2533">
            <v>1</v>
          </cell>
          <cell r="F2533">
            <v>116.11</v>
          </cell>
          <cell r="G2533">
            <v>116.11</v>
          </cell>
        </row>
        <row r="2534">
          <cell r="B2534" t="str">
            <v>С1545-104(зворотнiматерiали)</v>
          </cell>
          <cell r="C2534" t="str">
            <v>Брухт металевий
(зворотнi матерiали)</v>
          </cell>
          <cell r="D2534" t="str">
            <v>т</v>
          </cell>
          <cell r="E2534">
            <v>5.3999999999999999E-2</v>
          </cell>
          <cell r="F2534" t="str">
            <v xml:space="preserve">   -   </v>
          </cell>
          <cell r="G2534" t="str">
            <v xml:space="preserve">   -   </v>
          </cell>
        </row>
        <row r="2535">
          <cell r="B2535" t="str">
            <v>Е16-14-25</v>
          </cell>
          <cell r="C2535" t="str">
            <v>Прокладання трубопроводiв
водопостачання з напiрних вініпластових
труб зовнiшнiм дiаметром 32 мм зі
з'єднанням на клеї</v>
          </cell>
          <cell r="D2535" t="str">
            <v>100м</v>
          </cell>
          <cell r="E2535">
            <v>7.0000000000000021E-2</v>
          </cell>
          <cell r="F2535">
            <v>12492.22</v>
          </cell>
          <cell r="G2535">
            <v>874.46</v>
          </cell>
        </row>
        <row r="2536">
          <cell r="B2536" t="str">
            <v>С113-1354</v>
          </cell>
          <cell r="C2536" t="str">
            <v>Труба  напірна з ПХВ (U-HVC) клейова Ру
до 1,6МПа, зовнiшнiй дiаметр 32х2,4 мм</v>
          </cell>
          <cell r="D2536" t="str">
            <v>м</v>
          </cell>
          <cell r="E2536">
            <v>6.5659999999999998</v>
          </cell>
          <cell r="F2536">
            <v>57.89</v>
          </cell>
          <cell r="G2536">
            <v>380.11</v>
          </cell>
        </row>
        <row r="2537">
          <cell r="B2537" t="str">
            <v>Е16-14-27</v>
          </cell>
          <cell r="C2537" t="str">
            <v>Прокладання трубопроводiв
водопостачання з напiрних вініпластових
труб зовнiшнiм дiаметром 50 мм зі
з'єднанням на клеї</v>
          </cell>
          <cell r="D2537" t="str">
            <v>100м</v>
          </cell>
          <cell r="E2537">
            <v>0.05</v>
          </cell>
          <cell r="F2537">
            <v>14360.96</v>
          </cell>
          <cell r="G2537">
            <v>718.05</v>
          </cell>
        </row>
        <row r="2538">
          <cell r="B2538" t="str">
            <v>С113-1356</v>
          </cell>
          <cell r="C2538" t="str">
            <v>Труба напірна  з ПВХ (U-PVC) Ру до 1,6МПа
клейова, дiаметр 50х4,6 мм</v>
          </cell>
          <cell r="D2538" t="str">
            <v>м</v>
          </cell>
          <cell r="E2538">
            <v>4.7300000000000004</v>
          </cell>
          <cell r="F2538">
            <v>209.97</v>
          </cell>
          <cell r="G2538">
            <v>993.16</v>
          </cell>
        </row>
        <row r="2539">
          <cell r="B2539" t="str">
            <v>Е16-14-31</v>
          </cell>
          <cell r="C2539" t="str">
            <v>Прокладання трубопроводiв
водопостачання з напiрних вініпластових
труб зовнiшнiм дiаметром 110 мм зі
з'єднанням на клеї</v>
          </cell>
          <cell r="D2539" t="str">
            <v>100м</v>
          </cell>
          <cell r="E2539">
            <v>0.65</v>
          </cell>
          <cell r="F2539">
            <v>13373.86</v>
          </cell>
          <cell r="G2539">
            <v>8693.01</v>
          </cell>
        </row>
        <row r="2540">
          <cell r="B2540" t="str">
            <v>С113-1360</v>
          </cell>
          <cell r="C2540" t="str">
            <v>Труба напірна  з ПХВ (U-PVC) клейова  Ру
до 1,6МПа,  дiаметр 110х6,6мм</v>
          </cell>
          <cell r="D2540" t="str">
            <v>м</v>
          </cell>
          <cell r="E2540">
            <v>64.739999999999995</v>
          </cell>
          <cell r="F2540">
            <v>479.7</v>
          </cell>
          <cell r="G2540">
            <v>31055.78</v>
          </cell>
        </row>
        <row r="2541">
          <cell r="B2541" t="str">
            <v>С130-969</v>
          </cell>
          <cell r="C2541" t="str">
            <v>Фланець вільний тиск до 1,6 МПа  ODV110 
Д= 110 мм</v>
          </cell>
          <cell r="D2541" t="str">
            <v>шт</v>
          </cell>
          <cell r="E2541">
            <v>2</v>
          </cell>
          <cell r="F2541">
            <v>249.25</v>
          </cell>
          <cell r="G2541">
            <v>498.5</v>
          </cell>
        </row>
        <row r="2542">
          <cell r="B2542" t="str">
            <v>С113-1320</v>
          </cell>
          <cell r="C2542" t="str">
            <v>Бурт з гладкою поверхнею Д-110  (QРV110)</v>
          </cell>
          <cell r="D2542" t="str">
            <v>шт</v>
          </cell>
          <cell r="E2542">
            <v>2</v>
          </cell>
          <cell r="F2542">
            <v>215.87</v>
          </cell>
          <cell r="G2542">
            <v>431.74</v>
          </cell>
        </row>
        <row r="2543">
          <cell r="B2543" t="str">
            <v>С115-129</v>
          </cell>
          <cell r="C2543" t="str">
            <v>Прокладки біконіт під буртів Д-110</v>
          </cell>
          <cell r="D2543" t="str">
            <v>шт</v>
          </cell>
          <cell r="E2543">
            <v>2</v>
          </cell>
          <cell r="F2543">
            <v>124.29</v>
          </cell>
          <cell r="G2543">
            <v>248.58</v>
          </cell>
        </row>
        <row r="2544">
          <cell r="B2544" t="str">
            <v>С130-969</v>
          </cell>
          <cell r="C2544" t="str">
            <v>Фланець сталевий вільний тиск до 1,0 МПа
ГОСТ 12822-80  д= 100 мм</v>
          </cell>
          <cell r="D2544" t="str">
            <v>шт</v>
          </cell>
          <cell r="E2544">
            <v>2</v>
          </cell>
          <cell r="F2544">
            <v>376.44</v>
          </cell>
          <cell r="G2544">
            <v>752.88</v>
          </cell>
        </row>
        <row r="2545">
          <cell r="B2545" t="str">
            <v>С113-1307</v>
          </cell>
          <cell r="C2545" t="str">
            <v>Втулка під  фланець з ПНТ для напірних
труб дiам. 110 мм</v>
          </cell>
          <cell r="D2545" t="str">
            <v>шт</v>
          </cell>
          <cell r="E2545">
            <v>2</v>
          </cell>
          <cell r="F2545">
            <v>322.17</v>
          </cell>
          <cell r="G2545">
            <v>644.34</v>
          </cell>
        </row>
        <row r="2546">
          <cell r="B2546" t="str">
            <v>С113-1088-11В</v>
          </cell>
          <cell r="C2546" t="str">
            <v>Трiйник перехідний дiам 110/50 мм
TRIV110050</v>
          </cell>
          <cell r="D2546" t="str">
            <v>шт</v>
          </cell>
          <cell r="E2546">
            <v>10</v>
          </cell>
          <cell r="F2546">
            <v>680.37</v>
          </cell>
          <cell r="G2546">
            <v>6803.7</v>
          </cell>
        </row>
        <row r="2547">
          <cell r="B2547" t="str">
            <v>С113-993-11Д</v>
          </cell>
          <cell r="C2547" t="str">
            <v>Відвод 90_ дiам. 50 мм ( GIV110)</v>
          </cell>
          <cell r="D2547" t="str">
            <v>шт</v>
          </cell>
          <cell r="E2547">
            <v>10</v>
          </cell>
          <cell r="F2547">
            <v>63.43</v>
          </cell>
          <cell r="G2547">
            <v>634.29999999999995</v>
          </cell>
        </row>
        <row r="2548">
          <cell r="B2548" t="str">
            <v>С113-996</v>
          </cell>
          <cell r="C2548" t="str">
            <v>Відвод 90_ дiам. 110 мм (GIV110)</v>
          </cell>
          <cell r="D2548" t="str">
            <v>шт</v>
          </cell>
          <cell r="E2548">
            <v>6</v>
          </cell>
          <cell r="F2548">
            <v>513.29999999999995</v>
          </cell>
          <cell r="G2548">
            <v>3079.8</v>
          </cell>
        </row>
        <row r="2549">
          <cell r="B2549" t="str">
            <v>С113-997</v>
          </cell>
          <cell r="C2549" t="str">
            <v>Відвод 45_ дiам. 110 мм / HIV110</v>
          </cell>
          <cell r="D2549" t="str">
            <v>шт</v>
          </cell>
          <cell r="E2549">
            <v>3</v>
          </cell>
          <cell r="F2549">
            <v>582.91999999999996</v>
          </cell>
          <cell r="G2549">
            <v>1748.76</v>
          </cell>
        </row>
        <row r="2550">
          <cell r="B2550" t="str">
            <v>С113-1282</v>
          </cell>
          <cell r="C2550" t="str">
            <v>Подвійний муфтовий адаптер із  внутрішним
різьбленням Д-50х40х1  1/4"  DIFV050040114</v>
          </cell>
          <cell r="D2550" t="str">
            <v>шт</v>
          </cell>
          <cell r="E2550">
            <v>10</v>
          </cell>
          <cell r="F2550">
            <v>100.4</v>
          </cell>
          <cell r="G2550">
            <v>1004</v>
          </cell>
        </row>
        <row r="2551">
          <cell r="B2551" t="str">
            <v>С113-1280</v>
          </cell>
          <cell r="C2551" t="str">
            <v>З"єднувальна муфта компресійна із
зовнишньою різьбою на Ру до 1МПа  дiам.
32х1/4"</v>
          </cell>
          <cell r="D2551" t="str">
            <v>шт</v>
          </cell>
          <cell r="E2551">
            <v>10</v>
          </cell>
          <cell r="F2551">
            <v>50.6</v>
          </cell>
          <cell r="G2551">
            <v>506</v>
          </cell>
        </row>
        <row r="2552">
          <cell r="B2552" t="str">
            <v>С1545-47</v>
          </cell>
          <cell r="C2552" t="str">
            <v>Заглушка Д-110 (CIV110)</v>
          </cell>
          <cell r="D2552" t="str">
            <v>100шт</v>
          </cell>
          <cell r="E2552">
            <v>0.02</v>
          </cell>
          <cell r="F2552">
            <v>32121.13</v>
          </cell>
          <cell r="G2552">
            <v>642.41999999999996</v>
          </cell>
        </row>
        <row r="2553">
          <cell r="B2553" t="str">
            <v>С113-1293</v>
          </cell>
          <cell r="C2553" t="str">
            <v>Муфта з"еднувальна дiам. 110 мм (MIV110)</v>
          </cell>
          <cell r="D2553" t="str">
            <v>шт</v>
          </cell>
          <cell r="E2553">
            <v>13</v>
          </cell>
          <cell r="F2553">
            <v>308.72000000000003</v>
          </cell>
          <cell r="G2553">
            <v>4013.36</v>
          </cell>
        </row>
        <row r="2554">
          <cell r="B2554" t="str">
            <v>С130-1098-1-2П</v>
          </cell>
          <cell r="C2554" t="str">
            <v>Хомут S-образний Д-110мм с гайкой М8/М10</v>
          </cell>
          <cell r="D2554" t="str">
            <v>шт</v>
          </cell>
          <cell r="E2554">
            <v>42</v>
          </cell>
          <cell r="F2554">
            <v>40.229999999999997</v>
          </cell>
          <cell r="G2554">
            <v>1689.66</v>
          </cell>
        </row>
        <row r="2555">
          <cell r="B2555" t="str">
            <v>С130-1098-1-2П</v>
          </cell>
          <cell r="C2555" t="str">
            <v>Хомут S-образний Д-50мм с гайкой М8/М10</v>
          </cell>
          <cell r="D2555" t="str">
            <v>шт</v>
          </cell>
          <cell r="E2555">
            <v>10</v>
          </cell>
          <cell r="F2555">
            <v>23.72</v>
          </cell>
          <cell r="G2555">
            <v>237.21</v>
          </cell>
        </row>
        <row r="2556">
          <cell r="B2556" t="str">
            <v>С130-38</v>
          </cell>
          <cell r="C2556" t="str">
            <v>Болт сантехнічний10х100 мм</v>
          </cell>
          <cell r="D2556" t="str">
            <v>т</v>
          </cell>
          <cell r="E2556">
            <v>2.8400000000000001E-3</v>
          </cell>
          <cell r="F2556">
            <v>118614.53</v>
          </cell>
          <cell r="G2556">
            <v>336.87</v>
          </cell>
        </row>
        <row r="2557">
          <cell r="B2557" t="str">
            <v>С1545-44</v>
          </cell>
          <cell r="C2557" t="str">
            <v>Дюбель 12х100 мм</v>
          </cell>
          <cell r="D2557" t="str">
            <v>100шт</v>
          </cell>
          <cell r="E2557">
            <v>0.52</v>
          </cell>
          <cell r="F2557">
            <v>384.03</v>
          </cell>
          <cell r="G2557">
            <v>199.7</v>
          </cell>
        </row>
        <row r="2558">
          <cell r="B2558" t="str">
            <v>С111-1641-1-Э</v>
          </cell>
          <cell r="C2558" t="str">
            <v>Клей Tangit (Hemket)</v>
          </cell>
          <cell r="D2558" t="str">
            <v>л</v>
          </cell>
          <cell r="E2558">
            <v>1.2</v>
          </cell>
          <cell r="F2558">
            <v>949.75</v>
          </cell>
          <cell r="G2558">
            <v>1139.7</v>
          </cell>
        </row>
        <row r="2559">
          <cell r="B2559" t="str">
            <v>С111-838-1-Ю</v>
          </cell>
          <cell r="C2559" t="str">
            <v>Очищувач клею Tangit (Henket)</v>
          </cell>
          <cell r="D2559" t="str">
            <v>л</v>
          </cell>
          <cell r="E2559">
            <v>0.27200000000000002</v>
          </cell>
          <cell r="F2559">
            <v>751.94</v>
          </cell>
          <cell r="G2559">
            <v>204.53</v>
          </cell>
        </row>
        <row r="2560">
          <cell r="B2560" t="str">
            <v>С1630-114</v>
          </cell>
          <cell r="C2560" t="str">
            <v>Метал для кріплення</v>
          </cell>
          <cell r="D2560" t="str">
            <v>кг</v>
          </cell>
          <cell r="E2560">
            <v>20</v>
          </cell>
          <cell r="F2560">
            <v>42.15</v>
          </cell>
          <cell r="G2560">
            <v>843</v>
          </cell>
        </row>
        <row r="2561">
          <cell r="B2561" t="str">
            <v>С1545-96-1</v>
          </cell>
          <cell r="C2561" t="str">
            <v>Стрiчка ФУМ 15м, 19х0,25мм</v>
          </cell>
          <cell r="D2561" t="str">
            <v>шт</v>
          </cell>
          <cell r="E2561">
            <v>1</v>
          </cell>
          <cell r="F2561">
            <v>38.270000000000003</v>
          </cell>
          <cell r="G2561">
            <v>38.270000000000003</v>
          </cell>
        </row>
        <row r="2562">
          <cell r="B2562" t="str">
            <v>ЕН6-1-13</v>
          </cell>
          <cell r="C2562" t="str">
            <v>Улаштування фундаментiв стовпiв
бетонних</v>
          </cell>
          <cell r="D2562" t="str">
            <v>100м3</v>
          </cell>
          <cell r="E2562">
            <v>6.6E-3</v>
          </cell>
          <cell r="F2562">
            <v>97034.34</v>
          </cell>
          <cell r="G2562">
            <v>640.42999999999995</v>
          </cell>
        </row>
        <row r="2563">
          <cell r="B2563" t="str">
            <v>С1424-11619</v>
          </cell>
          <cell r="C2563" t="str">
            <v>Сумiшi бетоннi готовi важкi, клас бетону В7,
5 [М100], крупнiсть заповнювача бiльше 10
до 20 мм</v>
          </cell>
          <cell r="D2563" t="str">
            <v>м3</v>
          </cell>
          <cell r="E2563">
            <v>0.67320000000000002</v>
          </cell>
          <cell r="F2563">
            <v>2464.86</v>
          </cell>
          <cell r="G2563">
            <v>1659.34</v>
          </cell>
        </row>
        <row r="2564">
          <cell r="B2564" t="str">
            <v>ЕН26-11-1</v>
          </cell>
          <cell r="C2564" t="str">
            <v>Ізоляція трубопроводів трубками із
вспіненого поліетилену</v>
          </cell>
          <cell r="D2564" t="str">
            <v>10 м</v>
          </cell>
          <cell r="E2564">
            <v>7.7</v>
          </cell>
          <cell r="F2564">
            <v>234.29</v>
          </cell>
          <cell r="G2564">
            <v>1804.03</v>
          </cell>
        </row>
        <row r="2565">
          <cell r="B2565" t="str">
            <v>С114-98-Л</v>
          </cell>
          <cell r="C2565" t="str">
            <v>Ізоляція із вспіненого поліетилену K-FLEX
PE 13х35</v>
          </cell>
          <cell r="D2565" t="str">
            <v>м</v>
          </cell>
          <cell r="E2565">
            <v>7.14</v>
          </cell>
          <cell r="F2565">
            <v>48.45</v>
          </cell>
          <cell r="G2565">
            <v>345.93</v>
          </cell>
        </row>
        <row r="2566">
          <cell r="B2566" t="str">
            <v>С114-98-Л</v>
          </cell>
          <cell r="C2566" t="str">
            <v>Ізоляція із вспіненого поліетилену K-FLEX
PE 13х54</v>
          </cell>
          <cell r="D2566" t="str">
            <v>м</v>
          </cell>
          <cell r="E2566">
            <v>5.0999999999999996</v>
          </cell>
          <cell r="F2566">
            <v>99.82</v>
          </cell>
          <cell r="G2566">
            <v>509.08</v>
          </cell>
        </row>
        <row r="2567">
          <cell r="B2567" t="str">
            <v>С114-98-Л</v>
          </cell>
          <cell r="C2567" t="str">
            <v>Ізоляція із вспіненого поліетилену K-FLEX
PE 13х114</v>
          </cell>
          <cell r="D2567" t="str">
            <v>м</v>
          </cell>
          <cell r="E2567">
            <v>66.3</v>
          </cell>
          <cell r="F2567">
            <v>265.02999999999997</v>
          </cell>
          <cell r="G2567">
            <v>17571.490000000002</v>
          </cell>
        </row>
        <row r="2568">
          <cell r="B2568" t="str">
            <v>С1630-85-У</v>
          </cell>
          <cell r="C2568" t="str">
            <v>Кліпса монтажна, діам.32мм</v>
          </cell>
          <cell r="D2568" t="str">
            <v>шт</v>
          </cell>
          <cell r="E2568">
            <v>21</v>
          </cell>
          <cell r="F2568">
            <v>4.67</v>
          </cell>
          <cell r="G2568">
            <v>98.07</v>
          </cell>
        </row>
        <row r="2569">
          <cell r="B2569" t="str">
            <v>С1630-85-У</v>
          </cell>
          <cell r="C2569" t="str">
            <v>Кліпса монтажна, діам.54мм</v>
          </cell>
          <cell r="D2569" t="str">
            <v>шт</v>
          </cell>
          <cell r="E2569">
            <v>15</v>
          </cell>
          <cell r="F2569">
            <v>8.4</v>
          </cell>
          <cell r="G2569">
            <v>126</v>
          </cell>
        </row>
        <row r="2570">
          <cell r="B2570" t="str">
            <v>С1630-85-У</v>
          </cell>
          <cell r="C2570" t="str">
            <v>Кліпса монтажна, діам.114мм</v>
          </cell>
          <cell r="D2570" t="str">
            <v>шт</v>
          </cell>
          <cell r="E2570">
            <v>195</v>
          </cell>
          <cell r="F2570">
            <v>11.8</v>
          </cell>
          <cell r="G2570">
            <v>2301</v>
          </cell>
        </row>
        <row r="2571">
          <cell r="B2571" t="str">
            <v>С111-1678-1-Я</v>
          </cell>
          <cell r="C2571" t="str">
            <v>Стрiчка самоклеюча для спінених
теплоізоляційних матеріалів 3х50мм</v>
          </cell>
          <cell r="D2571" t="str">
            <v>м</v>
          </cell>
          <cell r="E2571">
            <v>106.3678</v>
          </cell>
          <cell r="F2571">
            <v>7.78</v>
          </cell>
          <cell r="G2571">
            <v>827.54</v>
          </cell>
        </row>
        <row r="2572">
          <cell r="B2572" t="str">
            <v>С111-1641-1-Э</v>
          </cell>
          <cell r="C2572" t="str">
            <v>Клей монтажний для теплоізоляційних
матеріалів</v>
          </cell>
          <cell r="D2572" t="str">
            <v>л</v>
          </cell>
          <cell r="E2572">
            <v>1.0933999999999999</v>
          </cell>
          <cell r="F2572">
            <v>478.23</v>
          </cell>
          <cell r="G2572">
            <v>522.9</v>
          </cell>
        </row>
        <row r="2573">
          <cell r="B2573" t="str">
            <v>С111-838-1-Ю</v>
          </cell>
          <cell r="C2573" t="str">
            <v>Очищувач клею</v>
          </cell>
          <cell r="D2573" t="str">
            <v>л</v>
          </cell>
          <cell r="E2573">
            <v>0.23870000000000002</v>
          </cell>
          <cell r="F2573">
            <v>311.02</v>
          </cell>
          <cell r="G2573">
            <v>74.239999999999995</v>
          </cell>
        </row>
        <row r="2574">
          <cell r="B2574" t="str">
            <v>РН15-16-8</v>
          </cell>
          <cell r="C2574" t="str">
            <v>Під'єднання нових ділянок трубопроводу до
існуючих мереж водопостачання чи
опалення діаметром 100 мм</v>
          </cell>
          <cell r="D2574" t="str">
            <v>1 шт</v>
          </cell>
          <cell r="E2574">
            <v>2</v>
          </cell>
          <cell r="F2574">
            <v>142.01</v>
          </cell>
          <cell r="G2574">
            <v>284.02</v>
          </cell>
        </row>
        <row r="2575">
          <cell r="B2575" t="str">
            <v>РН15-16-4</v>
          </cell>
          <cell r="C2575" t="str">
            <v>Під'єднання нових ділянок трубопроводу до
існуючих мереж водопостачання чи
опалення діаметром 32 мм</v>
          </cell>
          <cell r="D2575" t="str">
            <v>1 шт</v>
          </cell>
          <cell r="E2575">
            <v>10</v>
          </cell>
          <cell r="F2575">
            <v>82.81</v>
          </cell>
          <cell r="G2575">
            <v>828.1</v>
          </cell>
        </row>
        <row r="2576">
          <cell r="B2576" t="str">
            <v>Е16-14-9к=0,4</v>
          </cell>
          <cell r="C2576" t="str">
            <v>Демонтаж труби поліетиленової
дiаметром 110 мм</v>
          </cell>
          <cell r="D2576" t="str">
            <v>100м</v>
          </cell>
          <cell r="E2576">
            <v>0.62</v>
          </cell>
          <cell r="F2576">
            <v>5080.37</v>
          </cell>
          <cell r="G2576">
            <v>3149.83</v>
          </cell>
        </row>
        <row r="2577">
          <cell r="B2577" t="str">
            <v>Е16-14-25к=0,4</v>
          </cell>
          <cell r="C2577" t="str">
            <v>Демонтаж труби поліетиленової д= 32х2,4
мм</v>
          </cell>
          <cell r="D2577" t="str">
            <v>100м</v>
          </cell>
          <cell r="E2577">
            <v>0.05</v>
          </cell>
          <cell r="F2577">
            <v>4975</v>
          </cell>
          <cell r="G2577">
            <v>248.75</v>
          </cell>
        </row>
        <row r="2578">
          <cell r="B2578" t="str">
            <v>Е16-14-22</v>
          </cell>
          <cell r="C2578" t="str">
            <v>Прокладання трубопроводiв
водопостачання з напiрних
полiетиленових труб високого тиску
зовнiшнiм дiаметром 225х13,4 мм зі
з'єднанням терморезисторним
зварюванням</v>
          </cell>
          <cell r="D2578" t="str">
            <v>100м</v>
          </cell>
          <cell r="E2578">
            <v>0.48</v>
          </cell>
          <cell r="F2578">
            <v>14274.31</v>
          </cell>
          <cell r="G2578">
            <v>6851.67</v>
          </cell>
        </row>
        <row r="2579">
          <cell r="B2579" t="str">
            <v>С113-1386</v>
          </cell>
          <cell r="C2579" t="str">
            <v>Труби полiетиленовi для подачi холодної
води РЕ 100 SDR-17(1,0 МПа), зовнiшнiй
дiаметр 225х13,4 мм</v>
          </cell>
          <cell r="D2579" t="str">
            <v>м</v>
          </cell>
          <cell r="E2579">
            <v>47.616</v>
          </cell>
          <cell r="F2579">
            <v>1064.81</v>
          </cell>
          <cell r="G2579">
            <v>50701.99</v>
          </cell>
        </row>
        <row r="2580">
          <cell r="B2580" t="str">
            <v>С113-1345</v>
          </cell>
          <cell r="C2580" t="str">
            <v>Нероз"ємне з'єднання  "поліетилен-сталь"
DN 225/200 мм</v>
          </cell>
          <cell r="D2580" t="str">
            <v>шт</v>
          </cell>
          <cell r="E2580">
            <v>1</v>
          </cell>
          <cell r="F2580">
            <v>10694.63</v>
          </cell>
          <cell r="G2580">
            <v>10694.63</v>
          </cell>
        </row>
        <row r="2581">
          <cell r="B2581" t="str">
            <v>С113-999-11В</v>
          </cell>
          <cell r="C2581" t="str">
            <v>Відвід 90_ зварний ПЕ100, SDR17, Ру до
1МПа, Д=225мм</v>
          </cell>
          <cell r="D2581" t="str">
            <v>шт</v>
          </cell>
          <cell r="E2581">
            <v>1</v>
          </cell>
          <cell r="F2581">
            <v>4019.81</v>
          </cell>
          <cell r="G2581">
            <v>4019.81</v>
          </cell>
        </row>
        <row r="2582">
          <cell r="B2582" t="str">
            <v>С113-999-11Г</v>
          </cell>
          <cell r="C2582" t="str">
            <v>Відвід 45_ зварний ПЕ100 SDR17, Ру до
1МПа, Д=225мм</v>
          </cell>
          <cell r="D2582" t="str">
            <v>шт</v>
          </cell>
          <cell r="E2582">
            <v>7</v>
          </cell>
          <cell r="F2582">
            <v>4019.81</v>
          </cell>
          <cell r="G2582">
            <v>28138.67</v>
          </cell>
        </row>
        <row r="2583">
          <cell r="B2583" t="str">
            <v>С113-1103-11Д</v>
          </cell>
          <cell r="C2583" t="str">
            <v>Трiйник переходний 90_ ПЕ100 SDR17 дiам.
225х160 мм для терморезисторного
зварювання ПЕ труб</v>
          </cell>
          <cell r="D2583" t="str">
            <v>шт</v>
          </cell>
          <cell r="E2583">
            <v>1</v>
          </cell>
          <cell r="F2583">
            <v>4981.01</v>
          </cell>
          <cell r="G2583">
            <v>4981.01</v>
          </cell>
        </row>
        <row r="2584">
          <cell r="B2584" t="str">
            <v>С113-1313</v>
          </cell>
          <cell r="C2584" t="str">
            <v>Втулка під фланець з ПНТ для напорних
труб типу Т,  Д=160мм</v>
          </cell>
          <cell r="D2584" t="str">
            <v>шт</v>
          </cell>
          <cell r="E2584">
            <v>1</v>
          </cell>
          <cell r="F2584">
            <v>946.74</v>
          </cell>
          <cell r="G2584">
            <v>946.74</v>
          </cell>
        </row>
        <row r="2585">
          <cell r="B2585" t="str">
            <v>С1533-12</v>
          </cell>
          <cell r="C2585" t="str">
            <v>Фланець сталевий вільний на Ру до !,0 МПа 
дiаметр 150 мм</v>
          </cell>
          <cell r="D2585" t="str">
            <v>шт</v>
          </cell>
          <cell r="E2585">
            <v>1</v>
          </cell>
          <cell r="F2585">
            <v>1002.68</v>
          </cell>
          <cell r="G2585">
            <v>1002.68</v>
          </cell>
        </row>
        <row r="2586">
          <cell r="B2586" t="str">
            <v>С130-971</v>
          </cell>
          <cell r="C2586" t="str">
            <v>Фланець сталевий плоский приварний із
з"єднувальним виступом для води, тиском
до 1,0 МПа,  дiаметр 150 мм</v>
          </cell>
          <cell r="D2586" t="str">
            <v>шт</v>
          </cell>
          <cell r="E2586">
            <v>1</v>
          </cell>
          <cell r="F2586">
            <v>595.79999999999995</v>
          </cell>
          <cell r="G2586">
            <v>595.79999999999995</v>
          </cell>
        </row>
        <row r="2587">
          <cell r="B2587" t="str">
            <v>С1545-48</v>
          </cell>
          <cell r="C2587" t="str">
            <v>Заглушка сталева безшовна приварна
еліптична Д-159мм</v>
          </cell>
          <cell r="D2587" t="str">
            <v>шт</v>
          </cell>
          <cell r="E2587">
            <v>1</v>
          </cell>
          <cell r="F2587">
            <v>156.57</v>
          </cell>
          <cell r="G2587">
            <v>156.57</v>
          </cell>
        </row>
        <row r="2588">
          <cell r="B2588" t="str">
            <v>С130-1098-1-2П</v>
          </cell>
          <cell r="C2588" t="str">
            <v>Хомут S-образний Д-225мм с гайкой М8/М10</v>
          </cell>
          <cell r="D2588" t="str">
            <v>шт</v>
          </cell>
          <cell r="E2588">
            <v>19</v>
          </cell>
          <cell r="F2588">
            <v>204.31</v>
          </cell>
          <cell r="G2588">
            <v>3881.89</v>
          </cell>
        </row>
        <row r="2589">
          <cell r="B2589" t="str">
            <v>С130-38</v>
          </cell>
          <cell r="C2589" t="str">
            <v>Болт сантехнічний10х100 мм</v>
          </cell>
          <cell r="D2589" t="str">
            <v>т</v>
          </cell>
          <cell r="E2589">
            <v>1.17E-3</v>
          </cell>
          <cell r="F2589">
            <v>118614.53</v>
          </cell>
          <cell r="G2589">
            <v>138.78</v>
          </cell>
        </row>
        <row r="2590">
          <cell r="B2590" t="str">
            <v>С1545-44</v>
          </cell>
          <cell r="C2590" t="str">
            <v>Дюбель 12х100 мм</v>
          </cell>
          <cell r="D2590" t="str">
            <v>100шт</v>
          </cell>
          <cell r="E2590">
            <v>0.19</v>
          </cell>
          <cell r="F2590">
            <v>384.03</v>
          </cell>
          <cell r="G2590">
            <v>72.97</v>
          </cell>
        </row>
        <row r="2591">
          <cell r="B2591" t="str">
            <v>С1630-114</v>
          </cell>
          <cell r="C2591" t="str">
            <v>Метал для кріплення</v>
          </cell>
          <cell r="D2591" t="str">
            <v>кг</v>
          </cell>
          <cell r="E2591">
            <v>50</v>
          </cell>
          <cell r="F2591">
            <v>42.15</v>
          </cell>
          <cell r="G2591">
            <v>2107.5</v>
          </cell>
        </row>
        <row r="2592">
          <cell r="B2592" t="str">
            <v>РН15-16-11</v>
          </cell>
          <cell r="C2592" t="str">
            <v>Під'єднання нових ділянок трубопроводу до
існуючих мереж водопостачання чи
опалення діаметром 200 мм</v>
          </cell>
          <cell r="D2592" t="str">
            <v>1 шт</v>
          </cell>
          <cell r="E2592">
            <v>1</v>
          </cell>
          <cell r="F2592">
            <v>231.7</v>
          </cell>
          <cell r="G2592">
            <v>231.7</v>
          </cell>
        </row>
        <row r="2593">
          <cell r="B2593" t="str">
            <v>ЕН6-1-13</v>
          </cell>
          <cell r="C2593" t="str">
            <v>Улаштування фундаментiв стовпiв
бетонних</v>
          </cell>
          <cell r="D2593" t="str">
            <v>100м3</v>
          </cell>
          <cell r="E2593">
            <v>1.5E-3</v>
          </cell>
          <cell r="F2593">
            <v>97034.34</v>
          </cell>
          <cell r="G2593">
            <v>145.55000000000001</v>
          </cell>
        </row>
        <row r="2594">
          <cell r="B2594" t="str">
            <v>С1424-11619</v>
          </cell>
          <cell r="C2594" t="str">
            <v>Сумiшi бетоннi готовi важкi, клас бетону В7,
5 [М100], крупнiсть заповнювача бiльше 10
до 20 мм</v>
          </cell>
          <cell r="D2594" t="str">
            <v>м3</v>
          </cell>
          <cell r="E2594">
            <v>0.153</v>
          </cell>
          <cell r="F2594">
            <v>2464.86</v>
          </cell>
          <cell r="G2594">
            <v>377.12</v>
          </cell>
        </row>
        <row r="2595">
          <cell r="B2595" t="str">
            <v>Е16-10-8к=0,4</v>
          </cell>
          <cell r="C2595" t="str">
            <v>Демонтаж трубопровода водопостачання
зi стальних труб дiаметром 219 мм</v>
          </cell>
          <cell r="D2595" t="str">
            <v>100м</v>
          </cell>
          <cell r="E2595">
            <v>0.31</v>
          </cell>
          <cell r="F2595">
            <v>10222.68</v>
          </cell>
          <cell r="G2595">
            <v>3169.03</v>
          </cell>
        </row>
        <row r="2596">
          <cell r="B2596" t="str">
            <v>С1545-104(зворотнiматерiали)</v>
          </cell>
          <cell r="C2596" t="str">
            <v>Брухт металевий
(зворотнi матерiали)</v>
          </cell>
          <cell r="D2596" t="str">
            <v>т</v>
          </cell>
          <cell r="E2596">
            <v>0.58899999999999997</v>
          </cell>
          <cell r="F2596" t="str">
            <v xml:space="preserve">   -   </v>
          </cell>
          <cell r="G2596" t="str">
            <v xml:space="preserve">   -   </v>
          </cell>
        </row>
        <row r="2597">
          <cell r="B2597" t="str">
            <v>Е16-13-2</v>
          </cell>
          <cell r="C2597" t="str">
            <v>Прокладання трубопроводiв каналiзацiї з
полiетиленових труб низького тиску
дiаметром 110 мм</v>
          </cell>
          <cell r="D2597" t="str">
            <v>100м</v>
          </cell>
          <cell r="E2597">
            <v>0.53</v>
          </cell>
          <cell r="F2597">
            <v>6917.42</v>
          </cell>
          <cell r="G2597">
            <v>3666.23</v>
          </cell>
        </row>
        <row r="2598">
          <cell r="B2598" t="str">
            <v>С113-2227</v>
          </cell>
          <cell r="C2598" t="str">
            <v>Труба каналізаційна полівінілхлоридна для
внутрішньоі каналізаціі Dy110 "Wavin"</v>
          </cell>
          <cell r="D2598" t="str">
            <v>м</v>
          </cell>
          <cell r="E2598">
            <v>52.893999999999998</v>
          </cell>
          <cell r="F2598">
            <v>291.24</v>
          </cell>
          <cell r="G2598">
            <v>15404.85</v>
          </cell>
        </row>
        <row r="2599">
          <cell r="B2599" t="str">
            <v>С113-2302-1</v>
          </cell>
          <cell r="C2599" t="str">
            <v>Клапан зворотнiй Д=110 мм ПВХ з
раструбом</v>
          </cell>
          <cell r="D2599" t="str">
            <v>шт</v>
          </cell>
          <cell r="E2599">
            <v>1</v>
          </cell>
          <cell r="F2599">
            <v>407.1</v>
          </cell>
          <cell r="G2599">
            <v>407.1</v>
          </cell>
        </row>
        <row r="2600">
          <cell r="B2600" t="str">
            <v>С1630-973</v>
          </cell>
          <cell r="C2600" t="str">
            <v>Сифон  M/F L-110 мм "Kaczmarek"</v>
          </cell>
          <cell r="D2600" t="str">
            <v>шт</v>
          </cell>
          <cell r="E2600">
            <v>1</v>
          </cell>
          <cell r="F2600">
            <v>145.61000000000001</v>
          </cell>
          <cell r="G2600">
            <v>145.61000000000001</v>
          </cell>
        </row>
        <row r="2601">
          <cell r="B2601" t="str">
            <v>С113-2236</v>
          </cell>
          <cell r="C2601" t="str">
            <v>Відвід 45град. Dy 110 мм Wavin</v>
          </cell>
          <cell r="D2601" t="str">
            <v>шт</v>
          </cell>
          <cell r="E2601">
            <v>18</v>
          </cell>
          <cell r="F2601">
            <v>107.61</v>
          </cell>
          <cell r="G2601">
            <v>1936.98</v>
          </cell>
        </row>
        <row r="2602">
          <cell r="B2602" t="str">
            <v>С1630-973</v>
          </cell>
          <cell r="C2602" t="str">
            <v>Сифон  M/F L-110 мм "Kaczmarek"</v>
          </cell>
          <cell r="D2602" t="str">
            <v>шт</v>
          </cell>
          <cell r="E2602">
            <v>1</v>
          </cell>
          <cell r="F2602">
            <v>145.61000000000001</v>
          </cell>
          <cell r="G2602">
            <v>145.61000000000001</v>
          </cell>
        </row>
        <row r="2603">
          <cell r="B2603" t="str">
            <v>С113-2236</v>
          </cell>
          <cell r="C2603" t="str">
            <v>Відвід 45град. Dy 110 мм Wavin</v>
          </cell>
          <cell r="D2603" t="str">
            <v>шт</v>
          </cell>
          <cell r="E2603">
            <v>18</v>
          </cell>
          <cell r="F2603">
            <v>107.61</v>
          </cell>
          <cell r="G2603">
            <v>1936.98</v>
          </cell>
        </row>
        <row r="2604">
          <cell r="B2604" t="str">
            <v>С113-2244</v>
          </cell>
          <cell r="C2604" t="str">
            <v>Відвід 87'30 град. Dy110 мм Wavin</v>
          </cell>
          <cell r="D2604" t="str">
            <v>шт</v>
          </cell>
          <cell r="E2604">
            <v>1</v>
          </cell>
          <cell r="F2604">
            <v>122.39</v>
          </cell>
          <cell r="G2604">
            <v>122.39</v>
          </cell>
        </row>
        <row r="2605">
          <cell r="B2605" t="str">
            <v>С113-2266</v>
          </cell>
          <cell r="C2605" t="str">
            <v>Трiйник 87'30 град. Dy110/Dy110 Wavin</v>
          </cell>
          <cell r="D2605" t="str">
            <v>шт</v>
          </cell>
          <cell r="E2605">
            <v>9</v>
          </cell>
          <cell r="F2605">
            <v>196.83</v>
          </cell>
          <cell r="G2605">
            <v>1771.47</v>
          </cell>
        </row>
        <row r="2606">
          <cell r="B2606" t="str">
            <v>С113-2263</v>
          </cell>
          <cell r="C2606" t="str">
            <v>Трiйник 87'30 град. Dy110/Dy50 Wavin</v>
          </cell>
          <cell r="D2606" t="str">
            <v>шт</v>
          </cell>
          <cell r="E2606">
            <v>1</v>
          </cell>
          <cell r="F2606">
            <v>133.86000000000001</v>
          </cell>
          <cell r="G2606">
            <v>133.86000000000001</v>
          </cell>
        </row>
        <row r="2607">
          <cell r="B2607" t="str">
            <v>С113-1489</v>
          </cell>
          <cell r="C2607" t="str">
            <v>Заглушка Dy110 Wavin</v>
          </cell>
          <cell r="D2607" t="str">
            <v>шт</v>
          </cell>
          <cell r="E2607">
            <v>2</v>
          </cell>
          <cell r="F2607">
            <v>55.14</v>
          </cell>
          <cell r="G2607">
            <v>110.28</v>
          </cell>
        </row>
        <row r="2608">
          <cell r="B2608" t="str">
            <v>С113-2291</v>
          </cell>
          <cell r="C2608" t="str">
            <v>Ревiзiя Dy 110 Wavin</v>
          </cell>
          <cell r="D2608" t="str">
            <v>шт</v>
          </cell>
          <cell r="E2608">
            <v>2</v>
          </cell>
          <cell r="F2608">
            <v>240.55</v>
          </cell>
          <cell r="G2608">
            <v>481.1</v>
          </cell>
        </row>
        <row r="2609">
          <cell r="B2609" t="str">
            <v>С130-1097-2</v>
          </cell>
          <cell r="C2609" t="str">
            <v>Хомут сталевий, дiаметр 110 мм</v>
          </cell>
          <cell r="D2609" t="str">
            <v>шт</v>
          </cell>
          <cell r="E2609">
            <v>56</v>
          </cell>
          <cell r="F2609">
            <v>155.26</v>
          </cell>
          <cell r="G2609">
            <v>8694.56</v>
          </cell>
        </row>
        <row r="2610">
          <cell r="B2610" t="str">
            <v>Е16-13-2</v>
          </cell>
          <cell r="C2610" t="str">
            <v>Прокладання трубопроводiв каналiзацiї з
полiвінілхлоридна труб для внутрішньої
дiаметром 110 мм</v>
          </cell>
          <cell r="D2610" t="str">
            <v>100м</v>
          </cell>
          <cell r="E2610">
            <v>0.2</v>
          </cell>
          <cell r="F2610">
            <v>6917.42</v>
          </cell>
          <cell r="G2610">
            <v>1383.48</v>
          </cell>
        </row>
        <row r="2611">
          <cell r="B2611" t="str">
            <v>С113-1451</v>
          </cell>
          <cell r="C2611" t="str">
            <v>Труба каналізаційна із ПВХ з ущільнюючим
кільцем SN8, SDR34 для зовнішньої
каналізації DN 110х3,2 Wavin</v>
          </cell>
          <cell r="D2611" t="str">
            <v>м</v>
          </cell>
          <cell r="E2611">
            <v>16.966000000000001</v>
          </cell>
          <cell r="F2611">
            <v>143.16999999999999</v>
          </cell>
          <cell r="G2611">
            <v>2429.02</v>
          </cell>
        </row>
        <row r="2612">
          <cell r="B2612" t="str">
            <v>С113-1453-2</v>
          </cell>
          <cell r="C2612" t="str">
            <v>Труба для зовнішньої каналізації із
раструбом ПВХ з ущільнюючим кільцем,
клас S (SN8, SDR34), Dу 160х4,7  Wavin</v>
          </cell>
          <cell r="D2612" t="str">
            <v>м</v>
          </cell>
          <cell r="E2612">
            <v>2.9939999999999998</v>
          </cell>
          <cell r="F2612">
            <v>285.20999999999998</v>
          </cell>
          <cell r="G2612">
            <v>853.92</v>
          </cell>
        </row>
        <row r="2613">
          <cell r="B2613" t="str">
            <v>РН15-16-8</v>
          </cell>
          <cell r="C2613" t="str">
            <v>Під'єднання нових ділянок трубопроводу до
існуючих мереж водопостачання чи
опалення діаметром 100 мм</v>
          </cell>
          <cell r="D2613" t="str">
            <v>1 шт</v>
          </cell>
          <cell r="E2613">
            <v>8</v>
          </cell>
          <cell r="F2613">
            <v>142.01</v>
          </cell>
          <cell r="G2613">
            <v>1136.08</v>
          </cell>
        </row>
        <row r="2614">
          <cell r="B2614" t="str">
            <v>РН15-16-10</v>
          </cell>
          <cell r="C2614" t="str">
            <v>Під'єднання нових ділянок трубопроводу до
існуючих мереж водопостачання чи
опалення діаметром 150 мм</v>
          </cell>
          <cell r="D2614" t="str">
            <v>1 шт</v>
          </cell>
          <cell r="E2614">
            <v>1</v>
          </cell>
          <cell r="F2614">
            <v>196.76</v>
          </cell>
          <cell r="G2614">
            <v>196.76</v>
          </cell>
        </row>
        <row r="2615">
          <cell r="B2615" t="str">
            <v>С113-2291</v>
          </cell>
          <cell r="C2615" t="str">
            <v>Ревiзiя з ущільнюючим кільцем SN4 для
зовнішньої каналізації Dу 110 Wavin</v>
          </cell>
          <cell r="D2615" t="str">
            <v>шт</v>
          </cell>
          <cell r="E2615">
            <v>1</v>
          </cell>
          <cell r="F2615">
            <v>849.74</v>
          </cell>
          <cell r="G2615">
            <v>849.74</v>
          </cell>
        </row>
        <row r="2616">
          <cell r="B2616" t="str">
            <v>С113-1457</v>
          </cell>
          <cell r="C2616" t="str">
            <v>Трійник 88_ клас S (SN8) для зовнішньоі
каналізаціі Dy100/Dy100x88 Wavin</v>
          </cell>
          <cell r="D2616" t="str">
            <v>шт</v>
          </cell>
          <cell r="E2616">
            <v>2</v>
          </cell>
          <cell r="F2616">
            <v>184.68</v>
          </cell>
          <cell r="G2616">
            <v>369.36</v>
          </cell>
        </row>
        <row r="2617">
          <cell r="B2617" t="str">
            <v>С113-1466</v>
          </cell>
          <cell r="C2617" t="str">
            <v>Відвід 45_ з ущільнюючим кільцем клас S
(SN8) для зовнішньоі каналізаціі Dy110x45
Wavin</v>
          </cell>
          <cell r="D2617" t="str">
            <v>шт</v>
          </cell>
          <cell r="E2617">
            <v>3</v>
          </cell>
          <cell r="F2617">
            <v>131.47</v>
          </cell>
          <cell r="G2617">
            <v>394.41</v>
          </cell>
        </row>
        <row r="2618">
          <cell r="B2618" t="str">
            <v>С113-2293</v>
          </cell>
          <cell r="C2618" t="str">
            <v>Заглушка внутрішня SN4 для зовнішньої
каналізації iз ПВХ дiам. 110 мм Wavin</v>
          </cell>
          <cell r="D2618" t="str">
            <v>шт</v>
          </cell>
          <cell r="E2618">
            <v>2</v>
          </cell>
          <cell r="F2618">
            <v>36.03</v>
          </cell>
          <cell r="G2618">
            <v>72.06</v>
          </cell>
        </row>
        <row r="2619">
          <cell r="B2619" t="str">
            <v>С1630-114</v>
          </cell>
          <cell r="C2619" t="str">
            <v>Крiплення для трубопроводiв [кронштейни,
планки, хомути]</v>
          </cell>
          <cell r="D2619" t="str">
            <v>кг</v>
          </cell>
          <cell r="E2619">
            <v>20</v>
          </cell>
          <cell r="F2619">
            <v>42.15</v>
          </cell>
          <cell r="G2619">
            <v>843</v>
          </cell>
        </row>
        <row r="2620">
          <cell r="B2620" t="str">
            <v>С1546-56</v>
          </cell>
          <cell r="C2620" t="str">
            <v>Змащення для каналізації</v>
          </cell>
          <cell r="D2620" t="str">
            <v>кг</v>
          </cell>
          <cell r="E2620">
            <v>0.60000000000000009</v>
          </cell>
          <cell r="F2620">
            <v>949.71</v>
          </cell>
          <cell r="G2620">
            <v>569.83000000000004</v>
          </cell>
        </row>
        <row r="2621">
          <cell r="B2621" t="str">
            <v>С111-215</v>
          </cell>
          <cell r="C2621" t="str">
            <v>Герметик санітарний Lacrysil безколірний</v>
          </cell>
          <cell r="D2621" t="str">
            <v>кг</v>
          </cell>
          <cell r="E2621">
            <v>0.56000000000000005</v>
          </cell>
          <cell r="F2621">
            <v>386.38</v>
          </cell>
          <cell r="G2621">
            <v>216.37</v>
          </cell>
        </row>
        <row r="2622">
          <cell r="B2622" t="str">
            <v>ЕН6-1-13</v>
          </cell>
          <cell r="C2622" t="str">
            <v>Улаштування фундаментiв стовпiв
бетонних</v>
          </cell>
          <cell r="D2622" t="str">
            <v>100м3</v>
          </cell>
          <cell r="E2622">
            <v>5.0000000000000001E-4</v>
          </cell>
          <cell r="F2622">
            <v>97034.34</v>
          </cell>
          <cell r="G2622">
            <v>48.52</v>
          </cell>
        </row>
        <row r="2623">
          <cell r="B2623" t="str">
            <v>С1424-11619</v>
          </cell>
          <cell r="C2623" t="str">
            <v>Сумiшi бетоннi готовi важкi, клас бетону В7,
5 [М100], крупнiсть заповнювача бiльше 10
до 20 мм</v>
          </cell>
          <cell r="D2623" t="str">
            <v>м3</v>
          </cell>
          <cell r="E2623">
            <v>5.1000000000000004E-2</v>
          </cell>
          <cell r="F2623">
            <v>2464.86</v>
          </cell>
          <cell r="G2623">
            <v>125.71</v>
          </cell>
        </row>
        <row r="2624">
          <cell r="B2624" t="str">
            <v>С111-89-1</v>
          </cell>
          <cell r="C2624" t="str">
            <v>Гвинт М8 з двостороннім різьбленням і
розпірним дюбелем</v>
          </cell>
          <cell r="D2624" t="str">
            <v>шт</v>
          </cell>
          <cell r="E2624">
            <v>56</v>
          </cell>
          <cell r="F2624">
            <v>20.83</v>
          </cell>
          <cell r="G2624">
            <v>1166.48</v>
          </cell>
        </row>
        <row r="2625">
          <cell r="B2625" t="str">
            <v>С1630-973</v>
          </cell>
          <cell r="C2625" t="str">
            <v>Сифон двохобертовий пластмасовий
уніфікований</v>
          </cell>
          <cell r="D2625" t="str">
            <v>шт</v>
          </cell>
          <cell r="E2625">
            <v>1</v>
          </cell>
          <cell r="F2625">
            <v>287.39</v>
          </cell>
          <cell r="G2625">
            <v>287.39</v>
          </cell>
        </row>
        <row r="2626">
          <cell r="B2626" t="str">
            <v>С113-2280</v>
          </cell>
          <cell r="C2626" t="str">
            <v>Перехiд Dy110/Dy50 Wavin</v>
          </cell>
          <cell r="D2626" t="str">
            <v>шт</v>
          </cell>
          <cell r="E2626">
            <v>1</v>
          </cell>
          <cell r="F2626">
            <v>69.33</v>
          </cell>
          <cell r="G2626">
            <v>69.33</v>
          </cell>
        </row>
        <row r="2627">
          <cell r="B2627" t="str">
            <v>Е18-13-1</v>
          </cell>
          <cell r="C2627" t="str">
            <v>Установлення дренажного насоса Optima</v>
          </cell>
          <cell r="D2627" t="str">
            <v>шт</v>
          </cell>
          <cell r="E2627">
            <v>1</v>
          </cell>
          <cell r="F2627">
            <v>1484.69</v>
          </cell>
          <cell r="G2627">
            <v>1484.69</v>
          </cell>
        </row>
        <row r="2628">
          <cell r="B2628" t="str">
            <v>С1630-1614</v>
          </cell>
          <cell r="C2628" t="str">
            <v>Дренажний насос Optima FSP400C з
автоматичним  поплавковим вимикачем,
Q=4м3/ч, Н=5,0м, N=0,4квт</v>
          </cell>
          <cell r="D2628" t="str">
            <v>шт</v>
          </cell>
          <cell r="E2628">
            <v>1</v>
          </cell>
          <cell r="F2628">
            <v>1505.86</v>
          </cell>
          <cell r="G2628">
            <v>1505.86</v>
          </cell>
        </row>
        <row r="2629">
          <cell r="B2629" t="str">
            <v>С113-2159</v>
          </cell>
          <cell r="C2629" t="str">
            <v>Кульовий  кран з муфтовими закінченнями
Ру до 1МПа  дiам. 63 мм VEEIV063E</v>
          </cell>
          <cell r="D2629" t="str">
            <v>шт</v>
          </cell>
          <cell r="E2629">
            <v>1</v>
          </cell>
          <cell r="F2629">
            <v>900.71</v>
          </cell>
          <cell r="G2629">
            <v>900.71</v>
          </cell>
        </row>
        <row r="2630">
          <cell r="B2630" t="str">
            <v>С113-2301</v>
          </cell>
          <cell r="C2630" t="str">
            <v>Кульковий зворотний клапан з муфтовими
закінченнями Ру до 1МПа Д-63</v>
          </cell>
          <cell r="D2630" t="str">
            <v>шт</v>
          </cell>
          <cell r="E2630">
            <v>1</v>
          </cell>
          <cell r="F2630">
            <v>2051.9</v>
          </cell>
          <cell r="G2630">
            <v>2051.9</v>
          </cell>
        </row>
        <row r="2631">
          <cell r="B2631" t="str">
            <v>Е16-14-28</v>
          </cell>
          <cell r="C2631" t="str">
            <v>Прокладання трубопроводiв
водопостачання з напiрних вініпластових
труб зовнiшнiм дiаметром 63 мм зі
з'єднанням на клеї</v>
          </cell>
          <cell r="D2631" t="str">
            <v>100м</v>
          </cell>
          <cell r="E2631">
            <v>0.05</v>
          </cell>
          <cell r="F2631">
            <v>14460.17</v>
          </cell>
          <cell r="G2631">
            <v>723.01</v>
          </cell>
        </row>
        <row r="2632">
          <cell r="B2632" t="str">
            <v>С113-1356</v>
          </cell>
          <cell r="C2632" t="str">
            <v>Труба напірна  з ПВХ (U-PVC) Ру до 1,6МПа
клейова, дiаметр 63х4,7 мм</v>
          </cell>
          <cell r="D2632" t="str">
            <v>м</v>
          </cell>
          <cell r="E2632">
            <v>4.7300000000000004</v>
          </cell>
          <cell r="F2632">
            <v>293.82</v>
          </cell>
          <cell r="G2632">
            <v>1389.77</v>
          </cell>
        </row>
        <row r="2633">
          <cell r="B2633" t="str">
            <v>С113-1794</v>
          </cell>
          <cell r="C2633" t="str">
            <v>Муфта розбірна з внутрішнім різбленням
дiам. 32х1 мм</v>
          </cell>
          <cell r="D2633" t="str">
            <v>шт</v>
          </cell>
          <cell r="E2633">
            <v>1</v>
          </cell>
          <cell r="F2633">
            <v>101.32</v>
          </cell>
          <cell r="G2633">
            <v>101.32</v>
          </cell>
        </row>
        <row r="2634">
          <cell r="B2634" t="str">
            <v>С113-1283</v>
          </cell>
          <cell r="C2634" t="str">
            <v>Перехідне кільце Д-63х32 DIV063032</v>
          </cell>
          <cell r="D2634" t="str">
            <v>шт</v>
          </cell>
          <cell r="E2634">
            <v>1</v>
          </cell>
          <cell r="F2634">
            <v>45.93</v>
          </cell>
          <cell r="G2634">
            <v>45.93</v>
          </cell>
        </row>
        <row r="2635">
          <cell r="B2635" t="str">
            <v>С113-993-11Д</v>
          </cell>
          <cell r="C2635" t="str">
            <v>Відвод 90_ дiам. 63 мм ( GIV63)</v>
          </cell>
          <cell r="D2635" t="str">
            <v>шт</v>
          </cell>
          <cell r="E2635">
            <v>4</v>
          </cell>
          <cell r="F2635">
            <v>98.25</v>
          </cell>
          <cell r="G2635">
            <v>393</v>
          </cell>
        </row>
        <row r="2636">
          <cell r="B2636" t="str">
            <v>Е16-13-2к=0,4</v>
          </cell>
          <cell r="C2636" t="str">
            <v>Демонтаж труби каналiзацiйної з
полiвінілхлориду дiаметром 110 мм</v>
          </cell>
          <cell r="D2636" t="str">
            <v>100м</v>
          </cell>
          <cell r="E2636">
            <v>0.42</v>
          </cell>
          <cell r="F2636">
            <v>2909.71</v>
          </cell>
          <cell r="G2636">
            <v>1222.08</v>
          </cell>
        </row>
        <row r="2638">
          <cell r="B2638" t="str">
            <v>1503-12053</v>
          </cell>
          <cell r="C2638" t="str">
            <v>Провідник круглий алюмінієвий d=8мм з
ПВХ обшивкою (5021332)</v>
          </cell>
          <cell r="D2638" t="str">
            <v>м</v>
          </cell>
          <cell r="E2638">
            <v>50</v>
          </cell>
          <cell r="F2638">
            <v>215.67</v>
          </cell>
          <cell r="G2638">
            <v>10783.5</v>
          </cell>
        </row>
        <row r="2639">
          <cell r="B2639" t="str">
            <v>1503-12088</v>
          </cell>
          <cell r="C2639" t="str">
            <v>Тримач провідника Rd 8-10 оцинк (5229960)</v>
          </cell>
          <cell r="D2639" t="str">
            <v>шт</v>
          </cell>
          <cell r="E2639">
            <v>50</v>
          </cell>
          <cell r="F2639">
            <v>65.7</v>
          </cell>
          <cell r="G2639">
            <v>3285</v>
          </cell>
        </row>
        <row r="2640">
          <cell r="B2640" t="str">
            <v>Е1-164-2</v>
          </cell>
          <cell r="C2640" t="str">
            <v>Розробка ґрунту вручну в траншеях
глибиною до 2 м без крiплень з укосами,
група ґрунтiв 2</v>
          </cell>
          <cell r="D2640" t="str">
            <v>100м3</v>
          </cell>
          <cell r="E2640">
            <v>4.5600000000000002E-2</v>
          </cell>
          <cell r="F2640">
            <v>14569.17</v>
          </cell>
          <cell r="G2640">
            <v>664.35</v>
          </cell>
        </row>
        <row r="2641">
          <cell r="B2641" t="str">
            <v>Е1-166-1</v>
          </cell>
          <cell r="C2641" t="str">
            <v>Засипка вручну траншей, пазух котлованiв i
ям, група ґрунтiв 1</v>
          </cell>
          <cell r="D2641" t="str">
            <v>100м3</v>
          </cell>
          <cell r="E2641">
            <v>4.5600000000000002E-2</v>
          </cell>
          <cell r="F2641">
            <v>8246.16</v>
          </cell>
          <cell r="G2641">
            <v>376.02</v>
          </cell>
        </row>
        <row r="2642">
          <cell r="B2642" t="str">
            <v>М8-472-2</v>
          </cell>
          <cell r="C2642" t="str">
            <v>Заземлювач горизонтальний у траншеї зi
сталi штабової, перерiз 160 мм2</v>
          </cell>
          <cell r="D2642" t="str">
            <v>100 м</v>
          </cell>
          <cell r="E2642">
            <v>0.19</v>
          </cell>
          <cell r="F2642">
            <v>1868.33</v>
          </cell>
          <cell r="G2642">
            <v>354.98</v>
          </cell>
        </row>
        <row r="2643">
          <cell r="B2643" t="str">
            <v>1503-12048-2</v>
          </cell>
          <cell r="C2643" t="str">
            <v>Провідник плоский 30х3,5 мм оцинк.
(5019345)</v>
          </cell>
          <cell r="D2643" t="str">
            <v>м</v>
          </cell>
          <cell r="E2643">
            <v>19</v>
          </cell>
          <cell r="F2643">
            <v>79.73</v>
          </cell>
          <cell r="G2643">
            <v>1514.87</v>
          </cell>
        </row>
        <row r="2645">
          <cell r="B2645" t="str">
            <v>С1545-265-1-2Ф</v>
          </cell>
          <cell r="C2645" t="str">
            <v>Трубка мiдна з термоізолятором d=6,35х0,76</v>
          </cell>
          <cell r="D2645" t="str">
            <v>м</v>
          </cell>
          <cell r="E2645">
            <v>5</v>
          </cell>
          <cell r="F2645">
            <v>54.11</v>
          </cell>
          <cell r="G2645">
            <v>270.55</v>
          </cell>
        </row>
        <row r="2646">
          <cell r="B2646" t="str">
            <v>С1545-265-2</v>
          </cell>
          <cell r="C2646" t="str">
            <v>Трубка мiдна з термоізолятором d=12,7х0,89</v>
          </cell>
          <cell r="D2646" t="str">
            <v>м</v>
          </cell>
          <cell r="E2646">
            <v>5</v>
          </cell>
          <cell r="F2646">
            <v>121.38</v>
          </cell>
          <cell r="G2646">
            <v>606.9</v>
          </cell>
        </row>
        <row r="2647">
          <cell r="B2647" t="str">
            <v>М12-70-1</v>
          </cell>
          <cell r="C2647" t="str">
            <v>Трубопроводи з мiдних труб на умовний
тиск до 2,5 МПа [25 кгс/см2], дiаметр
зовнiшнiй 18 мм</v>
          </cell>
          <cell r="D2647" t="str">
            <v>100 м</v>
          </cell>
          <cell r="E2647">
            <v>0.4</v>
          </cell>
          <cell r="F2647">
            <v>9143.73</v>
          </cell>
          <cell r="G2647">
            <v>3657.49</v>
          </cell>
        </row>
        <row r="2648">
          <cell r="B2648" t="str">
            <v>С1545-265-1-2Ф</v>
          </cell>
          <cell r="C2648" t="str">
            <v>Трубка мiдна з термоізолятором d=6,35х0,76</v>
          </cell>
          <cell r="D2648" t="str">
            <v>м</v>
          </cell>
          <cell r="E2648">
            <v>20</v>
          </cell>
          <cell r="F2648">
            <v>54.11</v>
          </cell>
          <cell r="G2648">
            <v>1082.2</v>
          </cell>
        </row>
        <row r="2649">
          <cell r="B2649" t="str">
            <v>С1545-265-3</v>
          </cell>
          <cell r="C2649" t="str">
            <v>Трубка мiдна з термоізолятором d=9,52х0,81</v>
          </cell>
          <cell r="D2649" t="str">
            <v>м</v>
          </cell>
          <cell r="E2649">
            <v>20</v>
          </cell>
          <cell r="F2649">
            <v>92.33</v>
          </cell>
          <cell r="G2649">
            <v>1846.6</v>
          </cell>
        </row>
        <row r="2650">
          <cell r="B2650" t="str">
            <v>М12-70-1</v>
          </cell>
          <cell r="C2650" t="str">
            <v>Трубопроводи з мiдних труб на умовний
тиск до 2,5 МПа [25 кгс/см2], дiаметр
зовнiшнiй 18 мм</v>
          </cell>
          <cell r="D2650" t="str">
            <v>100 м</v>
          </cell>
          <cell r="E2650">
            <v>0.1</v>
          </cell>
          <cell r="F2650">
            <v>9143.73</v>
          </cell>
          <cell r="G2650">
            <v>914.37</v>
          </cell>
        </row>
        <row r="2651">
          <cell r="B2651" t="str">
            <v>С1545-265-3</v>
          </cell>
          <cell r="C2651" t="str">
            <v>Трубка мiдна з термоізолятором d=9,52х0,81</v>
          </cell>
          <cell r="D2651" t="str">
            <v>м</v>
          </cell>
          <cell r="E2651">
            <v>5</v>
          </cell>
          <cell r="F2651">
            <v>92.33</v>
          </cell>
          <cell r="G2651">
            <v>461.65</v>
          </cell>
        </row>
        <row r="2652">
          <cell r="B2652" t="str">
            <v>С1545-265-4</v>
          </cell>
          <cell r="C2652" t="str">
            <v>Трубка мiдна з термоізолятором d=15,87х0,
89</v>
          </cell>
          <cell r="D2652" t="str">
            <v>м</v>
          </cell>
          <cell r="E2652">
            <v>5</v>
          </cell>
          <cell r="F2652">
            <v>129.84</v>
          </cell>
          <cell r="G2652">
            <v>649.20000000000005</v>
          </cell>
        </row>
        <row r="2653">
          <cell r="B2653" t="str">
            <v>М12-70-1</v>
          </cell>
          <cell r="C2653" t="str">
            <v>Трубопроводи з мiдних труб на умовний
тиск до 2,5 МПа [25 кгс/см2], дiаметр
зовнiшнiй 18 мм</v>
          </cell>
          <cell r="D2653" t="str">
            <v>100 м</v>
          </cell>
          <cell r="E2653">
            <v>0.2</v>
          </cell>
          <cell r="F2653">
            <v>9143.73</v>
          </cell>
          <cell r="G2653">
            <v>1828.75</v>
          </cell>
        </row>
        <row r="2654">
          <cell r="B2654" t="str">
            <v>С1545-265-1-2Ф</v>
          </cell>
          <cell r="C2654" t="str">
            <v>Трубка мiдна з термоізолятором d=6,35х0,76</v>
          </cell>
          <cell r="D2654" t="str">
            <v>м</v>
          </cell>
          <cell r="E2654">
            <v>10</v>
          </cell>
          <cell r="F2654">
            <v>54.11</v>
          </cell>
          <cell r="G2654">
            <v>541.1</v>
          </cell>
        </row>
        <row r="2655">
          <cell r="B2655" t="str">
            <v>С1545-265-3</v>
          </cell>
          <cell r="C2655" t="str">
            <v>Трубка мiдна з термоізолятором d=9,52х0,81</v>
          </cell>
          <cell r="D2655" t="str">
            <v>м</v>
          </cell>
          <cell r="E2655">
            <v>10</v>
          </cell>
          <cell r="F2655">
            <v>92.33</v>
          </cell>
          <cell r="G2655">
            <v>923.3</v>
          </cell>
        </row>
        <row r="2656">
          <cell r="B2656" t="str">
            <v>Е16-14-12</v>
          </cell>
          <cell r="C2656" t="str">
            <v>Прокладання трубопроводiв
водопостачання з напiрних
полiетиленових труб високого тиску
зовнiшнiм дiаметром 20 мм зі з'єднанням
терморезисторним зварюванням</v>
          </cell>
          <cell r="D2656" t="str">
            <v>100м</v>
          </cell>
          <cell r="E2656">
            <v>0.1</v>
          </cell>
          <cell r="F2656">
            <v>11252.99</v>
          </cell>
          <cell r="G2656">
            <v>1125.3</v>
          </cell>
        </row>
        <row r="2657">
          <cell r="B2657" t="str">
            <v>С113-1680</v>
          </cell>
          <cell r="C2657" t="str">
            <v>Трубка для конденсату гладка ПВХ d=16</v>
          </cell>
          <cell r="D2657" t="str">
            <v>м</v>
          </cell>
          <cell r="E2657">
            <v>10</v>
          </cell>
          <cell r="F2657">
            <v>25.36</v>
          </cell>
          <cell r="G2657">
            <v>253.6</v>
          </cell>
        </row>
        <row r="2658">
          <cell r="B2658" t="str">
            <v>Е20-3-4</v>
          </cell>
          <cell r="C2658" t="str">
            <v>Прокладання повiтроводiв з оцинкованої
сталi класу Н [нормальнi] товщиною 0,6
мм, дiаметром до 250 мм</v>
          </cell>
          <cell r="D2658" t="str">
            <v>100м2</v>
          </cell>
          <cell r="E2658">
            <v>1.5700000000000002E-2</v>
          </cell>
          <cell r="F2658">
            <v>22392.14</v>
          </cell>
          <cell r="G2658">
            <v>351.56</v>
          </cell>
        </row>
        <row r="2659">
          <cell r="B2659" t="str">
            <v>С130-1126</v>
          </cell>
          <cell r="C2659" t="str">
            <v>Повiтровід з оцинкованої з сталi товщиною
0,7 мм, круглого перерiзу, дiаметр 250 мм
ГОСТ 14918-80</v>
          </cell>
          <cell r="D2659" t="str">
            <v>м2</v>
          </cell>
          <cell r="E2659">
            <v>1.57</v>
          </cell>
          <cell r="F2659">
            <v>605.17999999999995</v>
          </cell>
          <cell r="G2659">
            <v>950.13</v>
          </cell>
        </row>
        <row r="2660">
          <cell r="B2660" t="str">
            <v>С130-929-1</v>
          </cell>
          <cell r="C2660" t="str">
            <v>Фланець d=250 з &lt; 25х25х2,5</v>
          </cell>
          <cell r="D2660" t="str">
            <v>шт</v>
          </cell>
          <cell r="E2660">
            <v>4</v>
          </cell>
          <cell r="F2660">
            <v>58.59</v>
          </cell>
          <cell r="G2660">
            <v>234.36</v>
          </cell>
        </row>
        <row r="2661">
          <cell r="B2661" t="str">
            <v>Е20-3-6</v>
          </cell>
          <cell r="C2661" t="str">
            <v>Прокладання повiтроводiв з оцинкованої
сталi класу Н [нормальнi] товщиною 0,6
мм, дiаметром до 450 мм</v>
          </cell>
          <cell r="D2661" t="str">
            <v>100м2</v>
          </cell>
          <cell r="E2661">
            <v>2.5100000000000001E-2</v>
          </cell>
          <cell r="F2661">
            <v>18464.62</v>
          </cell>
          <cell r="G2661">
            <v>463.46</v>
          </cell>
        </row>
        <row r="2662">
          <cell r="B2662" t="str">
            <v>С130-1126</v>
          </cell>
          <cell r="C2662" t="str">
            <v>Повiтровід з оцинкованої з сталi товщиною
0,7 мм, круглого перерiзу, дiаметр 400 мм
ГОСТ 14918-80</v>
          </cell>
          <cell r="D2662" t="str">
            <v>м2</v>
          </cell>
          <cell r="E2662">
            <v>2.5099999999999998</v>
          </cell>
          <cell r="F2662">
            <v>605.17999999999995</v>
          </cell>
          <cell r="G2662">
            <v>1519</v>
          </cell>
        </row>
        <row r="2663">
          <cell r="B2663" t="str">
            <v>С130-929-2</v>
          </cell>
          <cell r="C2663" t="str">
            <v>Фланець d=400 з &lt; 25х25х2,5</v>
          </cell>
          <cell r="D2663" t="str">
            <v>шт</v>
          </cell>
          <cell r="E2663">
            <v>4</v>
          </cell>
          <cell r="F2663">
            <v>98.19</v>
          </cell>
          <cell r="G2663">
            <v>392.76</v>
          </cell>
        </row>
        <row r="2664">
          <cell r="B2664" t="str">
            <v>С1630-114</v>
          </cell>
          <cell r="C2664" t="str">
            <v>Сталь для крiплення повітропроводiв</v>
          </cell>
          <cell r="D2664" t="str">
            <v>кг</v>
          </cell>
          <cell r="E2664">
            <v>70</v>
          </cell>
          <cell r="F2664">
            <v>42.15</v>
          </cell>
          <cell r="G2664">
            <v>2950.5</v>
          </cell>
        </row>
        <row r="2665">
          <cell r="B2665" t="str">
            <v>Е16-5-2</v>
          </cell>
          <cell r="C2665" t="str">
            <v>Прокладання по стiнах будiвель i в каналах
трубопроводiв iз чавунних каналiзацiйних
труб дiаметром до 100 мм</v>
          </cell>
          <cell r="D2665" t="str">
            <v>100м</v>
          </cell>
          <cell r="E2665">
            <v>1.4999999999999999E-2</v>
          </cell>
          <cell r="F2665">
            <v>10227.75</v>
          </cell>
          <cell r="G2665">
            <v>153.41999999999999</v>
          </cell>
        </row>
        <row r="2666">
          <cell r="B2666" t="str">
            <v>С113-634</v>
          </cell>
          <cell r="C2666" t="str">
            <v>Труба каналізаційна чавунна, дiаметр 100
мм</v>
          </cell>
          <cell r="D2666" t="str">
            <v>м</v>
          </cell>
          <cell r="E2666">
            <v>1.5</v>
          </cell>
          <cell r="F2666">
            <v>526.74</v>
          </cell>
          <cell r="G2666">
            <v>790.11</v>
          </cell>
        </row>
        <row r="2667">
          <cell r="B2667" t="str">
            <v>С113-108</v>
          </cell>
          <cell r="C2667" t="str">
            <v>Муфта рухома чавунна d=100 мм</v>
          </cell>
          <cell r="D2667" t="str">
            <v>10шт</v>
          </cell>
          <cell r="E2667">
            <v>0.1</v>
          </cell>
          <cell r="F2667">
            <v>1022.53</v>
          </cell>
          <cell r="G2667">
            <v>102.25</v>
          </cell>
        </row>
        <row r="2668">
          <cell r="B2668" t="str">
            <v>Е20-36-1к=0,4</v>
          </cell>
          <cell r="C2668" t="str">
            <v>Демонтаж. Кондиціонер настінний сплит-
система.</v>
          </cell>
          <cell r="D2668" t="str">
            <v>шт</v>
          </cell>
          <cell r="E2668">
            <v>6</v>
          </cell>
          <cell r="F2668">
            <v>197.51</v>
          </cell>
          <cell r="G2668">
            <v>1185.06</v>
          </cell>
        </row>
        <row r="2669">
          <cell r="B2669" t="str">
            <v>Е20-36-1</v>
          </cell>
          <cell r="C2669" t="str">
            <v>Монтаж. Кондиціонер настінний сплит-
система.</v>
          </cell>
          <cell r="D2669" t="str">
            <v>шт</v>
          </cell>
          <cell r="E2669">
            <v>6</v>
          </cell>
          <cell r="F2669">
            <v>695.05</v>
          </cell>
          <cell r="G2669">
            <v>4170.3</v>
          </cell>
        </row>
        <row r="2670">
          <cell r="B2670" t="str">
            <v>Е20-31-1к=0,4</v>
          </cell>
          <cell r="C2670" t="str">
            <v>Демонтаж вентиляторiв радiальних
масою до 0,05 т</v>
          </cell>
          <cell r="D2670" t="str">
            <v>шт</v>
          </cell>
          <cell r="E2670">
            <v>1</v>
          </cell>
          <cell r="F2670">
            <v>278.01</v>
          </cell>
          <cell r="G2670">
            <v>278.01</v>
          </cell>
        </row>
        <row r="2671">
          <cell r="B2671" t="str">
            <v>Е20-31-2к=0,4</v>
          </cell>
          <cell r="C2671" t="str">
            <v>Демонтаж вентиляторiв радiальних
масою до 0,12 т</v>
          </cell>
          <cell r="D2671" t="str">
            <v>шт</v>
          </cell>
          <cell r="E2671">
            <v>1</v>
          </cell>
          <cell r="F2671">
            <v>364.65</v>
          </cell>
          <cell r="G2671">
            <v>364.65</v>
          </cell>
        </row>
        <row r="2672">
          <cell r="B2672" t="str">
            <v>Е20-31-1</v>
          </cell>
          <cell r="C2672" t="str">
            <v>Установлення вентиляторiв радiальних
масою до 0,05 т</v>
          </cell>
          <cell r="D2672" t="str">
            <v>шт</v>
          </cell>
          <cell r="E2672">
            <v>1</v>
          </cell>
          <cell r="F2672">
            <v>863.73</v>
          </cell>
          <cell r="G2672">
            <v>863.73</v>
          </cell>
        </row>
        <row r="2673">
          <cell r="B2673" t="str">
            <v>Е20-31-2</v>
          </cell>
          <cell r="C2673" t="str">
            <v>Установлення вентиляторiв радiальних
масою до 0,12 т</v>
          </cell>
          <cell r="D2673" t="str">
            <v>шт</v>
          </cell>
          <cell r="E2673">
            <v>1</v>
          </cell>
          <cell r="F2673">
            <v>1149.6400000000001</v>
          </cell>
          <cell r="G2673">
            <v>1149.6400000000001</v>
          </cell>
        </row>
        <row r="2674">
          <cell r="B2674" t="str">
            <v>Е20-36-1к=0,4</v>
          </cell>
          <cell r="C2674" t="str">
            <v>Демонтаж. Кондиціонер настінний сплит-
система.</v>
          </cell>
          <cell r="D2674" t="str">
            <v>шт</v>
          </cell>
          <cell r="E2674">
            <v>2</v>
          </cell>
          <cell r="F2674">
            <v>197.51</v>
          </cell>
          <cell r="G2674">
            <v>395.02</v>
          </cell>
        </row>
        <row r="2676">
          <cell r="B2676" t="str">
            <v>Е1-13-5</v>
          </cell>
          <cell r="C2676" t="str">
            <v>Розроблення ґрунту у вiдвал екскаваторами
"драглайн" або "зворотна лопата" з ковшом
мiсткiстю 0,25 м3, група ґрунтiв 2</v>
          </cell>
          <cell r="D2676" t="str">
            <v>1000м3</v>
          </cell>
          <cell r="E2676">
            <v>5.0400000000000002E-3</v>
          </cell>
          <cell r="F2676">
            <v>89242.51</v>
          </cell>
          <cell r="G2676">
            <v>449.78</v>
          </cell>
        </row>
        <row r="2677">
          <cell r="B2677" t="str">
            <v>Е1-164-2</v>
          </cell>
          <cell r="C2677" t="str">
            <v>Розробка ґрунту вручну в траншеях
глибиною до 2 м без крiплень з укосами,
група ґрунтiв 2</v>
          </cell>
          <cell r="D2677" t="str">
            <v>100м3</v>
          </cell>
          <cell r="E2677">
            <v>0.13320000000000001</v>
          </cell>
          <cell r="F2677">
            <v>14569.17</v>
          </cell>
          <cell r="G2677">
            <v>1940.61</v>
          </cell>
        </row>
        <row r="2678">
          <cell r="B2678" t="str">
            <v>Е1-166-1</v>
          </cell>
          <cell r="C2678" t="str">
            <v>Засипка вручну траншей, пазух котлованiв i
ям, група ґрунтiв 1</v>
          </cell>
          <cell r="D2678" t="str">
            <v>100м3</v>
          </cell>
          <cell r="E2678">
            <v>0.15390000000000001</v>
          </cell>
          <cell r="F2678">
            <v>8246.16</v>
          </cell>
          <cell r="G2678">
            <v>1269.08</v>
          </cell>
        </row>
        <row r="2679">
          <cell r="B2679" t="str">
            <v>Е34-103-1</v>
          </cell>
          <cell r="C2679" t="str">
            <v>Улаштування трубопроводiв iз
полiетиленових труб, до 2-х каналiв</v>
          </cell>
          <cell r="D2679" t="str">
            <v>км</v>
          </cell>
          <cell r="E2679">
            <v>3.6999999999999998E-2</v>
          </cell>
          <cell r="F2679">
            <v>15001.38</v>
          </cell>
          <cell r="G2679">
            <v>555.04999999999995</v>
          </cell>
        </row>
        <row r="2680">
          <cell r="B2680" t="str">
            <v>С113-1451</v>
          </cell>
          <cell r="C2680" t="str">
            <v>Труба поліетиленова Ду 110 мм</v>
          </cell>
          <cell r="D2680" t="str">
            <v>м</v>
          </cell>
          <cell r="E2680">
            <v>37</v>
          </cell>
          <cell r="F2680">
            <v>120.09</v>
          </cell>
          <cell r="G2680">
            <v>4443.33</v>
          </cell>
        </row>
        <row r="2681">
          <cell r="B2681" t="str">
            <v>М8-148-2</v>
          </cell>
          <cell r="C2681" t="str">
            <v>Кабель до 35 кВ у прокладених трубах,
блоках i коробах, маса 1 м до 2 кг</v>
          </cell>
          <cell r="D2681" t="str">
            <v>100 м</v>
          </cell>
          <cell r="E2681">
            <v>0.39</v>
          </cell>
          <cell r="F2681">
            <v>2413.1799999999998</v>
          </cell>
          <cell r="G2681">
            <v>941.14</v>
          </cell>
        </row>
        <row r="2682">
          <cell r="B2682" t="str">
            <v>М8-142-1</v>
          </cell>
          <cell r="C2682" t="str">
            <v>Улаштування постелi при одному кабелi у
траншеї</v>
          </cell>
          <cell r="D2682" t="str">
            <v>100 м</v>
          </cell>
          <cell r="E2682">
            <v>0.14000000000000001</v>
          </cell>
          <cell r="F2682">
            <v>661.73</v>
          </cell>
          <cell r="G2682">
            <v>92.64</v>
          </cell>
        </row>
        <row r="2683">
          <cell r="B2683" t="str">
            <v>С1421-10634</v>
          </cell>
          <cell r="C2683" t="str">
            <v>Пiсок природний, рядовий</v>
          </cell>
          <cell r="D2683" t="str">
            <v>м3</v>
          </cell>
          <cell r="E2683">
            <v>0.56000000000000005</v>
          </cell>
          <cell r="F2683">
            <v>656.1</v>
          </cell>
          <cell r="G2683">
            <v>367.42</v>
          </cell>
        </row>
        <row r="2684">
          <cell r="B2684" t="str">
            <v>М8-141-2</v>
          </cell>
          <cell r="C2684" t="str">
            <v>Кабель до 35 кВ, що прокладається у
готових траншеях без покриттiв, маса 1
м до 2 кг</v>
          </cell>
          <cell r="D2684" t="str">
            <v>100 м</v>
          </cell>
          <cell r="E2684">
            <v>0.15</v>
          </cell>
          <cell r="F2684">
            <v>3141.83</v>
          </cell>
          <cell r="G2684">
            <v>471.27</v>
          </cell>
        </row>
        <row r="2685">
          <cell r="B2685" t="str">
            <v>М8-146-1</v>
          </cell>
          <cell r="C2685" t="str">
            <v>Кабель до 35 кВ, що прокладається з
крiпленням накладними скобами, маса 1 м
до 0,5 кг</v>
          </cell>
          <cell r="D2685" t="str">
            <v>100 м</v>
          </cell>
          <cell r="E2685">
            <v>0.15</v>
          </cell>
          <cell r="F2685">
            <v>6020.22</v>
          </cell>
          <cell r="G2685">
            <v>903.03</v>
          </cell>
        </row>
        <row r="2686">
          <cell r="B2686" t="str">
            <v>С152-150-1</v>
          </cell>
          <cell r="C2686" t="str">
            <v>Кабель силовий з алюмінієвими жилами з
ПВХ ізоляцією, броньований, зовнішній
покрив шланг з ПВХ пластику. ТУМИ 344-
74_ перерiзом 4х50 мм2 АВБбШв-1 кВ</v>
          </cell>
          <cell r="D2686" t="str">
            <v>1000м</v>
          </cell>
          <cell r="E2686">
            <v>7.5480000000000019E-2</v>
          </cell>
          <cell r="F2686">
            <v>44655.01</v>
          </cell>
          <cell r="G2686">
            <v>3370.56</v>
          </cell>
        </row>
        <row r="2687">
          <cell r="B2687" t="str">
            <v>М8-143-5</v>
          </cell>
          <cell r="C2687" t="str">
            <v>Покривання 1-2 кабелів, прокладених у
траншеї, сигнальною стрічкою</v>
          </cell>
          <cell r="D2687" t="str">
            <v>100 м тр</v>
          </cell>
          <cell r="E2687">
            <v>0.14000000000000001</v>
          </cell>
          <cell r="F2687">
            <v>234.36</v>
          </cell>
          <cell r="G2687">
            <v>32.81</v>
          </cell>
        </row>
        <row r="2688">
          <cell r="B2688" t="str">
            <v>С111-1721-11В</v>
          </cell>
          <cell r="C2688" t="str">
            <v>Стрiчка сигнальна</v>
          </cell>
          <cell r="D2688" t="str">
            <v>м</v>
          </cell>
          <cell r="E2688">
            <v>14</v>
          </cell>
          <cell r="F2688">
            <v>5.66</v>
          </cell>
          <cell r="G2688">
            <v>79.239999999999995</v>
          </cell>
        </row>
        <row r="2689">
          <cell r="B2689" t="str">
            <v>М8-161-2</v>
          </cell>
          <cell r="C2689" t="str">
            <v>Закладення кiнцеве сухе iз застосуванням
бандажуючих муфт для контрольного
кабеля з гумовою або пластмасовою
iзоляцiєю</v>
          </cell>
          <cell r="D2689" t="str">
            <v>шт</v>
          </cell>
          <cell r="E2689">
            <v>2</v>
          </cell>
          <cell r="F2689">
            <v>125.4</v>
          </cell>
          <cell r="G2689">
            <v>250.8</v>
          </cell>
        </row>
        <row r="2690">
          <cell r="B2690" t="str">
            <v>С1545-50</v>
          </cell>
          <cell r="C2690" t="str">
            <v>Забиття кiнцеве</v>
          </cell>
          <cell r="D2690" t="str">
            <v>комплект</v>
          </cell>
          <cell r="E2690">
            <v>2.04</v>
          </cell>
          <cell r="F2690">
            <v>627.32000000000005</v>
          </cell>
          <cell r="G2690">
            <v>1279.73</v>
          </cell>
        </row>
        <row r="2691">
          <cell r="B2691" t="str">
            <v>С1545-135</v>
          </cell>
          <cell r="C2691" t="str">
            <v>Наконечники кабельні алюмiнiєвi для
опресування 50-10-12-А-УХЛЗ</v>
          </cell>
          <cell r="D2691" t="str">
            <v>100шт</v>
          </cell>
          <cell r="E2691">
            <v>0.08</v>
          </cell>
          <cell r="F2691">
            <v>705.92</v>
          </cell>
          <cell r="G2691">
            <v>56.47</v>
          </cell>
        </row>
        <row r="2693">
          <cell r="B2693" t="str">
            <v>Е1-171-2</v>
          </cell>
          <cell r="C2693" t="str">
            <v>Крiплення iнвентарними щитами стiнок
траншей шириною до 2 м у ґрунтах
стiйких</v>
          </cell>
          <cell r="D2693" t="str">
            <v>100м2</v>
          </cell>
          <cell r="E2693">
            <v>0.24840000000000001</v>
          </cell>
          <cell r="F2693">
            <v>11968.99</v>
          </cell>
          <cell r="G2693">
            <v>2973.1</v>
          </cell>
        </row>
        <row r="2694">
          <cell r="B2694" t="str">
            <v>Е1-166-1</v>
          </cell>
          <cell r="C2694" t="str">
            <v>Засипка вручну траншей, пазух котлованiв i
ям, група ґрунтiв 1</v>
          </cell>
          <cell r="D2694" t="str">
            <v>100м3</v>
          </cell>
          <cell r="E2694">
            <v>0.13670000000000002</v>
          </cell>
          <cell r="F2694">
            <v>8246.16</v>
          </cell>
          <cell r="G2694">
            <v>1127.25</v>
          </cell>
        </row>
        <row r="2695">
          <cell r="B2695" t="str">
            <v>Е1-162-1_тех.ч._п.1.3.185_к=0,8</v>
          </cell>
          <cell r="C2695" t="str">
            <v>Розробка грунту вручну з крiпленням у
траншеях шириною до 2 м, глибиною до 2 м,
група грунтiв 1 /з вертикальними стiнками
без крiплень /</v>
          </cell>
          <cell r="D2695" t="str">
            <v>100м3</v>
          </cell>
          <cell r="E2695">
            <v>7.2800000000000004E-2</v>
          </cell>
          <cell r="F2695">
            <v>10339.4</v>
          </cell>
          <cell r="G2695">
            <v>752.71</v>
          </cell>
        </row>
        <row r="2696">
          <cell r="B2696" t="str">
            <v>Е1-166-1</v>
          </cell>
          <cell r="C2696" t="str">
            <v>Засипка вручну траншей, пазух котлованiв i
ям, група ґрунтiв 1</v>
          </cell>
          <cell r="D2696" t="str">
            <v>100м3</v>
          </cell>
          <cell r="E2696">
            <v>6.54E-2</v>
          </cell>
          <cell r="F2696">
            <v>8246.16</v>
          </cell>
          <cell r="G2696">
            <v>539.29999999999995</v>
          </cell>
        </row>
        <row r="2697">
          <cell r="B2697" t="str">
            <v>Е1-18-4</v>
          </cell>
          <cell r="C2697" t="str">
            <v>Розроблення ґрунту з навантаженням на
автомобiлi-самоскиди екскаваторами
одноковшовими дизельними на
пневмоколісному ходу з ковшом мiсткiстю
0,25 м3, група ґрунтiв 1</v>
          </cell>
          <cell r="D2697" t="str">
            <v>1000м3</v>
          </cell>
          <cell r="E2697">
            <v>3.8400000000000005E-3</v>
          </cell>
          <cell r="F2697">
            <v>88291.26</v>
          </cell>
          <cell r="G2697">
            <v>339.04</v>
          </cell>
        </row>
        <row r="2698">
          <cell r="B2698" t="str">
            <v>С311-30</v>
          </cell>
          <cell r="C2698" t="str">
            <v>Перевезення грунту до 30 км</v>
          </cell>
          <cell r="D2698" t="str">
            <v>т</v>
          </cell>
          <cell r="E2698">
            <v>6.5280000000000005</v>
          </cell>
          <cell r="F2698">
            <v>180</v>
          </cell>
          <cell r="G2698">
            <v>1175.04</v>
          </cell>
        </row>
        <row r="2699">
          <cell r="B2699" t="str">
            <v>Е16-13-2</v>
          </cell>
          <cell r="C2699" t="str">
            <v>Прокладання трубопроводiв каналiзацiї з
полiетиленових труб низького тиску
дiаметром 100 мм</v>
          </cell>
          <cell r="D2699" t="str">
            <v>100м</v>
          </cell>
          <cell r="E2699">
            <v>3.5000000000000003E-2</v>
          </cell>
          <cell r="F2699">
            <v>6917.42</v>
          </cell>
          <cell r="G2699">
            <v>242.11</v>
          </cell>
        </row>
        <row r="2700">
          <cell r="B2700" t="str">
            <v>ЕН22-11-3</v>
          </cell>
          <cell r="C2700" t="str">
            <v>Укладання трубопроводiв iз
полiетиленових труб дiаметром 110 мм з
гідравличним випробуванням</v>
          </cell>
          <cell r="D2700" t="str">
            <v>1000м</v>
          </cell>
          <cell r="E2700">
            <v>7.7000000000000002E-3</v>
          </cell>
          <cell r="F2700">
            <v>29058.5</v>
          </cell>
          <cell r="G2700">
            <v>223.75</v>
          </cell>
        </row>
        <row r="2701">
          <cell r="B2701" t="str">
            <v>С113-1451</v>
          </cell>
          <cell r="C2701" t="str">
            <v>Труба каналізаційна із ПВХ з ущільнюючим
кільцем SN8, SDR34 для зовнішньої
каналізації DN 110х3,2 Wavin</v>
          </cell>
          <cell r="D2701" t="str">
            <v>м</v>
          </cell>
          <cell r="E2701">
            <v>11.27</v>
          </cell>
          <cell r="F2701">
            <v>257.64</v>
          </cell>
          <cell r="G2701">
            <v>2903.6</v>
          </cell>
        </row>
        <row r="2702">
          <cell r="B2702" t="str">
            <v>Е23-23-2</v>
          </cell>
          <cell r="C2702" t="str">
            <v>Приєднання каналiзацiйних трубопроводiв
до iснуючої мережi в мокрих ґрунтах</v>
          </cell>
          <cell r="D2702" t="str">
            <v>шт</v>
          </cell>
          <cell r="E2702">
            <v>1</v>
          </cell>
          <cell r="F2702">
            <v>2217.09</v>
          </cell>
          <cell r="G2702">
            <v>2217.09</v>
          </cell>
        </row>
        <row r="2703">
          <cell r="B2703" t="str">
            <v>ЕН22-8-8к=0,9</v>
          </cell>
          <cell r="C2703" t="str">
            <v>Укладання футляра iз стальних труб
вiдкритим способом дiаметром 300 мм</v>
          </cell>
          <cell r="D2703" t="str">
            <v>1000м</v>
          </cell>
          <cell r="E2703">
            <v>7.7000000000000002E-3</v>
          </cell>
          <cell r="F2703">
            <v>99064.59</v>
          </cell>
          <cell r="G2703">
            <v>762.8</v>
          </cell>
        </row>
        <row r="2704">
          <cell r="B2704" t="str">
            <v>С113-203</v>
          </cell>
          <cell r="C2704" t="str">
            <v>Труби сталевi електрозварнi прямошовнi iз
сталi марки 20, зовнiшнiй дiаметр 325 мм,
товщина стiнки 7 мм</v>
          </cell>
          <cell r="D2704" t="str">
            <v>м</v>
          </cell>
          <cell r="E2704">
            <v>7.7308000000000003</v>
          </cell>
          <cell r="F2704">
            <v>2701.46</v>
          </cell>
          <cell r="G2704">
            <v>20884.45</v>
          </cell>
        </row>
        <row r="2705">
          <cell r="B2705" t="str">
            <v>ЕН22-15-8</v>
          </cell>
          <cell r="C2705" t="str">
            <v>Нанесення дуже посиленої антикорозiйної
бiтумно-гумової iзоляцiї на сталевi
трубопроводи дiаметром 300 мм</v>
          </cell>
          <cell r="D2705" t="str">
            <v>1000м</v>
          </cell>
          <cell r="E2705">
            <v>7.7000000000000002E-3</v>
          </cell>
          <cell r="F2705">
            <v>392230.27</v>
          </cell>
          <cell r="G2705">
            <v>3020.17</v>
          </cell>
        </row>
        <row r="2706">
          <cell r="B2706" t="str">
            <v>ЕН22-47-1</v>
          </cell>
          <cell r="C2706" t="str">
            <v>Протягування в футляр полiетиленових
труб дiаметром до 100мм</v>
          </cell>
          <cell r="D2706" t="str">
            <v>100м</v>
          </cell>
          <cell r="E2706">
            <v>7.6999999999999999E-2</v>
          </cell>
          <cell r="F2706">
            <v>10506.1</v>
          </cell>
          <cell r="G2706">
            <v>808.97</v>
          </cell>
        </row>
        <row r="2707">
          <cell r="B2707" t="str">
            <v>ЕН22-48-1к=0,4</v>
          </cell>
          <cell r="C2707" t="str">
            <v>Забивання бiтумом та пасмом смоляним
кiнцiв футляра дiаметром 300 мм</v>
          </cell>
          <cell r="D2707" t="str">
            <v>1 футляр</v>
          </cell>
          <cell r="E2707">
            <v>1</v>
          </cell>
          <cell r="F2707">
            <v>1004.06</v>
          </cell>
          <cell r="G2707">
            <v>1004.06</v>
          </cell>
        </row>
        <row r="2708">
          <cell r="B2708" t="str">
            <v>ЕН6-11-8</v>
          </cell>
          <cell r="C2708" t="str">
            <v>Установлення закладних деталей вагою
понад 5 кг до 20 кг ( гiльза зi стальних
труб дiаметром 219 мм)</v>
          </cell>
          <cell r="D2708" t="str">
            <v>т</v>
          </cell>
          <cell r="E2708">
            <v>7.8799999999999999E-3</v>
          </cell>
          <cell r="F2708">
            <v>8244.39</v>
          </cell>
          <cell r="G2708">
            <v>64.97</v>
          </cell>
        </row>
        <row r="2709">
          <cell r="B2709" t="str">
            <v>С113-469</v>
          </cell>
          <cell r="C2709" t="str">
            <v>Труби сталевi безшовнi гарячедеформованi
iз сталi марки 15, 20, 25, зовнiшнiй дiаметр
219 мм, товщина стiнки 6 мм</v>
          </cell>
          <cell r="D2709" t="str">
            <v>м</v>
          </cell>
          <cell r="E2709">
            <v>0.40400000000000003</v>
          </cell>
          <cell r="F2709">
            <v>1218.3599999999999</v>
          </cell>
          <cell r="G2709">
            <v>492.22</v>
          </cell>
        </row>
        <row r="2710">
          <cell r="B2710" t="str">
            <v>ЕН8-4-1</v>
          </cell>
          <cell r="C2710" t="str">
            <v>Бокова iзоляцiя стiн, фундаментiв глиною
(замок з глини)</v>
          </cell>
          <cell r="D2710" t="str">
            <v>1 м3</v>
          </cell>
          <cell r="E2710">
            <v>2.04</v>
          </cell>
          <cell r="F2710">
            <v>1051.29</v>
          </cell>
          <cell r="G2710">
            <v>2144.63</v>
          </cell>
        </row>
        <row r="2711">
          <cell r="B2711" t="str">
            <v>ЕН6-1-1</v>
          </cell>
          <cell r="C2711" t="str">
            <v>Улаштування бетонної пiдготовки бетон
важкий В 10 (М 150), крупнiсть
заповнювача бiльше 40 мм</v>
          </cell>
          <cell r="D2711" t="str">
            <v>100м3</v>
          </cell>
          <cell r="E2711">
            <v>1.33E-3</v>
          </cell>
          <cell r="F2711">
            <v>302095.49</v>
          </cell>
          <cell r="G2711">
            <v>401.79</v>
          </cell>
        </row>
        <row r="2712">
          <cell r="B2712" t="str">
            <v>ЕН6-33-1</v>
          </cell>
          <cell r="C2712" t="str">
            <v>Улаштування стiн i плоских днищ круглих
споруд при товщинi стiн до 150 мм</v>
          </cell>
          <cell r="D2712" t="str">
            <v>100 м3</v>
          </cell>
          <cell r="E2712">
            <v>8.9999999999999993E-3</v>
          </cell>
          <cell r="F2712">
            <v>558022.01</v>
          </cell>
          <cell r="G2712">
            <v>5022.2</v>
          </cell>
        </row>
        <row r="2713">
          <cell r="B2713" t="str">
            <v>С124-22</v>
          </cell>
          <cell r="C2713" t="str">
            <v>Гарячекатана арматурна сталь
перiодичного профiлю, клас А-III, дiаметр 12
мм</v>
          </cell>
          <cell r="D2713" t="str">
            <v>т</v>
          </cell>
          <cell r="E2713">
            <v>0.17100799999999999</v>
          </cell>
          <cell r="F2713">
            <v>21525.03</v>
          </cell>
          <cell r="G2713">
            <v>3680.95</v>
          </cell>
        </row>
        <row r="2714">
          <cell r="B2714" t="str">
            <v>С124-1</v>
          </cell>
          <cell r="C2714" t="str">
            <v>Гарячекатана арматурна сталь гладка, клас
А-1, дiаметр 6 мм</v>
          </cell>
          <cell r="D2714" t="str">
            <v>т</v>
          </cell>
          <cell r="E2714">
            <v>6.600000000000001E-4</v>
          </cell>
          <cell r="F2714">
            <v>20153.68</v>
          </cell>
          <cell r="G2714">
            <v>13.3</v>
          </cell>
        </row>
        <row r="2715">
          <cell r="B2715" t="str">
            <v>ЕН6-11-8</v>
          </cell>
          <cell r="C2715" t="str">
            <v>Установлення закладних деталей вагою
понад 5 кг до 10 кг</v>
          </cell>
          <cell r="D2715" t="str">
            <v>т</v>
          </cell>
          <cell r="E2715">
            <v>5.4600000000000004E-3</v>
          </cell>
          <cell r="F2715">
            <v>66106.92</v>
          </cell>
          <cell r="G2715">
            <v>360.94</v>
          </cell>
        </row>
        <row r="2716">
          <cell r="B2716" t="str">
            <v>Е7-31-1</v>
          </cell>
          <cell r="C2716" t="str">
            <v>Установлення опор iз плит i кiлець
дiаметром до 1000 мм</v>
          </cell>
          <cell r="D2716" t="str">
            <v>100м3</v>
          </cell>
          <cell r="E2716">
            <v>1.2000000000000001E-3</v>
          </cell>
          <cell r="F2716">
            <v>128478.96</v>
          </cell>
          <cell r="G2716">
            <v>154.16999999999999</v>
          </cell>
        </row>
        <row r="2717">
          <cell r="B2717" t="str">
            <v>К585521-Л032</v>
          </cell>
          <cell r="C2717" t="str">
            <v>Плити покриття ПП10-2 залiзобетоннi серiя
3.900.1-14 випуск 1 (об'єм бетону - 0,10
м3)(Ф53)</v>
          </cell>
          <cell r="D2717" t="str">
            <v>шт</v>
          </cell>
          <cell r="E2717">
            <v>1</v>
          </cell>
          <cell r="F2717">
            <v>1142.1600000000001</v>
          </cell>
          <cell r="G2717">
            <v>1142.1600000000001</v>
          </cell>
        </row>
        <row r="2718">
          <cell r="B2718" t="str">
            <v>К585521-Л052</v>
          </cell>
          <cell r="C2718" t="str">
            <v>Кiльця опорнi КО6 залiзобетоннi серiя
3.900.1-14 випуск 1 (об'єм бетону - 0,02
м3)(Ф53)</v>
          </cell>
          <cell r="D2718" t="str">
            <v>шт</v>
          </cell>
          <cell r="E2718">
            <v>1</v>
          </cell>
          <cell r="F2718">
            <v>324.68</v>
          </cell>
          <cell r="G2718">
            <v>324.68</v>
          </cell>
        </row>
        <row r="2719">
          <cell r="B2719" t="str">
            <v>Е23-24-1</v>
          </cell>
          <cell r="C2719" t="str">
            <v>Установлення люка</v>
          </cell>
          <cell r="D2719" t="str">
            <v>шт</v>
          </cell>
          <cell r="E2719">
            <v>1</v>
          </cell>
          <cell r="F2719">
            <v>163.81</v>
          </cell>
          <cell r="G2719">
            <v>163.81</v>
          </cell>
        </row>
        <row r="2720">
          <cell r="B2720" t="str">
            <v>С113-753</v>
          </cell>
          <cell r="C2720" t="str">
            <v>Люк полімер-піщаний тип "С" с ЗУ</v>
          </cell>
          <cell r="D2720" t="str">
            <v>шт</v>
          </cell>
          <cell r="E2720">
            <v>1</v>
          </cell>
          <cell r="F2720">
            <v>1841.74</v>
          </cell>
          <cell r="G2720">
            <v>1841.74</v>
          </cell>
        </row>
        <row r="2721">
          <cell r="B2721" t="str">
            <v>С111-1789</v>
          </cell>
          <cell r="C2721" t="str">
            <v>Скоби ходовi</v>
          </cell>
          <cell r="D2721" t="str">
            <v>кг</v>
          </cell>
          <cell r="E2721">
            <v>8.2200000000000006</v>
          </cell>
          <cell r="F2721">
            <v>40.93</v>
          </cell>
          <cell r="G2721">
            <v>336.44</v>
          </cell>
        </row>
        <row r="2722">
          <cell r="B2722" t="str">
            <v>ЕН8-4-1</v>
          </cell>
          <cell r="C2722" t="str">
            <v>Бокова iзоляцiя стiн, фундаментiв глиною</v>
          </cell>
          <cell r="D2722" t="str">
            <v>1 м3</v>
          </cell>
          <cell r="E2722">
            <v>13.25708</v>
          </cell>
          <cell r="F2722">
            <v>1051.29</v>
          </cell>
          <cell r="G2722">
            <v>13937.04</v>
          </cell>
        </row>
        <row r="2724">
          <cell r="B2724" t="str">
            <v>Е1-18-4</v>
          </cell>
          <cell r="C2724" t="str">
            <v>Розроблення ґрунту з навантаженням на
автомобiлi-самоскиди екскаваторами
одноковшовими дизельними на
пневмоколісному ходу з ковшом мiсткiстю
0,25 м3, група ґрунтiв 1</v>
          </cell>
          <cell r="D2724" t="str">
            <v>1000м3</v>
          </cell>
          <cell r="E2724">
            <v>2.2785E-2</v>
          </cell>
          <cell r="F2724">
            <v>88291.26</v>
          </cell>
          <cell r="G2724">
            <v>2011.72</v>
          </cell>
        </row>
        <row r="2725">
          <cell r="B2725" t="str">
            <v>Е1-164-1_тех.ч._п.1.3.180_к=1,2</v>
          </cell>
          <cell r="C2725" t="str">
            <v>Доробка вручну, зачищення дна i стiнок
вручну з викидом грунту в котлованах i
траншеях, розроблених механiзованим
способом</v>
          </cell>
          <cell r="D2725" t="str">
            <v>100м3</v>
          </cell>
          <cell r="E2725">
            <v>1.78E-2</v>
          </cell>
          <cell r="F2725">
            <v>13396.07</v>
          </cell>
          <cell r="G2725">
            <v>238.45</v>
          </cell>
        </row>
        <row r="2726">
          <cell r="B2726" t="str">
            <v>Е1-171-2</v>
          </cell>
          <cell r="C2726" t="str">
            <v>Крiплення iнвентарними щитами стiнок
траншей шириною до 2 м у ґрунтах
стiйких</v>
          </cell>
          <cell r="D2726" t="str">
            <v>100м2</v>
          </cell>
          <cell r="E2726">
            <v>0.63280000000000003</v>
          </cell>
          <cell r="F2726">
            <v>11968.99</v>
          </cell>
          <cell r="G2726">
            <v>7573.98</v>
          </cell>
        </row>
        <row r="2727">
          <cell r="B2727" t="str">
            <v>Е1-166-1</v>
          </cell>
          <cell r="C2727" t="str">
            <v>Засипка вручну траншей, пазух котлованiв i
ям, група ґрунтiв 1</v>
          </cell>
          <cell r="D2727" t="str">
            <v>100м3</v>
          </cell>
          <cell r="E2727">
            <v>0.36565000000000003</v>
          </cell>
          <cell r="F2727">
            <v>8246.16</v>
          </cell>
          <cell r="G2727">
            <v>3015.21</v>
          </cell>
        </row>
        <row r="2728">
          <cell r="B2728" t="str">
            <v>Е1-18-4</v>
          </cell>
          <cell r="C2728" t="str">
            <v>Розроблення ґрунту з навантаженням на
автомобiлi-самоскиди екскаваторами
одноковшовими дизельними на
пневмоколісному ходу з ковшом мiсткiстю
0,25 м3, група ґрунтiв 1</v>
          </cell>
          <cell r="D2728" t="str">
            <v>1000м3</v>
          </cell>
          <cell r="E2728">
            <v>2.2785E-2</v>
          </cell>
          <cell r="F2728">
            <v>88291.26</v>
          </cell>
          <cell r="G2728">
            <v>2011.72</v>
          </cell>
        </row>
        <row r="2729">
          <cell r="B2729" t="str">
            <v>С311-30</v>
          </cell>
          <cell r="C2729" t="str">
            <v>Перевезення грунту до 30 км</v>
          </cell>
          <cell r="D2729" t="str">
            <v>т</v>
          </cell>
          <cell r="E2729">
            <v>38.734499999999997</v>
          </cell>
          <cell r="F2729">
            <v>180</v>
          </cell>
          <cell r="G2729">
            <v>6972.21</v>
          </cell>
        </row>
        <row r="2730">
          <cell r="B2730" t="str">
            <v>ЕН22-11-7</v>
          </cell>
          <cell r="C2730" t="str">
            <v>Укладання трубопроводiв iз
полiетиленових труб дiаметром 250 мм з
гідравличним випробуванням</v>
          </cell>
          <cell r="D2730" t="str">
            <v>1000м</v>
          </cell>
          <cell r="E2730">
            <v>5.0000000000000001E-3</v>
          </cell>
          <cell r="F2730">
            <v>49496</v>
          </cell>
          <cell r="G2730">
            <v>247.48</v>
          </cell>
        </row>
        <row r="2731">
          <cell r="B2731" t="str">
            <v>С113-1455</v>
          </cell>
          <cell r="C2731" t="str">
            <v>Труба для зовнішньої каналізації із
раструбом ПВХ з ущільнюючим кільцем,
клас S (SN8, SDR34), Dу 250х7,3  Wavin</v>
          </cell>
          <cell r="D2731" t="str">
            <v>м</v>
          </cell>
          <cell r="E2731">
            <v>5.05</v>
          </cell>
          <cell r="F2731">
            <v>960.42</v>
          </cell>
          <cell r="G2731">
            <v>4850.12</v>
          </cell>
        </row>
        <row r="2732">
          <cell r="B2732" t="str">
            <v>Е23-13-6</v>
          </cell>
          <cell r="C2732" t="str">
            <v>Улаштування круглих збiрних
залiзобетонних каналiзацiйних колодязiв
дiаметром 1,5 м у мокрих ґрунтах</v>
          </cell>
          <cell r="D2732" t="str">
            <v>10м3</v>
          </cell>
          <cell r="E2732">
            <v>0.42750000000000005</v>
          </cell>
          <cell r="F2732">
            <v>45179.85</v>
          </cell>
          <cell r="G2732">
            <v>19314.39</v>
          </cell>
        </row>
        <row r="2733">
          <cell r="B2733" t="str">
            <v>К585521-Л007</v>
          </cell>
          <cell r="C2733" t="str">
            <v>Кiльця КС15.6 залiзобетоннi серiя 3.900.1-
14 випуск 1 (об'єм бетону - 0,265 м3)(Ф53)</v>
          </cell>
          <cell r="D2733" t="str">
            <v>шт</v>
          </cell>
          <cell r="E2733">
            <v>1</v>
          </cell>
          <cell r="F2733">
            <v>1101.6199999999999</v>
          </cell>
          <cell r="G2733">
            <v>1101.6199999999999</v>
          </cell>
        </row>
        <row r="2734">
          <cell r="B2734" t="str">
            <v>К585521-Л008</v>
          </cell>
          <cell r="C2734" t="str">
            <v>Кiльця КС15.9 залiзобетоннi серiя 3.900.1-
14 випуск 1 (об'єм бетону - 0,40 м3)(Ф53)</v>
          </cell>
          <cell r="D2734" t="str">
            <v>шт</v>
          </cell>
          <cell r="E2734">
            <v>3</v>
          </cell>
          <cell r="F2734">
            <v>3497.4</v>
          </cell>
          <cell r="G2734">
            <v>10492.2</v>
          </cell>
        </row>
        <row r="2735">
          <cell r="B2735" t="str">
            <v>К585521-Л036</v>
          </cell>
          <cell r="C2735" t="str">
            <v>Плити покриття 1ПП15-2 залiзобетоннi серiя
3.900.1-14 випуск 1 (об'єм бетону - 0,27
м3)(Ф53)</v>
          </cell>
          <cell r="D2735" t="str">
            <v>шт</v>
          </cell>
          <cell r="E2735">
            <v>1</v>
          </cell>
          <cell r="F2735">
            <v>3774.77</v>
          </cell>
          <cell r="G2735">
            <v>3774.77</v>
          </cell>
        </row>
        <row r="2736">
          <cell r="B2736" t="str">
            <v>К585521-Л049</v>
          </cell>
          <cell r="C2736" t="str">
            <v>Плити днищ ПН15 залiзобетоннi серiя
3.900.1-14 випуск 1 (об'єм бетону - 0,38
м3)(Ф53)</v>
          </cell>
          <cell r="D2736" t="str">
            <v>шт</v>
          </cell>
          <cell r="E2736">
            <v>1</v>
          </cell>
          <cell r="F2736">
            <v>4811.7299999999996</v>
          </cell>
          <cell r="G2736">
            <v>4811.7299999999996</v>
          </cell>
        </row>
        <row r="2737">
          <cell r="B2737" t="str">
            <v>К585521-Л052</v>
          </cell>
          <cell r="C2737" t="str">
            <v>Кiльця опорнi КО6 залiзобетоннi серiя
3.900.1-14 випуск 1 (об'єм бетону - 0,02
м3)(Ф53)</v>
          </cell>
          <cell r="D2737" t="str">
            <v>шт</v>
          </cell>
          <cell r="E2737">
            <v>3</v>
          </cell>
          <cell r="F2737">
            <v>324.68</v>
          </cell>
          <cell r="G2737">
            <v>974.04</v>
          </cell>
        </row>
        <row r="2738">
          <cell r="B2738" t="str">
            <v>С113-754</v>
          </cell>
          <cell r="C2738" t="str">
            <v>Люк чавунний для колодязiв важкий</v>
          </cell>
          <cell r="D2738" t="str">
            <v>шт</v>
          </cell>
          <cell r="E2738">
            <v>1</v>
          </cell>
          <cell r="F2738">
            <v>3053.66</v>
          </cell>
          <cell r="G2738">
            <v>3053.66</v>
          </cell>
        </row>
        <row r="2739">
          <cell r="B2739" t="str">
            <v>С111-1789</v>
          </cell>
          <cell r="C2739" t="str">
            <v>Скоби ходовi</v>
          </cell>
          <cell r="D2739" t="str">
            <v>кг</v>
          </cell>
          <cell r="E2739">
            <v>9.02</v>
          </cell>
          <cell r="F2739">
            <v>40.93</v>
          </cell>
          <cell r="G2739">
            <v>369.19</v>
          </cell>
        </row>
        <row r="2740">
          <cell r="B2740" t="str">
            <v>ЕН8-3-7</v>
          </cell>
          <cell r="C2740" t="str">
            <v>Гiдроiзоляцiя стiн, фундаментiв бокова
обмазувальна бiтумна в 2 шари по
вирiвнянiй поверхнi бутового мурування,
цеглi, бетону (внутрішні поверхні)</v>
          </cell>
          <cell r="D2740" t="str">
            <v>100м2</v>
          </cell>
          <cell r="E2740">
            <v>0.23</v>
          </cell>
          <cell r="F2740">
            <v>10945.89</v>
          </cell>
          <cell r="G2740">
            <v>2517.5500000000002</v>
          </cell>
        </row>
        <row r="2741">
          <cell r="B2741" t="str">
            <v>С113-209</v>
          </cell>
          <cell r="C2741" t="str">
            <v>Труби сталевi електрозварнi прямошовнi iз
сталi марки 20, зовнiшнiй дiаметр 377 мм,
товщина стiнки 6 мм</v>
          </cell>
          <cell r="D2741" t="str">
            <v>м</v>
          </cell>
          <cell r="E2741">
            <v>0.25</v>
          </cell>
          <cell r="F2741">
            <v>2732.63</v>
          </cell>
          <cell r="G2741">
            <v>683.16</v>
          </cell>
        </row>
        <row r="2742">
          <cell r="B2742" t="str">
            <v>ЕН6-33-4</v>
          </cell>
          <cell r="C2742" t="str">
            <v>Улаштування стiн i плоских днищ
прямокутних споруд при товщинi стiн
понад 150 мм</v>
          </cell>
          <cell r="D2742" t="str">
            <v>100 м3</v>
          </cell>
          <cell r="E2742">
            <v>4.5000000000000005E-3</v>
          </cell>
          <cell r="F2742">
            <v>433399.14</v>
          </cell>
          <cell r="G2742">
            <v>1950.3</v>
          </cell>
        </row>
        <row r="2743">
          <cell r="B2743" t="str">
            <v>С124-2</v>
          </cell>
          <cell r="C2743" t="str">
            <v>Гарячекатана арматурна сталь гладка, клас
А-1, дiаметр 8 мм</v>
          </cell>
          <cell r="D2743" t="str">
            <v>т</v>
          </cell>
          <cell r="E2743">
            <v>2.8000000000000001E-2</v>
          </cell>
          <cell r="F2743">
            <v>20153.68</v>
          </cell>
          <cell r="G2743">
            <v>564.29999999999995</v>
          </cell>
        </row>
        <row r="2744">
          <cell r="B2744" t="str">
            <v>Е7-64-1</v>
          </cell>
          <cell r="C2744" t="str">
            <v>Укладання плит перекриття каналiв
площею до 0,5 м2</v>
          </cell>
          <cell r="D2744" t="str">
            <v>100шт</v>
          </cell>
          <cell r="E2744">
            <v>0.01</v>
          </cell>
          <cell r="F2744">
            <v>5787.2</v>
          </cell>
          <cell r="G2744">
            <v>57.87</v>
          </cell>
        </row>
        <row r="2745">
          <cell r="B2745" t="str">
            <v>К585521-П119</v>
          </cell>
          <cell r="C2745" t="str">
            <v>Плити перекриття П8Д-8а L=740мм серiя
3.006.1-2.87</v>
          </cell>
          <cell r="D2745" t="str">
            <v>шт</v>
          </cell>
          <cell r="E2745">
            <v>1</v>
          </cell>
          <cell r="F2745">
            <v>563.80999999999995</v>
          </cell>
          <cell r="G2745">
            <v>563.80999999999995</v>
          </cell>
        </row>
        <row r="2746">
          <cell r="B2746" t="str">
            <v>ЕН8-3-7</v>
          </cell>
          <cell r="C2746" t="str">
            <v>Гiдроiзоляцiя зовнішніх поверхонь каналу
бокова обмазувальна бiтумна в 2 шари</v>
          </cell>
          <cell r="D2746" t="str">
            <v>100м2</v>
          </cell>
          <cell r="E2746">
            <v>7.0000000000000001E-3</v>
          </cell>
          <cell r="F2746">
            <v>10945.89</v>
          </cell>
          <cell r="G2746">
            <v>76.62</v>
          </cell>
        </row>
        <row r="2747">
          <cell r="B2747" t="str">
            <v>ЕН6-1-1прист</v>
          </cell>
          <cell r="C2747" t="str">
            <v>Улаштування бетоних опор розміром
400х830х90(h)м під трубопровіди систем
К2 діам.250мм і К14 діам.160мм в каналі</v>
          </cell>
          <cell r="D2747" t="str">
            <v>100м3</v>
          </cell>
          <cell r="E2747">
            <v>3.0000000000000003E-4</v>
          </cell>
          <cell r="F2747">
            <v>29213.87</v>
          </cell>
          <cell r="G2747">
            <v>8.76</v>
          </cell>
        </row>
        <row r="2748">
          <cell r="B2748" t="str">
            <v>С1424-11619</v>
          </cell>
          <cell r="C2748" t="str">
            <v>Сумiшi бетоннi готовi важкi, клас бетону В7,
5 [М100], крупнiсть заповнювача бiльше 10
до 20 мм</v>
          </cell>
          <cell r="D2748" t="str">
            <v>м3</v>
          </cell>
          <cell r="E2748">
            <v>3.0600000000000002E-2</v>
          </cell>
          <cell r="F2748">
            <v>2464.86</v>
          </cell>
          <cell r="G2748">
            <v>75.42</v>
          </cell>
        </row>
        <row r="2749">
          <cell r="B2749" t="str">
            <v>Е16-10-2</v>
          </cell>
          <cell r="C2749" t="str">
            <v>Прокладання трубопроводiв опалення i
водопостачання зi стальних
електрозварних труб дiаметром 50 мм</v>
          </cell>
          <cell r="D2749" t="str">
            <v>100м</v>
          </cell>
          <cell r="E2749">
            <v>5.0000000000000001E-3</v>
          </cell>
          <cell r="F2749">
            <v>7802.92</v>
          </cell>
          <cell r="G2749">
            <v>39.01</v>
          </cell>
        </row>
        <row r="2750">
          <cell r="B2750" t="str">
            <v>С113-138</v>
          </cell>
          <cell r="C2750" t="str">
            <v>Труби сталевi електрозварнi прямошовнi iз
сталi марки 20, зовнiшнiй дiаметр 57 мм,
товщина стiнки 3 мм</v>
          </cell>
          <cell r="D2750" t="str">
            <v>м</v>
          </cell>
          <cell r="E2750">
            <v>0.5</v>
          </cell>
          <cell r="F2750">
            <v>141.81</v>
          </cell>
          <cell r="G2750">
            <v>70.91</v>
          </cell>
        </row>
        <row r="2751">
          <cell r="B2751" t="str">
            <v>Е23-23-2</v>
          </cell>
          <cell r="C2751" t="str">
            <v>Приєднання каналiзацiйних трубопроводiв
до iснуючої мережi в мокрих ґрунтах</v>
          </cell>
          <cell r="D2751" t="str">
            <v>шт</v>
          </cell>
          <cell r="E2751">
            <v>1</v>
          </cell>
          <cell r="F2751">
            <v>2217.09</v>
          </cell>
          <cell r="G2751">
            <v>2217.09</v>
          </cell>
        </row>
        <row r="2752">
          <cell r="B2752" t="str">
            <v>ЕН6-1-1</v>
          </cell>
          <cell r="C2752" t="str">
            <v>Улаштування бетонної пiдготовки бетон
важкий В 10 (М 150), крупнiсть
заповнювача бiльше 40 мм</v>
          </cell>
          <cell r="D2752" t="str">
            <v>100м3</v>
          </cell>
          <cell r="E2752">
            <v>2.5400000000000002E-3</v>
          </cell>
          <cell r="F2752">
            <v>302095.49</v>
          </cell>
          <cell r="G2752">
            <v>767.32</v>
          </cell>
        </row>
        <row r="2753">
          <cell r="B2753" t="str">
            <v>ЕН6-33-1</v>
          </cell>
          <cell r="C2753" t="str">
            <v>Улаштування стiн i плоских днищ круглих
споруд при товщинi стiн до 150 мм</v>
          </cell>
          <cell r="D2753" t="str">
            <v>100 м3</v>
          </cell>
          <cell r="E2753">
            <v>1.7299999999999999E-2</v>
          </cell>
          <cell r="F2753">
            <v>558022.01</v>
          </cell>
          <cell r="G2753">
            <v>9653.7800000000007</v>
          </cell>
        </row>
        <row r="2754">
          <cell r="B2754" t="str">
            <v>С124-22</v>
          </cell>
          <cell r="C2754" t="str">
            <v>Гарячекатана арматурна сталь
перiодичного профiлю, клас А-III, дiаметр 12
мм</v>
          </cell>
          <cell r="D2754" t="str">
            <v>т</v>
          </cell>
          <cell r="E2754">
            <v>9.3240000000000003E-2</v>
          </cell>
          <cell r="F2754">
            <v>21525.03</v>
          </cell>
          <cell r="G2754">
            <v>2006.99</v>
          </cell>
        </row>
        <row r="2755">
          <cell r="B2755" t="str">
            <v>С124-1</v>
          </cell>
          <cell r="C2755" t="str">
            <v>Гарячекатана арматурна сталь гладка, клас
А-1, дiаметр 6 мм</v>
          </cell>
          <cell r="D2755" t="str">
            <v>т</v>
          </cell>
          <cell r="E2755">
            <v>6.600000000000001E-4</v>
          </cell>
          <cell r="F2755">
            <v>20153.68</v>
          </cell>
          <cell r="G2755">
            <v>13.3</v>
          </cell>
        </row>
        <row r="2756">
          <cell r="B2756" t="str">
            <v>ЕН6-11-8</v>
          </cell>
          <cell r="C2756" t="str">
            <v>Установлення закладних деталей вагою
понад 5 кг до 10 кг</v>
          </cell>
          <cell r="D2756" t="str">
            <v>т</v>
          </cell>
          <cell r="E2756">
            <v>1.0920000000000001E-2</v>
          </cell>
          <cell r="F2756">
            <v>66106.92</v>
          </cell>
          <cell r="G2756">
            <v>721.89</v>
          </cell>
        </row>
        <row r="2757">
          <cell r="B2757" t="str">
            <v>Е7-31-2</v>
          </cell>
          <cell r="C2757" t="str">
            <v>Установлення опор iз плит i кiлець
дiаметром бiльше 1000 мм</v>
          </cell>
          <cell r="D2757" t="str">
            <v>100м3</v>
          </cell>
          <cell r="E2757">
            <v>8.6999999999999994E-3</v>
          </cell>
          <cell r="F2757">
            <v>73647.13</v>
          </cell>
          <cell r="G2757">
            <v>640.73</v>
          </cell>
        </row>
        <row r="2758">
          <cell r="B2758" t="str">
            <v>К585521-Л001</v>
          </cell>
          <cell r="C2758" t="str">
            <v>Кiльця КС7.3 залiзобетоннi серiя 3.900.1-14
випуск 1 (об'єм бетону - 0,05 м3)(Ф53)</v>
          </cell>
          <cell r="D2758" t="str">
            <v>шт</v>
          </cell>
          <cell r="E2758">
            <v>1</v>
          </cell>
          <cell r="F2758">
            <v>549.87</v>
          </cell>
          <cell r="G2758">
            <v>549.87</v>
          </cell>
        </row>
        <row r="2759">
          <cell r="B2759" t="str">
            <v>К585521-Л007</v>
          </cell>
          <cell r="C2759" t="str">
            <v>Кiльця КС15.6 залiзобетоннi серiя 3.900.1-
14 випуск 1 (об'єм бетону - 0,265 м3)(Ф53)</v>
          </cell>
          <cell r="D2759" t="str">
            <v>шт</v>
          </cell>
          <cell r="E2759">
            <v>2</v>
          </cell>
          <cell r="F2759">
            <v>1101.6199999999999</v>
          </cell>
          <cell r="G2759">
            <v>2203.2399999999998</v>
          </cell>
        </row>
        <row r="2760">
          <cell r="B2760" t="str">
            <v>К585521-Л036</v>
          </cell>
          <cell r="C2760" t="str">
            <v>Плити покриття 1ПП15-2 залiзобетоннi серiя
3.900.1-14 випуск 1 (об'єм бетону - 0,27
м3)(Ф53)</v>
          </cell>
          <cell r="D2760" t="str">
            <v>шт</v>
          </cell>
          <cell r="E2760">
            <v>1</v>
          </cell>
          <cell r="F2760">
            <v>3774.77</v>
          </cell>
          <cell r="G2760">
            <v>3774.77</v>
          </cell>
        </row>
        <row r="2761">
          <cell r="B2761" t="str">
            <v>К585521-Л052</v>
          </cell>
          <cell r="C2761" t="str">
            <v>Кiльця опорнi КО6 залiзобетоннi серiя
3.900.1-14 випуск 1 (об'єм бетону - 0,02
м3)(Ф53)</v>
          </cell>
          <cell r="D2761" t="str">
            <v>шт</v>
          </cell>
          <cell r="E2761">
            <v>1</v>
          </cell>
          <cell r="F2761">
            <v>324.68</v>
          </cell>
          <cell r="G2761">
            <v>324.68</v>
          </cell>
        </row>
        <row r="2762">
          <cell r="B2762" t="str">
            <v>Е23-24-1</v>
          </cell>
          <cell r="C2762" t="str">
            <v>Установлення люка</v>
          </cell>
          <cell r="D2762" t="str">
            <v>шт</v>
          </cell>
          <cell r="E2762">
            <v>1</v>
          </cell>
          <cell r="F2762">
            <v>163.81</v>
          </cell>
          <cell r="G2762">
            <v>163.81</v>
          </cell>
        </row>
        <row r="2763">
          <cell r="B2763" t="str">
            <v>С113-753</v>
          </cell>
          <cell r="C2763" t="str">
            <v>Люк полімер-піщаний тип "С" с ЗУ</v>
          </cell>
          <cell r="D2763" t="str">
            <v>шт</v>
          </cell>
          <cell r="E2763">
            <v>1</v>
          </cell>
          <cell r="F2763">
            <v>1841.74</v>
          </cell>
          <cell r="G2763">
            <v>1841.74</v>
          </cell>
        </row>
        <row r="2764">
          <cell r="B2764" t="str">
            <v>С111-1789</v>
          </cell>
          <cell r="C2764" t="str">
            <v>Скоби ходовi</v>
          </cell>
          <cell r="D2764" t="str">
            <v>кг</v>
          </cell>
          <cell r="E2764">
            <v>6.8500000000000002E-3</v>
          </cell>
          <cell r="F2764">
            <v>40.93</v>
          </cell>
          <cell r="G2764">
            <v>0.28000000000000003</v>
          </cell>
        </row>
        <row r="2765">
          <cell r="B2765" t="str">
            <v>ЕН8-4-1</v>
          </cell>
          <cell r="C2765" t="str">
            <v>Бокова iзоляцiя стiн, фундаментiв глиною</v>
          </cell>
          <cell r="D2765" t="str">
            <v>1 м3</v>
          </cell>
          <cell r="E2765">
            <v>2.2000000000000002</v>
          </cell>
          <cell r="F2765">
            <v>1051.29</v>
          </cell>
          <cell r="G2765">
            <v>2312.84</v>
          </cell>
        </row>
        <row r="2766">
          <cell r="B2766" t="str">
            <v>С121-781-1</v>
          </cell>
          <cell r="C2766" t="str">
            <v>Драбини металеві приставні</v>
          </cell>
          <cell r="D2766" t="str">
            <v>т</v>
          </cell>
          <cell r="E2766">
            <v>4.2100000000000005E-2</v>
          </cell>
          <cell r="F2766">
            <v>34598.75</v>
          </cell>
          <cell r="G2766">
            <v>1456.61</v>
          </cell>
        </row>
        <row r="2767">
          <cell r="B2767" t="str">
            <v>ЕН15-172-4</v>
          </cell>
          <cell r="C2767" t="str">
            <v>Фарбування суриком грат, рам, радiаторiв,
труб дiаметром менше 50 мм тощо за два
рази (драбин)</v>
          </cell>
          <cell r="D2767" t="str">
            <v>100м2</v>
          </cell>
          <cell r="E2767">
            <v>2.1892000000000002E-2</v>
          </cell>
          <cell r="F2767">
            <v>9290.8799999999992</v>
          </cell>
          <cell r="G2767">
            <v>203.4</v>
          </cell>
        </row>
        <row r="2769">
          <cell r="B2769" t="str">
            <v>С113-1453-2</v>
          </cell>
          <cell r="C2769" t="str">
            <v>Труба для зовнішньої каналізації із
раструбом ПВХ з ущільнюючим кільцем,
клас S (SN8, SDR34), Dу 160х4,7  Wavin</v>
          </cell>
          <cell r="D2769" t="str">
            <v>м</v>
          </cell>
          <cell r="E2769">
            <v>5.05</v>
          </cell>
          <cell r="F2769">
            <v>417.92</v>
          </cell>
          <cell r="G2769">
            <v>2110.5</v>
          </cell>
        </row>
        <row r="2770">
          <cell r="B2770" t="str">
            <v>С113-196</v>
          </cell>
          <cell r="C2770" t="str">
            <v>Труби сталевi електрозварнi прямошовнi iз
сталi марки 20, зовнiшнiй дiаметр 273 мм,
товщина стiнки 6 мм</v>
          </cell>
          <cell r="D2770" t="str">
            <v>м</v>
          </cell>
          <cell r="E2770">
            <v>0.25</v>
          </cell>
          <cell r="F2770">
            <v>1939.16</v>
          </cell>
          <cell r="G2770">
            <v>484.79</v>
          </cell>
        </row>
        <row r="2771">
          <cell r="B2771" t="str">
            <v>Е23-23-2</v>
          </cell>
          <cell r="C2771" t="str">
            <v>Приєднання каналiзацiйних трубопроводiв
до iснуючої мережi в мокрих ґрунтах</v>
          </cell>
          <cell r="D2771" t="str">
            <v>шт</v>
          </cell>
          <cell r="E2771">
            <v>1</v>
          </cell>
          <cell r="F2771">
            <v>2217.09</v>
          </cell>
          <cell r="G2771">
            <v>2217.09</v>
          </cell>
        </row>
        <row r="2773">
          <cell r="B2773" t="str">
            <v>Е1-18-1</v>
          </cell>
          <cell r="C2773" t="str">
            <v>Навантаження грунту на автомобiлi-
самоскиди екскаваторами одноковшовими
дизельними на гусеничному ходу з ковшом
мiсткiстю 0,4 м3, група грунтiв 1</v>
          </cell>
          <cell r="D2773" t="str">
            <v>1000м3</v>
          </cell>
          <cell r="E2773">
            <v>9.8999999999999999E-4</v>
          </cell>
          <cell r="F2773">
            <v>79914.05</v>
          </cell>
          <cell r="G2773">
            <v>79.11</v>
          </cell>
        </row>
        <row r="2774">
          <cell r="B2774" t="str">
            <v>С311-30</v>
          </cell>
          <cell r="C2774" t="str">
            <v>Перевезення грунту до 30 км</v>
          </cell>
          <cell r="D2774" t="str">
            <v>т</v>
          </cell>
          <cell r="E2774">
            <v>1.6335000000000002</v>
          </cell>
          <cell r="F2774">
            <v>180</v>
          </cell>
          <cell r="G2774">
            <v>294.02999999999997</v>
          </cell>
        </row>
        <row r="2775">
          <cell r="B2775" t="str">
            <v>Е1-166-1</v>
          </cell>
          <cell r="C2775" t="str">
            <v>Засипка вручну траншей, група грунтiв 1</v>
          </cell>
          <cell r="D2775" t="str">
            <v>100м3</v>
          </cell>
          <cell r="E2775">
            <v>2.8500000000000001E-2</v>
          </cell>
          <cell r="F2775">
            <v>8246.16</v>
          </cell>
          <cell r="G2775">
            <v>235.02</v>
          </cell>
        </row>
        <row r="2776">
          <cell r="B2776" t="str">
            <v>Е34-103-1</v>
          </cell>
          <cell r="C2776" t="str">
            <v>Улаштування трубопроводiв iз
полiетиленових труб Ду=63 мм</v>
          </cell>
          <cell r="D2776" t="str">
            <v>км</v>
          </cell>
          <cell r="E2776">
            <v>1.7000000000000001E-2</v>
          </cell>
          <cell r="F2776">
            <v>14981.25</v>
          </cell>
          <cell r="G2776">
            <v>254.68</v>
          </cell>
        </row>
        <row r="2777">
          <cell r="B2777" t="str">
            <v>С1530-69</v>
          </cell>
          <cell r="C2777" t="str">
            <v>Труби напiрнi з полiетилену низького тиску,
тип важкий, зовнiшнiй дiаметр 63 мм</v>
          </cell>
          <cell r="D2777" t="str">
            <v>10м</v>
          </cell>
          <cell r="E2777">
            <v>1.7000000000000002</v>
          </cell>
          <cell r="F2777">
            <v>806.08</v>
          </cell>
          <cell r="G2777">
            <v>1370.34</v>
          </cell>
        </row>
        <row r="2778">
          <cell r="B2778" t="str">
            <v>М8-148-1</v>
          </cell>
          <cell r="C2778" t="str">
            <v>Кабель до 35 кВ у прокладених трубах,
блоках i коробах, маса 1 м до 1 кг</v>
          </cell>
          <cell r="D2778" t="str">
            <v>100 м</v>
          </cell>
          <cell r="E2778">
            <v>0.25</v>
          </cell>
          <cell r="F2778">
            <v>1861.74</v>
          </cell>
          <cell r="G2778">
            <v>465.44</v>
          </cell>
        </row>
        <row r="2779">
          <cell r="B2779" t="str">
            <v>15093-34023</v>
          </cell>
          <cell r="C2779" t="str">
            <v>Кабель силовий з мідними жилами з ПВХ
оболонкою і ізоляцією перерiзом 2.2,5мм2
ВВГнг-0,66</v>
          </cell>
          <cell r="D2779" t="str">
            <v>1000м</v>
          </cell>
          <cell r="E2779">
            <v>2.5000000000000001E-2</v>
          </cell>
          <cell r="F2779">
            <v>23171.02</v>
          </cell>
          <cell r="G2779">
            <v>579.28</v>
          </cell>
        </row>
        <row r="2780">
          <cell r="B2780" t="str">
            <v>М8-158-5</v>
          </cell>
          <cell r="C2780" t="str">
            <v>Закладення сухе кiнцеве для контрольного
кабеля перерiзом однiєї жили до 2,5 мм2,
кiлькiсть жил до 4</v>
          </cell>
          <cell r="D2780" t="str">
            <v>шт</v>
          </cell>
          <cell r="E2780">
            <v>4</v>
          </cell>
          <cell r="F2780">
            <v>164.09</v>
          </cell>
          <cell r="G2780">
            <v>656.36</v>
          </cell>
        </row>
        <row r="2781">
          <cell r="B2781" t="str">
            <v>М8-545-1</v>
          </cell>
          <cell r="C2781" t="str">
            <v>Коробка [ящик] iз затискачами для
проводiв i кабелiв перерiзом жил до 6 мм2,
що установлюється на конструкцiї на
стiнi або колонi, кiлькiсть затискачiв у
коробцi до 10</v>
          </cell>
          <cell r="D2781" t="str">
            <v>шт</v>
          </cell>
          <cell r="E2781">
            <v>2</v>
          </cell>
          <cell r="F2781">
            <v>538.34</v>
          </cell>
          <cell r="G2781">
            <v>1076.68</v>
          </cell>
        </row>
        <row r="2782">
          <cell r="B2782" t="str">
            <v>2405-1356</v>
          </cell>
          <cell r="C2782" t="str">
            <v>Коробки клемнi ККС-4</v>
          </cell>
          <cell r="D2782" t="str">
            <v>шт</v>
          </cell>
          <cell r="E2782">
            <v>2</v>
          </cell>
          <cell r="F2782">
            <v>146.37</v>
          </cell>
          <cell r="G2782">
            <v>292.74</v>
          </cell>
        </row>
        <row r="2783">
          <cell r="B2783" t="str">
            <v>С1110-88</v>
          </cell>
          <cell r="C2783" t="str">
            <v>Кронштейн металевий під датчики</v>
          </cell>
          <cell r="D2783" t="str">
            <v>шт</v>
          </cell>
          <cell r="E2783">
            <v>2</v>
          </cell>
          <cell r="F2783">
            <v>262.83999999999997</v>
          </cell>
          <cell r="G2783">
            <v>525.67999999999995</v>
          </cell>
        </row>
        <row r="2784">
          <cell r="B2784" t="str">
            <v>ЕН6-33-1</v>
          </cell>
          <cell r="C2784" t="str">
            <v>Улаштування стiн i плоских днищ круглих
споруд при товщинi стiн до 150 мм</v>
          </cell>
          <cell r="D2784" t="str">
            <v>100 м3</v>
          </cell>
          <cell r="E2784">
            <v>2E-3</v>
          </cell>
          <cell r="F2784">
            <v>558022.01</v>
          </cell>
          <cell r="G2784">
            <v>1116.04</v>
          </cell>
        </row>
        <row r="2785">
          <cell r="B2785" t="str">
            <v>ЕН6-33-1</v>
          </cell>
          <cell r="C2785" t="str">
            <v>Улаштування стiн i плоских днищ круглих
споруд при товщинi стiн до 150 мм</v>
          </cell>
          <cell r="D2785" t="str">
            <v>100 м3</v>
          </cell>
          <cell r="E2785">
            <v>2.7000000000000001E-3</v>
          </cell>
          <cell r="F2785">
            <v>558022.01</v>
          </cell>
          <cell r="G2785">
            <v>1506.66</v>
          </cell>
        </row>
        <row r="2786">
          <cell r="B2786" t="str">
            <v>ЕН6-11-8</v>
          </cell>
          <cell r="C2786" t="str">
            <v>Установлення закладних деталей вагою
понад 5 кг до 10 кг</v>
          </cell>
          <cell r="D2786" t="str">
            <v>т</v>
          </cell>
          <cell r="E2786">
            <v>1.6580000000000001E-2</v>
          </cell>
          <cell r="F2786">
            <v>66106.92</v>
          </cell>
          <cell r="G2786">
            <v>1096.05</v>
          </cell>
        </row>
        <row r="2787">
          <cell r="B2787" t="str">
            <v>Е1-13-4</v>
          </cell>
          <cell r="C2787" t="str">
            <v>Розроблення ґрунту у вiдвал екскаваторами
"драглайн" або "зворотна лопата" з ковшом
мiсткiстю 0,25 м3, група ґрунтiв 1</v>
          </cell>
          <cell r="D2787" t="str">
            <v>1000м3</v>
          </cell>
          <cell r="E2787">
            <v>8.0999999999999996E-3</v>
          </cell>
          <cell r="F2787">
            <v>69349.41</v>
          </cell>
          <cell r="G2787">
            <v>561.73</v>
          </cell>
        </row>
        <row r="2788">
          <cell r="B2788" t="str">
            <v>Е1-18-4</v>
          </cell>
          <cell r="C2788" t="str">
            <v>Розроблення ґрунту з навантаженням на
автомобiлi-самоскиди екскаваторами
одноковшовими дизельними на
пневмоколісному ходу з ковшом мiсткiстю
0,25 м3, група ґрунтiв 1</v>
          </cell>
          <cell r="D2788" t="str">
            <v>1000м3</v>
          </cell>
          <cell r="E2788">
            <v>6.4000000000000003E-3</v>
          </cell>
          <cell r="F2788">
            <v>88291.26</v>
          </cell>
          <cell r="G2788">
            <v>565.05999999999995</v>
          </cell>
        </row>
        <row r="2789">
          <cell r="B2789" t="str">
            <v>Е1-164-1_тех.ч._п.1.3.180_к=1,2</v>
          </cell>
          <cell r="C2789" t="str">
            <v>Доробка вручну, зачищення дна i стiнок
вручну з викидом грунту в котлованах i
траншеях, розроблених механiзованим
способом</v>
          </cell>
          <cell r="D2789" t="str">
            <v>100м3</v>
          </cell>
          <cell r="E2789">
            <v>1.2E-2</v>
          </cell>
          <cell r="F2789">
            <v>13396.07</v>
          </cell>
          <cell r="G2789">
            <v>160.75</v>
          </cell>
        </row>
        <row r="2790">
          <cell r="B2790" t="str">
            <v>Е1-171-2</v>
          </cell>
          <cell r="C2790" t="str">
            <v>Крiплення iнвентарними щитами стiнок
траншей шириною до 2 м у ґрунтах
стiйких</v>
          </cell>
          <cell r="D2790" t="str">
            <v>100м2</v>
          </cell>
          <cell r="E2790">
            <v>0.16200000000000001</v>
          </cell>
          <cell r="F2790">
            <v>11968.99</v>
          </cell>
          <cell r="G2790">
            <v>1938.98</v>
          </cell>
        </row>
        <row r="2791">
          <cell r="B2791" t="str">
            <v>Е1-166-1</v>
          </cell>
          <cell r="C2791" t="str">
            <v>Засипка вручну траншей, пазух котлованiв i
ям, група ґрунтiв 1</v>
          </cell>
          <cell r="D2791" t="str">
            <v>100м3</v>
          </cell>
          <cell r="E2791">
            <v>8.1000000000000003E-2</v>
          </cell>
          <cell r="F2791">
            <v>8246.16</v>
          </cell>
          <cell r="G2791">
            <v>667.94</v>
          </cell>
        </row>
        <row r="2792">
          <cell r="B2792" t="str">
            <v>С311-30</v>
          </cell>
          <cell r="C2792" t="str">
            <v>Перевезення грунту до 30 км</v>
          </cell>
          <cell r="D2792" t="str">
            <v>т</v>
          </cell>
          <cell r="E2792">
            <v>10.88</v>
          </cell>
          <cell r="F2792">
            <v>180</v>
          </cell>
          <cell r="G2792">
            <v>1958.4</v>
          </cell>
        </row>
        <row r="2793">
          <cell r="B2793" t="str">
            <v>ЕН6-1-1</v>
          </cell>
          <cell r="C2793" t="str">
            <v>Улаштування бетонної пiдготовки бетон
важкий В 10 (М 150), крупнiсть
заповнювача бiльше 40 мм</v>
          </cell>
          <cell r="D2793" t="str">
            <v>100м3</v>
          </cell>
          <cell r="E2793">
            <v>2.5400000000000002E-3</v>
          </cell>
          <cell r="F2793">
            <v>302095.49</v>
          </cell>
          <cell r="G2793">
            <v>767.32</v>
          </cell>
        </row>
        <row r="2794">
          <cell r="B2794" t="str">
            <v>ЕН6-33-1</v>
          </cell>
          <cell r="C2794" t="str">
            <v>Улаштування стiн i плоских днищ круглих
споруд при товщинi стiн до 150 мм</v>
          </cell>
          <cell r="D2794" t="str">
            <v>100 м3</v>
          </cell>
          <cell r="E2794">
            <v>1.8000000000000002E-2</v>
          </cell>
          <cell r="F2794">
            <v>558022.01</v>
          </cell>
          <cell r="G2794">
            <v>10044.4</v>
          </cell>
        </row>
        <row r="2795">
          <cell r="B2795" t="str">
            <v>С124-22</v>
          </cell>
          <cell r="C2795" t="str">
            <v>Гарячекатана арматурна сталь
перiодичного профiлю, клас А-III, дiаметр 12
мм</v>
          </cell>
          <cell r="D2795" t="str">
            <v>т</v>
          </cell>
          <cell r="E2795">
            <v>0.25320000000000004</v>
          </cell>
          <cell r="F2795">
            <v>21525.03</v>
          </cell>
          <cell r="G2795">
            <v>5450.14</v>
          </cell>
        </row>
        <row r="2796">
          <cell r="B2796" t="str">
            <v>С124-1</v>
          </cell>
          <cell r="C2796" t="str">
            <v>Гарячекатана арматурна сталь гладка, клас
А-1, дiаметр 6 мм</v>
          </cell>
          <cell r="D2796" t="str">
            <v>т</v>
          </cell>
          <cell r="E2796">
            <v>6.600000000000001E-4</v>
          </cell>
          <cell r="F2796">
            <v>20153.68</v>
          </cell>
          <cell r="G2796">
            <v>13.3</v>
          </cell>
        </row>
        <row r="2797">
          <cell r="B2797" t="str">
            <v>ЕН6-11-7</v>
          </cell>
          <cell r="C2797" t="str">
            <v>Установлення закладних деталей вагою
до 5 кг</v>
          </cell>
          <cell r="D2797" t="str">
            <v>т</v>
          </cell>
          <cell r="E2797">
            <v>4.47E-3</v>
          </cell>
          <cell r="F2797">
            <v>73560.13</v>
          </cell>
          <cell r="G2797">
            <v>328.81</v>
          </cell>
        </row>
        <row r="2798">
          <cell r="B2798" t="str">
            <v>ЕН6-11-9</v>
          </cell>
          <cell r="C2798" t="str">
            <v>Установлення закладних деталей вагою
понад 10 кг до 20 кг</v>
          </cell>
          <cell r="D2798" t="str">
            <v>т</v>
          </cell>
          <cell r="E2798">
            <v>1.746E-2</v>
          </cell>
          <cell r="F2798">
            <v>62826.14</v>
          </cell>
          <cell r="G2798">
            <v>1096.94</v>
          </cell>
        </row>
        <row r="2799">
          <cell r="B2799" t="str">
            <v>Е7-31-2</v>
          </cell>
          <cell r="C2799" t="str">
            <v>Установлення опор iз плит i кiлець
дiаметром бiльше 1000 мм</v>
          </cell>
          <cell r="D2799" t="str">
            <v>100м3</v>
          </cell>
          <cell r="E2799">
            <v>2.9000000000000002E-3</v>
          </cell>
          <cell r="F2799">
            <v>63613.94</v>
          </cell>
          <cell r="G2799">
            <v>184.48</v>
          </cell>
        </row>
        <row r="2800">
          <cell r="B2800" t="str">
            <v>К585521-Л036</v>
          </cell>
          <cell r="C2800" t="str">
            <v>Плити покриття 1ПП15-2 залiзобетоннi серiя
3.900.1-14 випуск 1 (об'єм бетону - 0,27
м3)(Ф53)</v>
          </cell>
          <cell r="D2800" t="str">
            <v>шт</v>
          </cell>
          <cell r="E2800">
            <v>1</v>
          </cell>
          <cell r="F2800">
            <v>3774.77</v>
          </cell>
          <cell r="G2800">
            <v>3774.77</v>
          </cell>
        </row>
        <row r="2801">
          <cell r="B2801" t="str">
            <v>К585521-Л052</v>
          </cell>
          <cell r="C2801" t="str">
            <v>Кiльця опорнi КО6 залiзобетоннi серiя
3.900.1-14 випуск 1 (об'єм бетону - 0,02
м3)(Ф53)</v>
          </cell>
          <cell r="D2801" t="str">
            <v>шт</v>
          </cell>
          <cell r="E2801">
            <v>1</v>
          </cell>
          <cell r="F2801">
            <v>324.68</v>
          </cell>
          <cell r="G2801">
            <v>324.68</v>
          </cell>
        </row>
        <row r="2802">
          <cell r="B2802" t="str">
            <v>Е23-24-1</v>
          </cell>
          <cell r="C2802" t="str">
            <v>Установлення люка</v>
          </cell>
          <cell r="D2802" t="str">
            <v>шт</v>
          </cell>
          <cell r="E2802">
            <v>1</v>
          </cell>
          <cell r="F2802">
            <v>163.81</v>
          </cell>
          <cell r="G2802">
            <v>163.81</v>
          </cell>
        </row>
        <row r="2803">
          <cell r="B2803" t="str">
            <v>С113-753</v>
          </cell>
          <cell r="C2803" t="str">
            <v>Люк полімер-піщаний тип "С" с ЗУ</v>
          </cell>
          <cell r="D2803" t="str">
            <v>шт</v>
          </cell>
          <cell r="E2803">
            <v>1</v>
          </cell>
          <cell r="F2803">
            <v>1841.74</v>
          </cell>
          <cell r="G2803">
            <v>1841.74</v>
          </cell>
        </row>
        <row r="2804">
          <cell r="B2804" t="str">
            <v>С111-1789</v>
          </cell>
          <cell r="C2804" t="str">
            <v>Скоби ходовi</v>
          </cell>
          <cell r="D2804" t="str">
            <v>кг</v>
          </cell>
          <cell r="E2804">
            <v>5.4800000000000005E-3</v>
          </cell>
          <cell r="F2804">
            <v>40.93</v>
          </cell>
          <cell r="G2804">
            <v>0.22</v>
          </cell>
        </row>
        <row r="2805">
          <cell r="B2805" t="str">
            <v>ЕН8-4-1</v>
          </cell>
          <cell r="C2805" t="str">
            <v>Бокова iзоляцiя стiн, фундаментiв глиною</v>
          </cell>
          <cell r="D2805" t="str">
            <v>1 м3</v>
          </cell>
          <cell r="E2805">
            <v>2.2000000000000002</v>
          </cell>
          <cell r="F2805">
            <v>1051.29</v>
          </cell>
          <cell r="G2805">
            <v>2312.84</v>
          </cell>
        </row>
        <row r="2806">
          <cell r="B2806" t="str">
            <v>С121-781-1</v>
          </cell>
          <cell r="C2806" t="str">
            <v>Драбини металеві приставні</v>
          </cell>
          <cell r="D2806" t="str">
            <v>т</v>
          </cell>
          <cell r="E2806">
            <v>4.2100000000000005E-2</v>
          </cell>
          <cell r="F2806">
            <v>34598.75</v>
          </cell>
          <cell r="G2806">
            <v>1456.61</v>
          </cell>
        </row>
        <row r="2807">
          <cell r="B2807" t="str">
            <v>ЕН15-172-4</v>
          </cell>
          <cell r="C2807" t="str">
            <v>Фарбування суриком грат, рам, радiаторiв,
труб дiаметром менше 50 мм тощо за два
рази (драбин)</v>
          </cell>
          <cell r="D2807" t="str">
            <v>100м2</v>
          </cell>
          <cell r="E2807">
            <v>0.02</v>
          </cell>
          <cell r="F2807">
            <v>9290.8799999999992</v>
          </cell>
          <cell r="G2807">
            <v>185.82</v>
          </cell>
        </row>
        <row r="2809">
          <cell r="B2809" t="str">
            <v>Е1-13-4</v>
          </cell>
          <cell r="C2809" t="str">
            <v>Розроблення ґрунту у вiдвал екскаваторами
"драглайн" або "зворотна лопата" з ковшом
мiсткiстю 0,25 м3, група ґрунтiв 1</v>
          </cell>
          <cell r="D2809" t="str">
            <v>1000м3</v>
          </cell>
          <cell r="E2809">
            <v>3.5750000000000004E-2</v>
          </cell>
          <cell r="F2809">
            <v>69349.41</v>
          </cell>
          <cell r="G2809">
            <v>2479.2399999999998</v>
          </cell>
        </row>
        <row r="2810">
          <cell r="B2810" t="str">
            <v>Е1-18-4</v>
          </cell>
          <cell r="C2810" t="str">
            <v>Розроблення ґрунту з навантаженням на
автомобiлi-самоскиди екскаваторами
одноковшовими дизельними на
пневмоколісному ходу з ковшом мiсткiстю
0,25 м3, група ґрунтiв 1</v>
          </cell>
          <cell r="D2810" t="str">
            <v>1000м3</v>
          </cell>
          <cell r="E2810">
            <v>1.0999999999999999E-2</v>
          </cell>
          <cell r="F2810">
            <v>88291.26</v>
          </cell>
          <cell r="G2810">
            <v>971.2</v>
          </cell>
        </row>
        <row r="2811">
          <cell r="B2811" t="str">
            <v>Е1-13-5</v>
          </cell>
          <cell r="C2811" t="str">
            <v>Розроблення ґрунту у вiдвал екскаваторами
"драглайн" або "зворотна лопата" з ковшом
мiсткiстю 0,25 м3, група ґрунтiв 2</v>
          </cell>
          <cell r="D2811" t="str">
            <v>1000м3</v>
          </cell>
          <cell r="E2811">
            <v>2.0480000000000002E-2</v>
          </cell>
          <cell r="F2811">
            <v>89242.51</v>
          </cell>
          <cell r="G2811">
            <v>1827.69</v>
          </cell>
        </row>
        <row r="2812">
          <cell r="B2812" t="str">
            <v>Е1-163-8</v>
          </cell>
          <cell r="C2812" t="str">
            <v>Розробка ґрунту вручну в траншеях
шириною понад 2 м i котлованах площею
перерiзу до 5 м2 з крiпленнями при глибинi
траншей i котлованiв до 3 м, група ґрунтiв 2</v>
          </cell>
          <cell r="D2812" t="str">
            <v>100м3</v>
          </cell>
          <cell r="E2812">
            <v>1.6E-2</v>
          </cell>
          <cell r="F2812">
            <v>30046.07</v>
          </cell>
          <cell r="G2812">
            <v>480.74</v>
          </cell>
        </row>
        <row r="2813">
          <cell r="B2813" t="str">
            <v>Е1-172-4</v>
          </cell>
          <cell r="C2813" t="str">
            <v>Крiплення дошками стiнок котлованiв i
траншей шириною понад 2 м, глибиною
понад 3 м, у ґрунтах нестiйких</v>
          </cell>
          <cell r="D2813" t="str">
            <v>100м2</v>
          </cell>
          <cell r="E2813">
            <v>0.38400000000000001</v>
          </cell>
          <cell r="F2813">
            <v>12738.78</v>
          </cell>
          <cell r="G2813">
            <v>4891.6899999999996</v>
          </cell>
        </row>
        <row r="2814">
          <cell r="B2814" t="str">
            <v>Е1-134-1</v>
          </cell>
          <cell r="C2814" t="str">
            <v>Ущiльнення ґрунту пневматичними
трамбiвками, група ґрунтiв 1, 2</v>
          </cell>
          <cell r="D2814" t="str">
            <v>100м3</v>
          </cell>
          <cell r="E2814">
            <v>0.10980000000000001</v>
          </cell>
          <cell r="F2814">
            <v>1147.5</v>
          </cell>
          <cell r="G2814">
            <v>126</v>
          </cell>
        </row>
        <row r="2815">
          <cell r="B2815" t="str">
            <v>Е1-27-1</v>
          </cell>
          <cell r="C2815" t="str">
            <v>Засипка траншей i котлованiв
бульдозерами потужнiстю 59 кВт [80 к.с.]
з перемiщенням ґрунту до 5 м, група
ґрунтiв 1</v>
          </cell>
          <cell r="D2815" t="str">
            <v>1000м3</v>
          </cell>
          <cell r="E2815">
            <v>5.7830000000000006E-2</v>
          </cell>
          <cell r="F2815">
            <v>4132.5</v>
          </cell>
          <cell r="G2815">
            <v>238.98</v>
          </cell>
        </row>
        <row r="2816">
          <cell r="B2816" t="str">
            <v>Е1-134-1</v>
          </cell>
          <cell r="C2816" t="str">
            <v>Ущiльнення ґрунту пневматичними
трамбiвками, група ґрунтiв 1, 2</v>
          </cell>
          <cell r="D2816" t="str">
            <v>100м3</v>
          </cell>
          <cell r="E2816">
            <v>0.57830000000000004</v>
          </cell>
          <cell r="F2816">
            <v>1147.5</v>
          </cell>
          <cell r="G2816">
            <v>663.6</v>
          </cell>
        </row>
        <row r="2817">
          <cell r="B2817" t="str">
            <v>С311-30</v>
          </cell>
          <cell r="C2817" t="str">
            <v>Перевезення грунту до 30 км</v>
          </cell>
          <cell r="D2817" t="str">
            <v>т</v>
          </cell>
          <cell r="E2817">
            <v>17.05</v>
          </cell>
          <cell r="F2817">
            <v>180</v>
          </cell>
          <cell r="G2817">
            <v>3069</v>
          </cell>
        </row>
        <row r="2818">
          <cell r="B2818" t="str">
            <v>ЕН22-11-7</v>
          </cell>
          <cell r="C2818" t="str">
            <v>Укладання трубопроводiв iз
полiетиленових труб дiаметром 250 мм з
гідравличним випробуванням</v>
          </cell>
          <cell r="D2818" t="str">
            <v>1000м</v>
          </cell>
          <cell r="E2818">
            <v>8.9999999999999993E-3</v>
          </cell>
          <cell r="F2818">
            <v>49496</v>
          </cell>
          <cell r="G2818">
            <v>445.46</v>
          </cell>
        </row>
        <row r="2819">
          <cell r="B2819" t="str">
            <v>С113-1386</v>
          </cell>
          <cell r="C2819" t="str">
            <v>Труби полiетиленовi для подачi холодної
води РЕ 100 SDR-17(1,0 МПа), зовнiшнiй
дiаметр 225х13,4 мм</v>
          </cell>
          <cell r="D2819" t="str">
            <v>м</v>
          </cell>
          <cell r="E2819">
            <v>9.09</v>
          </cell>
          <cell r="F2819">
            <v>1064.81</v>
          </cell>
          <cell r="G2819">
            <v>9679.1200000000008</v>
          </cell>
        </row>
        <row r="2820">
          <cell r="B2820" t="str">
            <v>Е23-13-6</v>
          </cell>
          <cell r="C2820" t="str">
            <v>Улаштування круглих збiрних
залiзобетонних каналiзацiйних колодязiв
дiаметром 1,5 м у просідних грунтах</v>
          </cell>
          <cell r="D2820" t="str">
            <v>10м3</v>
          </cell>
          <cell r="E2820">
            <v>0.443</v>
          </cell>
          <cell r="F2820">
            <v>42144.42</v>
          </cell>
          <cell r="G2820">
            <v>18669.98</v>
          </cell>
        </row>
        <row r="2821">
          <cell r="B2821" t="str">
            <v>С1424-11598</v>
          </cell>
          <cell r="C2821" t="str">
            <v>Сумiшi бетоннi готовi важкi, клас бетону В7,
5 [М100], крупнiсть заповнювача бiльше 40
мм</v>
          </cell>
          <cell r="D2821" t="str">
            <v>м3</v>
          </cell>
          <cell r="E2821">
            <v>0.40800000000000003</v>
          </cell>
          <cell r="F2821">
            <v>2464.86</v>
          </cell>
          <cell r="G2821">
            <v>1005.66</v>
          </cell>
        </row>
        <row r="2822">
          <cell r="B2822" t="str">
            <v>К585521-Л008</v>
          </cell>
          <cell r="C2822" t="str">
            <v>Кiльця КС15.9 залiзобетоннi серiя 3.900.1-
14 випуск 1 (об'єм бетону - 0,40 м3)(Ф53)</v>
          </cell>
          <cell r="D2822" t="str">
            <v>шт</v>
          </cell>
          <cell r="E2822">
            <v>4</v>
          </cell>
          <cell r="F2822">
            <v>3497.4</v>
          </cell>
          <cell r="G2822">
            <v>13989.6</v>
          </cell>
        </row>
        <row r="2823">
          <cell r="B2823" t="str">
            <v>К585521-Л036</v>
          </cell>
          <cell r="C2823" t="str">
            <v>Плити покриття 1ПП15-2 залiзобетоннi серiя
3.900.1-14 випуск 1 (об'єм бетону - 0,27
м3)(Ф53)</v>
          </cell>
          <cell r="D2823" t="str">
            <v>шт</v>
          </cell>
          <cell r="E2823">
            <v>1</v>
          </cell>
          <cell r="F2823">
            <v>3774.77</v>
          </cell>
          <cell r="G2823">
            <v>3774.77</v>
          </cell>
        </row>
        <row r="2824">
          <cell r="B2824" t="str">
            <v>К585521-Л049</v>
          </cell>
          <cell r="C2824" t="str">
            <v>Плити днищ ПН15 залiзобетоннi серiя
3.900.1-14 випуск 1 (об'єм бетону - 0,38
м3)(Ф53)</v>
          </cell>
          <cell r="D2824" t="str">
            <v>шт</v>
          </cell>
          <cell r="E2824">
            <v>1</v>
          </cell>
          <cell r="F2824">
            <v>4811.7299999999996</v>
          </cell>
          <cell r="G2824">
            <v>4811.7299999999996</v>
          </cell>
        </row>
        <row r="2825">
          <cell r="B2825" t="str">
            <v>К585521-Л052</v>
          </cell>
          <cell r="C2825" t="str">
            <v>Кiльця опорнi КО6 залiзобетоннi серiя
3.900.1-14 випуск 1 (об'єм бетону - 0,02
м3)(Ф53)</v>
          </cell>
          <cell r="D2825" t="str">
            <v>шт</v>
          </cell>
          <cell r="E2825">
            <v>4</v>
          </cell>
          <cell r="F2825">
            <v>324.68</v>
          </cell>
          <cell r="G2825">
            <v>1298.72</v>
          </cell>
        </row>
        <row r="2826">
          <cell r="B2826" t="str">
            <v>Е46-27-2</v>
          </cell>
          <cell r="C2826" t="str">
            <v>Пробивання прорiзiв в конструкцiях з
бетону</v>
          </cell>
          <cell r="D2826" t="str">
            <v>м3</v>
          </cell>
          <cell r="E2826">
            <v>1.8200000000000001E-2</v>
          </cell>
          <cell r="F2826">
            <v>2580.8200000000002</v>
          </cell>
          <cell r="G2826">
            <v>46.97</v>
          </cell>
        </row>
        <row r="2827">
          <cell r="B2827" t="str">
            <v>С113-201</v>
          </cell>
          <cell r="C2827" t="str">
            <v>Труби сталевi електрозварнi прямошовнi iз
сталi марки 20, зовнiшнiй дiаметр 325 мм,
товщина стiнки 5 мм (для гільз)</v>
          </cell>
          <cell r="D2827" t="str">
            <v>м</v>
          </cell>
          <cell r="E2827">
            <v>0.25</v>
          </cell>
          <cell r="F2827">
            <v>1613.43</v>
          </cell>
          <cell r="G2827">
            <v>403.36</v>
          </cell>
        </row>
        <row r="2828">
          <cell r="B2828" t="str">
            <v>С113-754</v>
          </cell>
          <cell r="C2828" t="str">
            <v>Люк чавунний для колодязiв важкий</v>
          </cell>
          <cell r="D2828" t="str">
            <v>шт</v>
          </cell>
          <cell r="E2828">
            <v>1</v>
          </cell>
          <cell r="F2828">
            <v>3053.66</v>
          </cell>
          <cell r="G2828">
            <v>3053.66</v>
          </cell>
        </row>
        <row r="2829">
          <cell r="B2829" t="str">
            <v>С111-1789</v>
          </cell>
          <cell r="C2829" t="str">
            <v>Скоби ходовi</v>
          </cell>
          <cell r="D2829" t="str">
            <v>кг</v>
          </cell>
          <cell r="E2829">
            <v>9.84</v>
          </cell>
          <cell r="F2829">
            <v>40.93</v>
          </cell>
          <cell r="G2829">
            <v>402.75</v>
          </cell>
        </row>
        <row r="2830">
          <cell r="B2830" t="str">
            <v>ЕН6-18-1</v>
          </cell>
          <cell r="C2830" t="str">
            <v>Улаштування балок фундаментних
(підкладка під стики лотків та примикання)</v>
          </cell>
          <cell r="D2830" t="str">
            <v>100м3</v>
          </cell>
          <cell r="E2830">
            <v>1.7000000000000001E-3</v>
          </cell>
          <cell r="F2830">
            <v>456720.36</v>
          </cell>
          <cell r="G2830">
            <v>776.42</v>
          </cell>
        </row>
        <row r="2831">
          <cell r="B2831" t="str">
            <v>С124-2</v>
          </cell>
          <cell r="C2831" t="str">
            <v>Гарячекатана арматурна сталь гладка, клас
А-1, дiаметр 8 мм</v>
          </cell>
          <cell r="D2831" t="str">
            <v>т</v>
          </cell>
          <cell r="E2831">
            <v>6.6E-3</v>
          </cell>
          <cell r="F2831">
            <v>20153.68</v>
          </cell>
          <cell r="G2831">
            <v>133.01</v>
          </cell>
        </row>
        <row r="2832">
          <cell r="B2832" t="str">
            <v>Е7-61-1</v>
          </cell>
          <cell r="C2832" t="str">
            <v>Улаштування непрохiдних однолоткових
каналiв, що перекриваються або
обпираються на плити</v>
          </cell>
          <cell r="D2832" t="str">
            <v>100м3</v>
          </cell>
          <cell r="E2832">
            <v>5.2000000000000006E-3</v>
          </cell>
          <cell r="F2832">
            <v>125868.31</v>
          </cell>
          <cell r="G2832">
            <v>654.52</v>
          </cell>
        </row>
        <row r="2833">
          <cell r="B2833" t="str">
            <v>К585821-Г151_С1415-8298</v>
          </cell>
          <cell r="C2833" t="str">
            <v>Лотки каналiв збiрнi з/б марки Л4Д-8 серiя
3.006.1-2.87 вып.0-2(Ф96)</v>
          </cell>
          <cell r="D2833" t="str">
            <v>шт</v>
          </cell>
          <cell r="E2833">
            <v>4</v>
          </cell>
          <cell r="F2833">
            <v>797.83</v>
          </cell>
          <cell r="G2833">
            <v>3191.32</v>
          </cell>
        </row>
        <row r="2834">
          <cell r="B2834" t="str">
            <v>К585521-П106_С1415-8215</v>
          </cell>
          <cell r="C2834" t="str">
            <v>Плити перекриття П5Д-5 серiя 3.006.1-
2.87(Ф96)</v>
          </cell>
          <cell r="D2834" t="str">
            <v>шт</v>
          </cell>
          <cell r="E2834">
            <v>4</v>
          </cell>
          <cell r="F2834">
            <v>376.4</v>
          </cell>
          <cell r="G2834">
            <v>1505.6</v>
          </cell>
        </row>
        <row r="2835">
          <cell r="B2835" t="str">
            <v>ЕН6-1-13</v>
          </cell>
          <cell r="C2835" t="str">
            <v>Улаштування фундаментiв стовпiв
бетонних</v>
          </cell>
          <cell r="D2835" t="str">
            <v>100м3</v>
          </cell>
          <cell r="E2835">
            <v>4.0000000000000002E-4</v>
          </cell>
          <cell r="F2835">
            <v>97034.34</v>
          </cell>
          <cell r="G2835">
            <v>38.81</v>
          </cell>
        </row>
        <row r="2836">
          <cell r="B2836" t="str">
            <v>С1424-11619</v>
          </cell>
          <cell r="C2836" t="str">
            <v>Сумiшi бетоннi готовi важкi, клас бетону В7,
5 [М100], крупнiсть заповнювача бiльше 10
до 20 мм</v>
          </cell>
          <cell r="D2836" t="str">
            <v>м3</v>
          </cell>
          <cell r="E2836">
            <v>0.67320000000000002</v>
          </cell>
          <cell r="F2836">
            <v>2464.86</v>
          </cell>
          <cell r="G2836">
            <v>1659.34</v>
          </cell>
        </row>
        <row r="2837">
          <cell r="B2837" t="str">
            <v>ЕН8-3-7</v>
          </cell>
          <cell r="C2837" t="str">
            <v>Гiдроiзоляцiя стiн, фундаментiв бокова
обмазувальна бiтумна в 2 шари по
вирiвнянiй поверхнi бутового мурування,
цеглi, бетону (внутрішні поверхні)</v>
          </cell>
          <cell r="D2837" t="str">
            <v>100м2</v>
          </cell>
          <cell r="E2837">
            <v>0.28800000000000003</v>
          </cell>
          <cell r="F2837">
            <v>9168.92</v>
          </cell>
          <cell r="G2837">
            <v>2640.65</v>
          </cell>
        </row>
        <row r="2838">
          <cell r="B2838" t="str">
            <v>С111-72-2</v>
          </cell>
          <cell r="C2838" t="str">
            <v>Праймер битумный</v>
          </cell>
          <cell r="D2838" t="str">
            <v>т</v>
          </cell>
          <cell r="E2838">
            <v>2.3040000000000001E-2</v>
          </cell>
          <cell r="F2838">
            <v>34623.61</v>
          </cell>
          <cell r="G2838">
            <v>797.73</v>
          </cell>
        </row>
        <row r="2839">
          <cell r="B2839" t="str">
            <v>Е16-10-2</v>
          </cell>
          <cell r="C2839" t="str">
            <v>Прокладання трубопроводiв опалення i
водопостачання зi стальних
електрозварних труб дiаметром 50 мм</v>
          </cell>
          <cell r="D2839" t="str">
            <v>100м</v>
          </cell>
          <cell r="E2839">
            <v>5.0000000000000001E-3</v>
          </cell>
          <cell r="F2839">
            <v>7802.92</v>
          </cell>
          <cell r="G2839">
            <v>39.01</v>
          </cell>
        </row>
        <row r="2840">
          <cell r="B2840" t="str">
            <v>С113-138</v>
          </cell>
          <cell r="C2840" t="str">
            <v>Труби сталевi електрозварнi прямошовнi iз
сталi марки 20, зовнiшнiй дiаметр 57 мм,
товщина стiнки 3 мм</v>
          </cell>
          <cell r="D2840" t="str">
            <v>м</v>
          </cell>
          <cell r="E2840">
            <v>0.5</v>
          </cell>
          <cell r="F2840">
            <v>141.81</v>
          </cell>
          <cell r="G2840">
            <v>70.91</v>
          </cell>
        </row>
        <row r="2841">
          <cell r="B2841" t="str">
            <v>С113-999-11В</v>
          </cell>
          <cell r="C2841" t="str">
            <v>Відвід 90_ зварний ПЕ100, SDR17, Ру до
1МПа, Д=225мм</v>
          </cell>
          <cell r="D2841" t="str">
            <v>шт</v>
          </cell>
          <cell r="E2841">
            <v>1</v>
          </cell>
          <cell r="F2841">
            <v>4019.81</v>
          </cell>
          <cell r="G2841">
            <v>4019.81</v>
          </cell>
        </row>
        <row r="2842">
          <cell r="B2842" t="str">
            <v>С113-999-11Г</v>
          </cell>
          <cell r="C2842" t="str">
            <v>Відвід 45_ зварний ПЕ100 SDR17, Ру до
1МПа, Д=225мм</v>
          </cell>
          <cell r="D2842" t="str">
            <v>шт</v>
          </cell>
          <cell r="E2842">
            <v>7</v>
          </cell>
          <cell r="F2842">
            <v>4019.81</v>
          </cell>
          <cell r="G2842">
            <v>28138.67</v>
          </cell>
        </row>
        <row r="2843">
          <cell r="B2843" t="str">
            <v>Е23-23-2</v>
          </cell>
          <cell r="C2843" t="str">
            <v>Приєднання каналiзацiйного трубопроводу
Д=225х13,4 до iснуючої чавунної труби
Д=250</v>
          </cell>
          <cell r="D2843" t="str">
            <v>шт</v>
          </cell>
          <cell r="E2843">
            <v>1</v>
          </cell>
          <cell r="F2843">
            <v>2217.09</v>
          </cell>
          <cell r="G2843">
            <v>2217.09</v>
          </cell>
        </row>
        <row r="2844">
          <cell r="B2844" t="str">
            <v>Е16-13-2</v>
          </cell>
          <cell r="C2844" t="str">
            <v>Прокладання трубопроводiв каналiзацiї з
полiетиленових труб низького тиску
дiаметром 100 мм</v>
          </cell>
          <cell r="D2844" t="str">
            <v>100м</v>
          </cell>
          <cell r="E2844">
            <v>0.09</v>
          </cell>
          <cell r="F2844">
            <v>6917.42</v>
          </cell>
          <cell r="G2844">
            <v>622.57000000000005</v>
          </cell>
        </row>
        <row r="2845">
          <cell r="B2845" t="str">
            <v>С113-1360</v>
          </cell>
          <cell r="C2845" t="str">
            <v>Труба для зовнішньої каналізації з
розтрубом ПВХ з ущільнюючим кільцем,
клас S (SN8,SDR34)  дiаметр 110х 3,2мм</v>
          </cell>
          <cell r="D2845" t="str">
            <v>м</v>
          </cell>
          <cell r="E2845">
            <v>8.9640000000000004</v>
          </cell>
          <cell r="F2845">
            <v>155.72</v>
          </cell>
          <cell r="G2845">
            <v>1395.87</v>
          </cell>
        </row>
        <row r="2846">
          <cell r="B2846" t="str">
            <v>С113-2266</v>
          </cell>
          <cell r="C2846" t="str">
            <v>Трiйник 88 град.S (SN8) Dy110/Dy110х88
Wavin</v>
          </cell>
          <cell r="D2846" t="str">
            <v>шт</v>
          </cell>
          <cell r="E2846">
            <v>1</v>
          </cell>
          <cell r="F2846">
            <v>166.98</v>
          </cell>
          <cell r="G2846">
            <v>166.98</v>
          </cell>
        </row>
        <row r="2847">
          <cell r="B2847" t="str">
            <v>С113-1466</v>
          </cell>
          <cell r="C2847" t="str">
            <v>Відвід 45_ з ущільнюючим кільцем клас S
(SN8) для зовнішньоі каналізаціі Dy110x45
Wavin</v>
          </cell>
          <cell r="D2847" t="str">
            <v>шт</v>
          </cell>
          <cell r="E2847">
            <v>1</v>
          </cell>
          <cell r="F2847">
            <v>131.47</v>
          </cell>
          <cell r="G2847">
            <v>131.47</v>
          </cell>
        </row>
        <row r="2848">
          <cell r="B2848" t="str">
            <v>С113-187</v>
          </cell>
          <cell r="C2848" t="str">
            <v>Гільза із труби сталевi електрозварнi
зовнiшнiй дiаметр 219 мм, товщина стiнки 4
мм для пропускання труби ПВХ Д=110х3,
2мм</v>
          </cell>
          <cell r="D2848" t="str">
            <v>м</v>
          </cell>
          <cell r="E2848">
            <v>0.25</v>
          </cell>
          <cell r="F2848">
            <v>913.33</v>
          </cell>
          <cell r="G2848">
            <v>228.33</v>
          </cell>
        </row>
        <row r="2849">
          <cell r="B2849" t="str">
            <v>Е16-29-2</v>
          </cell>
          <cell r="C2849" t="str">
            <v>Гiдравлiчне випробування трубопроводiв
систем опалення, водопроводу i гарячого
водопостачання дiаметром до 100 мм</v>
          </cell>
          <cell r="D2849" t="str">
            <v>100м</v>
          </cell>
          <cell r="E2849">
            <v>0.09</v>
          </cell>
          <cell r="F2849">
            <v>821.61</v>
          </cell>
          <cell r="G2849">
            <v>73.94</v>
          </cell>
        </row>
        <row r="2850">
          <cell r="B2850" t="str">
            <v>ЕН27-17-3</v>
          </cell>
          <cell r="C2850" t="str">
            <v>Улаштування основи тротуарів із щебеню
за товщини шару 12 см</v>
          </cell>
          <cell r="D2850" t="str">
            <v>100м2</v>
          </cell>
          <cell r="E2850">
            <v>1.86</v>
          </cell>
          <cell r="F2850">
            <v>20497.240000000002</v>
          </cell>
          <cell r="G2850">
            <v>38124.870000000003</v>
          </cell>
        </row>
        <row r="2851">
          <cell r="B2851" t="str">
            <v>ЕН27-17-4к=3</v>
          </cell>
          <cell r="C2851" t="str">
            <v>Улаштування основи тротуарів зі щебеню
, при зміні товщини на кожний 1 см
додавати або виключати до норми 27-17-3
(добавити) до товщини 15 см</v>
          </cell>
          <cell r="D2851" t="str">
            <v>100м2</v>
          </cell>
          <cell r="E2851">
            <v>1.86</v>
          </cell>
          <cell r="F2851">
            <v>3952.99</v>
          </cell>
          <cell r="G2851">
            <v>7352.56</v>
          </cell>
        </row>
        <row r="2852">
          <cell r="B2852" t="str">
            <v>ЕН6-1-1</v>
          </cell>
          <cell r="C2852" t="str">
            <v>Улаштування бетонної пiдготовки бетон
важкий В 10 (М 150), крупнiсть
заповнювача 20-40мм</v>
          </cell>
          <cell r="D2852" t="str">
            <v>100м3</v>
          </cell>
          <cell r="E2852">
            <v>9.2999999999999999E-2</v>
          </cell>
          <cell r="F2852">
            <v>302095.49</v>
          </cell>
          <cell r="G2852">
            <v>28094.880000000001</v>
          </cell>
        </row>
        <row r="2853">
          <cell r="B2853" t="str">
            <v>ЕН8-3-3</v>
          </cell>
          <cell r="C2853" t="str">
            <v>Гiдроiзоляцiя стiн, фундаментiв
горизонтальна обклеювальна в 2 шари</v>
          </cell>
          <cell r="D2853" t="str">
            <v>100м2</v>
          </cell>
          <cell r="E2853">
            <v>1.86</v>
          </cell>
          <cell r="F2853">
            <v>13971.01</v>
          </cell>
          <cell r="G2853">
            <v>25986.080000000002</v>
          </cell>
        </row>
        <row r="2854">
          <cell r="B2854" t="str">
            <v>С111-858</v>
          </cell>
          <cell r="C2854" t="str">
            <v>Руберойд пiдкладний з пиловидною
засипкою РПП</v>
          </cell>
          <cell r="D2854" t="str">
            <v>м2</v>
          </cell>
          <cell r="E2854">
            <v>409.2</v>
          </cell>
          <cell r="F2854">
            <v>31.51</v>
          </cell>
          <cell r="G2854">
            <v>12893.89</v>
          </cell>
        </row>
        <row r="2855">
          <cell r="B2855" t="str">
            <v>ЕН6-1-1</v>
          </cell>
          <cell r="C2855" t="str">
            <v>Улаштування бетонної пiдготовки бетон
важкий В 10 (М 150), крупнiсть
заповнювача 20-40мм</v>
          </cell>
          <cell r="D2855" t="str">
            <v>100м3</v>
          </cell>
          <cell r="E2855">
            <v>5.5800000000000002E-2</v>
          </cell>
          <cell r="F2855">
            <v>302095.49</v>
          </cell>
          <cell r="G2855">
            <v>16856.93</v>
          </cell>
        </row>
        <row r="2856">
          <cell r="B2856" t="str">
            <v>ЕН27-65-6</v>
          </cell>
          <cell r="C2856" t="str">
            <v>Улаштування покриття з фігурних
елементів мощення з використанням
готової піщано-цементної суміші
тротуарів, шириною до 2 м</v>
          </cell>
          <cell r="D2856" t="str">
            <v>1000 м2</v>
          </cell>
          <cell r="E2856">
            <v>0.186</v>
          </cell>
          <cell r="F2856">
            <v>75989.89</v>
          </cell>
          <cell r="G2856">
            <v>14134.12</v>
          </cell>
        </row>
        <row r="2857">
          <cell r="B2857" t="str">
            <v>С1421-9656-4</v>
          </cell>
          <cell r="C2857" t="str">
            <v>Сумiш пiскоцементна</v>
          </cell>
          <cell r="D2857" t="str">
            <v>м3</v>
          </cell>
          <cell r="E2857">
            <v>11.838900000000001</v>
          </cell>
          <cell r="F2857">
            <v>2199.3200000000002</v>
          </cell>
          <cell r="G2857">
            <v>26037.53</v>
          </cell>
        </row>
        <row r="2858">
          <cell r="B2858" t="str">
            <v>С1426-11789</v>
          </cell>
          <cell r="C2858" t="str">
            <v>Дрібнорозмірна тротуарна плитка Н=0,06м</v>
          </cell>
          <cell r="D2858" t="str">
            <v>м2</v>
          </cell>
          <cell r="E2858">
            <v>187.86</v>
          </cell>
          <cell r="F2858">
            <v>265.05</v>
          </cell>
          <cell r="G2858">
            <v>49792.29</v>
          </cell>
        </row>
        <row r="2859">
          <cell r="B2859" t="str">
            <v>С111-1776-П1</v>
          </cell>
          <cell r="C2859" t="str">
            <v>Круг відрізний алмазний, діаметр 230 мм</v>
          </cell>
          <cell r="D2859" t="str">
            <v>шт</v>
          </cell>
          <cell r="E2859">
            <v>2.976</v>
          </cell>
          <cell r="F2859">
            <v>1133.71</v>
          </cell>
          <cell r="G2859">
            <v>3373.92</v>
          </cell>
        </row>
        <row r="2860">
          <cell r="B2860" t="str">
            <v>ЕН27-66-4</v>
          </cell>
          <cell r="C2860" t="str">
            <v>Установлення бетонних бортових каменів
на бетонну основу до 100 мм</v>
          </cell>
          <cell r="D2860" t="str">
            <v>100 м</v>
          </cell>
          <cell r="E2860">
            <v>0.47</v>
          </cell>
          <cell r="F2860">
            <v>8100.1</v>
          </cell>
          <cell r="G2860">
            <v>3807.05</v>
          </cell>
        </row>
        <row r="2861">
          <cell r="B2861" t="str">
            <v>С1424-11600</v>
          </cell>
          <cell r="C2861" t="str">
            <v>Сумiшi бетоннi готовi важкi, клас бетону В15
[М200], крупнiсть заповнювача бiльше 40 мм</v>
          </cell>
          <cell r="D2861" t="str">
            <v>м3</v>
          </cell>
          <cell r="E2861">
            <v>2.2560000000000002</v>
          </cell>
          <cell r="F2861">
            <v>2863.04</v>
          </cell>
          <cell r="G2861">
            <v>6459.02</v>
          </cell>
        </row>
        <row r="2862">
          <cell r="B2862" t="str">
            <v>К589921-А003</v>
          </cell>
          <cell r="C2862" t="str">
            <v>Бортовий камінь БР 100.20.8</v>
          </cell>
          <cell r="D2862" t="str">
            <v>шт</v>
          </cell>
          <cell r="E2862">
            <v>47</v>
          </cell>
          <cell r="F2862">
            <v>80.680000000000007</v>
          </cell>
          <cell r="G2862">
            <v>3791.96</v>
          </cell>
        </row>
        <row r="2863">
          <cell r="B2863" t="str">
            <v>ЕН27-13-1</v>
          </cell>
          <cell r="C2863" t="str">
            <v>Улаштування одношарової основи зі
щебеню за товщини 15 см</v>
          </cell>
          <cell r="D2863" t="str">
            <v>1000м2</v>
          </cell>
          <cell r="E2863">
            <v>0.40800000000000003</v>
          </cell>
          <cell r="F2863">
            <v>219424.35</v>
          </cell>
          <cell r="G2863">
            <v>89525.13</v>
          </cell>
        </row>
        <row r="2864">
          <cell r="B2864" t="str">
            <v>ЕН27-22-4</v>
          </cell>
          <cell r="C2864" t="str">
            <v>Улаштування асфальтобетонного
покриття доріжок і тротуарів двошарових,
нижній шар із крупнозернистої
асфальтобетонної суміші за товщини 4,5
см</v>
          </cell>
          <cell r="D2864" t="str">
            <v>100м2</v>
          </cell>
          <cell r="E2864">
            <v>4.08</v>
          </cell>
          <cell r="F2864">
            <v>1970.57</v>
          </cell>
          <cell r="G2864">
            <v>8039.93</v>
          </cell>
        </row>
        <row r="2865">
          <cell r="B2865" t="str">
            <v>С1421-9848</v>
          </cell>
          <cell r="C2865" t="str">
            <v>Сумiшi асфальтобетоннi гарячi i теплi
[асфальтобетон щiльний]
(дорожнi)(аеродромнi), що застосовуються у
нижнiх шарах покриттiв, крупнозернистi, тип
А, марка 1</v>
          </cell>
          <cell r="D2865" t="str">
            <v>т</v>
          </cell>
          <cell r="E2865">
            <v>44.635199999999998</v>
          </cell>
          <cell r="F2865">
            <v>2873.26</v>
          </cell>
          <cell r="G2865">
            <v>128248.53</v>
          </cell>
        </row>
        <row r="2866">
          <cell r="B2866" t="str">
            <v>ЕН27-22-5к=7</v>
          </cell>
          <cell r="C2866" t="str">
            <v>Улаштування асфальтобетонного покриття
доріжок і тротуарів одношарових, на кожні 0,
5 см зміни товщини шару додавати або
вилучати до/з норм 27-22-3 – 27-22-4
(додавати до товщ. 8 см)</v>
          </cell>
          <cell r="D2866" t="str">
            <v>100м2</v>
          </cell>
          <cell r="E2866">
            <v>4.08</v>
          </cell>
          <cell r="F2866">
            <v>563.15</v>
          </cell>
          <cell r="G2866">
            <v>2297.65</v>
          </cell>
        </row>
        <row r="2867">
          <cell r="B2867" t="str">
            <v>С1421-9848</v>
          </cell>
          <cell r="C2867" t="str">
            <v>Сумiшi асфальтобетоннi гарячi i теплi
[асфальтобетон щiльний]
(дорожнi)(аеродромнi), що застосовуються у
нижнiх шарах покриттiв, крупнозернистi, тип
А, марка 1</v>
          </cell>
          <cell r="D2867" t="str">
            <v>т</v>
          </cell>
          <cell r="E2867">
            <v>34.271999999999998</v>
          </cell>
          <cell r="F2867">
            <v>2873.26</v>
          </cell>
          <cell r="G2867">
            <v>98472.37</v>
          </cell>
        </row>
        <row r="2868">
          <cell r="B2868" t="str">
            <v>ЕН27-22-3</v>
          </cell>
          <cell r="C2868" t="str">
            <v>Улаштування асфальтобетонного
покриття доріжок і тротуарів двошарових,
верхній шар із дрібнозернистої
асфальтобетонної суміші за товщини 3 см</v>
          </cell>
          <cell r="D2868" t="str">
            <v>100м2</v>
          </cell>
          <cell r="E2868">
            <v>4.08</v>
          </cell>
          <cell r="F2868">
            <v>1970.57</v>
          </cell>
          <cell r="G2868">
            <v>8039.93</v>
          </cell>
        </row>
        <row r="2869">
          <cell r="B2869" t="str">
            <v>С1421-9837</v>
          </cell>
          <cell r="C2869" t="str">
            <v>Сумiшi асфальтобетоннi гарячi i теплi
[асфальтобетон щiльний]
(дорожнi)(аеродромнi), що застосовуються у
верхнiх шарах покриттiв, дрiбнозернистi,
тип Б, марка 1</v>
          </cell>
          <cell r="D2869" t="str">
            <v>т</v>
          </cell>
          <cell r="E2869">
            <v>29.743200000000002</v>
          </cell>
          <cell r="F2869">
            <v>3158.44</v>
          </cell>
          <cell r="G2869">
            <v>93942.11</v>
          </cell>
        </row>
        <row r="2870">
          <cell r="B2870" t="str">
            <v>ЕН27-22-5к=2</v>
          </cell>
          <cell r="C2870" t="str">
            <v>Улаштування асфальтобетонного
покриття доріжок і тротуарів
одношарових, на кожні 0,5 см зміни
товщини шару додавати або вилучати
до/з норм 27-22-3 – 27-22-4 (добавити) до
товщини 4 см</v>
          </cell>
          <cell r="D2870" t="str">
            <v>100м2</v>
          </cell>
          <cell r="E2870">
            <v>4.08</v>
          </cell>
          <cell r="F2870">
            <v>7741.16</v>
          </cell>
          <cell r="G2870">
            <v>31583.93</v>
          </cell>
        </row>
        <row r="2871">
          <cell r="B2871" t="str">
            <v>С1421-9837</v>
          </cell>
          <cell r="C2871" t="str">
            <v>Сумiшi асфальтобетоннi гарячi i теплi
[асфальтобетон щiльний]
(дорожнi)(аеродромнi), що застосовуються у
верхнiх шарах покриттiв, дрiбнозернистi,
тип Б, марка 1</v>
          </cell>
          <cell r="D2871" t="str">
            <v>т</v>
          </cell>
          <cell r="E2871">
            <v>9.7919999999999998</v>
          </cell>
          <cell r="F2871">
            <v>3158.44</v>
          </cell>
          <cell r="G2871">
            <v>30927.439999999999</v>
          </cell>
        </row>
        <row r="2872">
          <cell r="B2872" t="str">
            <v>ЕН27-66-5</v>
          </cell>
          <cell r="C2872" t="str">
            <v>Установлення бетонних бортових каменів
на бетонну основу понад 100 мм до 150 мм</v>
          </cell>
          <cell r="D2872" t="str">
            <v>100 м</v>
          </cell>
          <cell r="E2872">
            <v>0.05</v>
          </cell>
          <cell r="F2872">
            <v>8389.52</v>
          </cell>
          <cell r="G2872">
            <v>419.48</v>
          </cell>
        </row>
        <row r="2873">
          <cell r="B2873" t="str">
            <v>С1424-11600</v>
          </cell>
          <cell r="C2873" t="str">
            <v>Сумiшi бетоннi готовi важкi, клас бетону В15
[М200], крупнiсть заповнювача бiльше 40 мм</v>
          </cell>
          <cell r="D2873" t="str">
            <v>м3</v>
          </cell>
          <cell r="E2873">
            <v>0.27500000000000002</v>
          </cell>
          <cell r="F2873">
            <v>2863.04</v>
          </cell>
          <cell r="G2873">
            <v>787.34</v>
          </cell>
        </row>
        <row r="2874">
          <cell r="B2874" t="str">
            <v>К589921-А001</v>
          </cell>
          <cell r="C2874" t="str">
            <v>Каменi бетоннi бортовi БР100.30.15</v>
          </cell>
          <cell r="D2874" t="str">
            <v>шт</v>
          </cell>
          <cell r="E2874">
            <v>5</v>
          </cell>
          <cell r="F2874">
            <v>287.76</v>
          </cell>
          <cell r="G2874">
            <v>1438.8</v>
          </cell>
        </row>
        <row r="2875">
          <cell r="B2875" t="str">
            <v>ЕН27-13-1</v>
          </cell>
          <cell r="C2875" t="str">
            <v>Улаштування одношарової основи зі
щебеню за товщини 15 см</v>
          </cell>
          <cell r="D2875" t="str">
            <v>1000м2</v>
          </cell>
          <cell r="E2875">
            <v>1.8000000000000002E-2</v>
          </cell>
          <cell r="F2875">
            <v>219424.35</v>
          </cell>
          <cell r="G2875">
            <v>3949.64</v>
          </cell>
        </row>
        <row r="2876">
          <cell r="B2876" t="str">
            <v>ЕН27-22-4</v>
          </cell>
          <cell r="C2876" t="str">
            <v>Улаштування асфальтобетонного
покриття доріжок і тротуарів двошарових,
нижній шар із крупнозернистої
асфальтобетонної суміші за товщини 4,5
см</v>
          </cell>
          <cell r="D2876" t="str">
            <v>100м2</v>
          </cell>
          <cell r="E2876">
            <v>0.18</v>
          </cell>
          <cell r="F2876">
            <v>1769.24</v>
          </cell>
          <cell r="G2876">
            <v>318.45999999999998</v>
          </cell>
        </row>
        <row r="2877">
          <cell r="B2877" t="str">
            <v>С1421-9848</v>
          </cell>
          <cell r="C2877" t="str">
            <v>Сумiшi асфальтобетоннi гарячi i теплi
[асфальтобетон щiльний]
(дорожнi)(аеродромнi), що застосовуються у
нижнiх шарах покриттiв, крупнозернистi, тип
А, марка 1</v>
          </cell>
          <cell r="D2877" t="str">
            <v>т</v>
          </cell>
          <cell r="E2877">
            <v>1.9692000000000001</v>
          </cell>
          <cell r="F2877">
            <v>2873.26</v>
          </cell>
          <cell r="G2877">
            <v>5658.02</v>
          </cell>
        </row>
        <row r="2878">
          <cell r="B2878" t="str">
            <v>ЕН27-22-5к=7</v>
          </cell>
          <cell r="C2878" t="str">
            <v>Улаштування асфальтобетонного покриття
доріжок і тротуарів одношарових, на кожні 0,
5 см зміни товщини шару додавати або
вилучати до/з норм 27-22-3 – 27-22-4
(додавати до товщ. 8 см)</v>
          </cell>
          <cell r="D2878" t="str">
            <v>100м2</v>
          </cell>
          <cell r="E2878">
            <v>0.18</v>
          </cell>
          <cell r="F2878">
            <v>563.15</v>
          </cell>
          <cell r="G2878">
            <v>101.37</v>
          </cell>
        </row>
        <row r="2879">
          <cell r="B2879" t="str">
            <v>С1421-9848</v>
          </cell>
          <cell r="C2879" t="str">
            <v>Сумiшi асфальтобетоннi гарячi i теплi
[асфальтобетон щiльний]
(дорожнi)(аеродромнi), що застосовуються у
нижнiх шарах покриттiв, крупнозернистi, тип
А, марка 1</v>
          </cell>
          <cell r="D2879" t="str">
            <v>т</v>
          </cell>
          <cell r="E2879">
            <v>1.512</v>
          </cell>
          <cell r="F2879">
            <v>2873.26</v>
          </cell>
          <cell r="G2879">
            <v>4344.37</v>
          </cell>
        </row>
        <row r="2880">
          <cell r="B2880" t="str">
            <v>ЕН27-22-3</v>
          </cell>
          <cell r="C2880" t="str">
            <v>Улаштування асфальтобетонного
покриття доріжок і тротуарів двошарових,
верхній шар із дрібнозернистої
асфальтобетонної суміші за товщини 3 см</v>
          </cell>
          <cell r="D2880" t="str">
            <v>100м2</v>
          </cell>
          <cell r="E2880">
            <v>0.18</v>
          </cell>
          <cell r="F2880">
            <v>1769.24</v>
          </cell>
          <cell r="G2880">
            <v>318.45999999999998</v>
          </cell>
        </row>
        <row r="2881">
          <cell r="B2881" t="str">
            <v>С1421-9837</v>
          </cell>
          <cell r="C2881" t="str">
            <v>Сумiшi асфальтобетоннi гарячi i теплi
[асфальтобетон щiльний]
(дорожнi)(аеродромнi), що застосовуються у
верхнiх шарах покриттiв, дрiбнозернистi,
тип Б, марка 1</v>
          </cell>
          <cell r="D2881" t="str">
            <v>т</v>
          </cell>
          <cell r="E2881">
            <v>1.3122</v>
          </cell>
          <cell r="F2881">
            <v>3158.44</v>
          </cell>
          <cell r="G2881">
            <v>4144.5</v>
          </cell>
        </row>
        <row r="2882">
          <cell r="B2882" t="str">
            <v>ЕН27-22-5к=2</v>
          </cell>
          <cell r="C2882" t="str">
            <v>Улаштування асфальтобетонного
покриття доріжок і тротуарів
одношарових, на кожні 0,5 см зміни
товщини шару додавати або вилучати
до/з норм 27-22-3 – 27-22-4 (добавити) до
товщини 4 см</v>
          </cell>
          <cell r="D2882" t="str">
            <v>100м2</v>
          </cell>
          <cell r="E2882">
            <v>0.18</v>
          </cell>
          <cell r="F2882">
            <v>160.9</v>
          </cell>
          <cell r="G2882">
            <v>28.96</v>
          </cell>
        </row>
        <row r="2883">
          <cell r="B2883" t="str">
            <v>С1421-9837</v>
          </cell>
          <cell r="C2883" t="str">
            <v>Сумiшi асфальтобетоннi гарячi i теплi
[асфальтобетон щiльний]
(дорожнi)(аеродромнi), що застосовуються у
верхнiх шарах покриттiв, дрiбнозернистi,
тип Б, марка 1</v>
          </cell>
          <cell r="D2883" t="str">
            <v>т</v>
          </cell>
          <cell r="E2883">
            <v>0.432</v>
          </cell>
          <cell r="F2883">
            <v>3158.44</v>
          </cell>
          <cell r="G2883">
            <v>1364.45</v>
          </cell>
        </row>
        <row r="2884">
          <cell r="B2884" t="str">
            <v>ЕН27-66-5</v>
          </cell>
          <cell r="C2884" t="str">
            <v>Установлення бетонних бортових каменів
на бетонну основу понад 100 мм до 150 мм
(БР100.30.15 повторного застосування)</v>
          </cell>
          <cell r="D2884" t="str">
            <v>100 м</v>
          </cell>
          <cell r="E2884">
            <v>0.60000000000000009</v>
          </cell>
          <cell r="F2884">
            <v>8942.98</v>
          </cell>
          <cell r="G2884">
            <v>5365.79</v>
          </cell>
        </row>
        <row r="2885">
          <cell r="B2885" t="str">
            <v>С1424-11600</v>
          </cell>
          <cell r="C2885" t="str">
            <v>Сумiшi бетоннi готовi важкi, клас бетону В15
[М200], крупнiсть заповнювача бiльше 40 мм</v>
          </cell>
          <cell r="D2885" t="str">
            <v>м3</v>
          </cell>
          <cell r="E2885">
            <v>3.3</v>
          </cell>
          <cell r="F2885">
            <v>2863.04</v>
          </cell>
          <cell r="G2885">
            <v>9448.0300000000007</v>
          </cell>
        </row>
        <row r="2886">
          <cell r="B2886" t="str">
            <v>ЕН27-17-3</v>
          </cell>
          <cell r="C2886" t="str">
            <v>Улаштування основи тротуарів із щебеню
за товщини шару 12 см</v>
          </cell>
          <cell r="D2886" t="str">
            <v>100м2</v>
          </cell>
          <cell r="E2886">
            <v>0.72</v>
          </cell>
          <cell r="F2886">
            <v>20497.240000000002</v>
          </cell>
          <cell r="G2886">
            <v>14758.01</v>
          </cell>
        </row>
        <row r="2887">
          <cell r="B2887" t="str">
            <v>ЕН27-65-6</v>
          </cell>
          <cell r="C2887" t="str">
            <v>Улаштування покриття з фігурних
елементів мощення з використанням
готової піщано-цементної суміші
тротуарів, шириною до 2 м (72 м2 плитки
повторного застосування)</v>
          </cell>
          <cell r="D2887" t="str">
            <v>1000 м2</v>
          </cell>
          <cell r="E2887">
            <v>7.1999999999999995E-2</v>
          </cell>
          <cell r="F2887">
            <v>75989.89</v>
          </cell>
          <cell r="G2887">
            <v>5471.27</v>
          </cell>
        </row>
        <row r="2888">
          <cell r="B2888" t="str">
            <v>С1421-9656-4</v>
          </cell>
          <cell r="C2888" t="str">
            <v>Сумiш пiскоцементна</v>
          </cell>
          <cell r="D2888" t="str">
            <v>м3</v>
          </cell>
          <cell r="E2888">
            <v>4.5827999999999998</v>
          </cell>
          <cell r="F2888">
            <v>2199.3200000000002</v>
          </cell>
          <cell r="G2888">
            <v>10079.040000000001</v>
          </cell>
        </row>
        <row r="2889">
          <cell r="B2889" t="str">
            <v>С111-1776-П1</v>
          </cell>
          <cell r="C2889" t="str">
            <v>Круг відрізний алмазний, діаметр 230 мм</v>
          </cell>
          <cell r="D2889" t="str">
            <v>шт</v>
          </cell>
          <cell r="E2889">
            <v>1.1519999999999999</v>
          </cell>
          <cell r="F2889">
            <v>1133.71</v>
          </cell>
          <cell r="G2889">
            <v>1306.03</v>
          </cell>
        </row>
        <row r="2890">
          <cell r="B2890" t="str">
            <v>ЕН27-65-6к=0,8</v>
          </cell>
          <cell r="C2890" t="str">
            <v>Розбирання покриття з фігурних
елементів мощення (15% в сміття)</v>
          </cell>
          <cell r="D2890" t="str">
            <v>1000 м2</v>
          </cell>
          <cell r="E2890">
            <v>8.500000000000002E-2</v>
          </cell>
          <cell r="F2890">
            <v>55895.51</v>
          </cell>
          <cell r="G2890">
            <v>4751.12</v>
          </cell>
        </row>
        <row r="2891">
          <cell r="B2891" t="str">
            <v>ЕН27-67-2</v>
          </cell>
          <cell r="C2891" t="str">
            <v>Розбирання дорожніх покриттів та основ
щебеневих</v>
          </cell>
          <cell r="D2891" t="str">
            <v>100 м3</v>
          </cell>
          <cell r="E2891">
            <v>0.10200000000000001</v>
          </cell>
          <cell r="F2891">
            <v>2645.04</v>
          </cell>
          <cell r="G2891">
            <v>269.79000000000002</v>
          </cell>
        </row>
        <row r="2892">
          <cell r="B2892" t="str">
            <v>РН18-2-1</v>
          </cell>
          <cell r="C2892" t="str">
            <v>Розбирання бортових каменiв</v>
          </cell>
          <cell r="D2892" t="str">
            <v>100м</v>
          </cell>
          <cell r="E2892">
            <v>1.2</v>
          </cell>
          <cell r="F2892">
            <v>8931.99</v>
          </cell>
          <cell r="G2892">
            <v>10718.39</v>
          </cell>
        </row>
        <row r="2893">
          <cell r="B2893" t="str">
            <v>К589921-А001(зворотнiматерiали)</v>
          </cell>
          <cell r="C2893" t="str">
            <v>Каменi бетоннi бортовi БР100.30.15</v>
          </cell>
          <cell r="D2893" t="str">
            <v>шт</v>
          </cell>
          <cell r="E2893">
            <v>60</v>
          </cell>
          <cell r="F2893" t="str">
            <v xml:space="preserve">   -   </v>
          </cell>
          <cell r="G2893" t="str">
            <v xml:space="preserve">   -   </v>
          </cell>
        </row>
        <row r="2894">
          <cell r="B2894" t="str">
            <v>РН20-41-1</v>
          </cell>
          <cell r="C2894" t="str">
            <v>Навантаження сміття екскаваторами на
автомобілі-самоскиди, місткість ковша
екскаватора 0,25 м3.</v>
          </cell>
          <cell r="D2894" t="str">
            <v>100 т</v>
          </cell>
          <cell r="E2894">
            <v>0.27972000000000002</v>
          </cell>
          <cell r="F2894">
            <v>7042.6</v>
          </cell>
          <cell r="G2894">
            <v>1969.96</v>
          </cell>
        </row>
        <row r="2895">
          <cell r="B2895" t="str">
            <v>С311-30-М</v>
          </cell>
          <cell r="C2895" t="str">
            <v>Перевезення сміття до 30 км</v>
          </cell>
          <cell r="D2895" t="str">
            <v>т</v>
          </cell>
          <cell r="E2895">
            <v>27.972000000000001</v>
          </cell>
          <cell r="F2895">
            <v>195</v>
          </cell>
          <cell r="G2895">
            <v>5454.54</v>
          </cell>
        </row>
        <row r="2896">
          <cell r="B2896" t="str">
            <v>Е1-30-2</v>
          </cell>
          <cell r="C2896" t="str">
            <v>Планування площ бульдозерами
потужнiстю 79 кВт [108 к.с.] за 1 прохiд</v>
          </cell>
          <cell r="D2896" t="str">
            <v>1000м2</v>
          </cell>
          <cell r="E2896">
            <v>0.40800000000000003</v>
          </cell>
          <cell r="F2896">
            <v>178.13</v>
          </cell>
          <cell r="G2896">
            <v>72.680000000000007</v>
          </cell>
        </row>
        <row r="2897">
          <cell r="B2897" t="str">
            <v>РН20-12-2к=0,7</v>
          </cell>
          <cell r="C2897" t="str">
            <v>Монтаж дрiбних металоконструкцiй вагою
до 0,5 т (2 стійки для баскетболу)</v>
          </cell>
          <cell r="D2897" t="str">
            <v>1т</v>
          </cell>
          <cell r="E2897">
            <v>0.8</v>
          </cell>
          <cell r="F2897">
            <v>5012.08</v>
          </cell>
          <cell r="G2897">
            <v>4009.66</v>
          </cell>
        </row>
        <row r="2898">
          <cell r="B2898" t="str">
            <v>РН20-12-2</v>
          </cell>
          <cell r="C2898" t="str">
            <v>Монтаж дрiбних металоконструкцiй вагою
до 0,5 т (2 стійки для баскетболу)</v>
          </cell>
          <cell r="D2898" t="str">
            <v>1т</v>
          </cell>
          <cell r="E2898">
            <v>0.8</v>
          </cell>
          <cell r="F2898">
            <v>7714.65</v>
          </cell>
          <cell r="G2898">
            <v>6171.72</v>
          </cell>
        </row>
        <row r="2899">
          <cell r="B2899" t="str">
            <v>Е7-24-2к=0,8</v>
          </cell>
          <cell r="C2899" t="str">
            <v>Демонтаж залiзобетонної огорожi з
панелей</v>
          </cell>
          <cell r="D2899" t="str">
            <v>100м</v>
          </cell>
          <cell r="E2899">
            <v>0.56000000000000005</v>
          </cell>
          <cell r="F2899">
            <v>21037.86</v>
          </cell>
          <cell r="G2899">
            <v>11781.2</v>
          </cell>
        </row>
        <row r="2900">
          <cell r="B2900" t="str">
            <v>РН20-12-1к=0,7</v>
          </cell>
          <cell r="C2900" t="str">
            <v>Демонтаж каркасу огорожі
спортмайданчику.</v>
          </cell>
          <cell r="D2900" t="str">
            <v>1т</v>
          </cell>
          <cell r="E2900">
            <v>0.5</v>
          </cell>
          <cell r="F2900">
            <v>9923.14</v>
          </cell>
          <cell r="G2900">
            <v>4961.57</v>
          </cell>
        </row>
        <row r="2901">
          <cell r="B2901" t="str">
            <v>Е7-24-12</v>
          </cell>
          <cell r="C2901" t="str">
            <v>Установлення металевої огорожi з
сiтчастих панелей по залiзобетонних
стовпах без цоколя, висотою 2 м (тип
огорожi -"3D")</v>
          </cell>
          <cell r="D2901" t="str">
            <v>100м</v>
          </cell>
          <cell r="E2901">
            <v>0.11</v>
          </cell>
          <cell r="F2901">
            <v>28001.64</v>
          </cell>
          <cell r="G2901">
            <v>3080.18</v>
          </cell>
        </row>
        <row r="2902">
          <cell r="B2902" t="str">
            <v>С121-784-Н1</v>
          </cell>
          <cell r="C2902" t="str">
            <v>Панель тип "3D" з дроту 4мм, розмір комірки
60х200мм h=2,0м</v>
          </cell>
          <cell r="D2902" t="str">
            <v>м</v>
          </cell>
          <cell r="E2902">
            <v>11</v>
          </cell>
          <cell r="F2902">
            <v>492.48</v>
          </cell>
          <cell r="G2902">
            <v>5417.28</v>
          </cell>
        </row>
        <row r="2903">
          <cell r="B2903" t="str">
            <v>С121-241</v>
          </cell>
          <cell r="C2903" t="str">
            <v>Стійки панелей 60х60х2 L=2,6м з кріпленням</v>
          </cell>
          <cell r="D2903" t="str">
            <v>шт</v>
          </cell>
          <cell r="E2903">
            <v>7</v>
          </cell>
          <cell r="F2903">
            <v>412.1</v>
          </cell>
          <cell r="G2903">
            <v>2884.7</v>
          </cell>
        </row>
        <row r="2904">
          <cell r="B2904" t="str">
            <v>Е7-25-8</v>
          </cell>
          <cell r="C2904" t="str">
            <v>Улаштування хвiрток з установленням
стовпiв металевих</v>
          </cell>
          <cell r="D2904" t="str">
            <v>100шт</v>
          </cell>
          <cell r="E2904">
            <v>0.01</v>
          </cell>
          <cell r="F2904">
            <v>84672.82</v>
          </cell>
          <cell r="G2904">
            <v>846.73</v>
          </cell>
        </row>
        <row r="2905">
          <cell r="B2905" t="str">
            <v>С121-755-3</v>
          </cell>
          <cell r="C2905" t="str">
            <v>Хвіртка сітчаста 2000х1000 зі стійками та
замком</v>
          </cell>
          <cell r="D2905" t="str">
            <v>шт</v>
          </cell>
          <cell r="E2905">
            <v>1</v>
          </cell>
          <cell r="F2905">
            <v>6873.23</v>
          </cell>
          <cell r="G2905">
            <v>6873.23</v>
          </cell>
        </row>
        <row r="2906">
          <cell r="B2906" t="str">
            <v>С1424-11600</v>
          </cell>
          <cell r="C2906" t="str">
            <v>Сумiшi бетоннi готовi важкi, клас бетону В15
[М200], крупнiсть заповнювача бiльше 40 мм</v>
          </cell>
          <cell r="D2906" t="str">
            <v>м3</v>
          </cell>
          <cell r="E2906">
            <v>8</v>
          </cell>
          <cell r="F2906">
            <v>2863.04</v>
          </cell>
          <cell r="G2906">
            <v>22904.32</v>
          </cell>
        </row>
        <row r="2907">
          <cell r="B2907" t="str">
            <v>Е46-34-3</v>
          </cell>
          <cell r="C2907" t="str">
            <v>Розбирання фундаментiв залiзобетонних</v>
          </cell>
          <cell r="D2907" t="str">
            <v>м3</v>
          </cell>
          <cell r="E2907">
            <v>1.1200000000000001</v>
          </cell>
          <cell r="F2907">
            <v>4217.1099999999997</v>
          </cell>
          <cell r="G2907">
            <v>4723.16</v>
          </cell>
        </row>
        <row r="2908">
          <cell r="B2908" t="str">
            <v>Е1-164-2</v>
          </cell>
          <cell r="C2908" t="str">
            <v>Розробка ґрунту вручну в траншеях
глибиною до 2 м без крiплень з укосами,
група ґрунтiв 2</v>
          </cell>
          <cell r="D2908" t="str">
            <v>100м3</v>
          </cell>
          <cell r="E2908">
            <v>0.14599999999999999</v>
          </cell>
          <cell r="F2908">
            <v>14569.17</v>
          </cell>
          <cell r="G2908">
            <v>2127.1</v>
          </cell>
        </row>
        <row r="2909">
          <cell r="B2909" t="str">
            <v>Е1-166-1</v>
          </cell>
          <cell r="C2909" t="str">
            <v>Засипка вручну траншей, пазух котлованiв i
ям, група ґрунтiв 1</v>
          </cell>
          <cell r="D2909" t="str">
            <v>100м3</v>
          </cell>
          <cell r="E2909">
            <v>5.5E-2</v>
          </cell>
          <cell r="F2909">
            <v>8246.16</v>
          </cell>
          <cell r="G2909">
            <v>453.54</v>
          </cell>
        </row>
        <row r="2910">
          <cell r="B2910" t="str">
            <v>Е1-18-4</v>
          </cell>
          <cell r="C2910" t="str">
            <v>Розроблення ґрунту з навантаженням на
автомобiлi-самоскиди екскаваторами
одноковшовими дизельними на
пневмоколісному ходу з ковшом мiсткiстю
0,25 м3, група ґрунтiв 1</v>
          </cell>
          <cell r="D2910" t="str">
            <v>1000м3</v>
          </cell>
          <cell r="E2910">
            <v>9.1000000000000004E-3</v>
          </cell>
          <cell r="F2910">
            <v>88291.26</v>
          </cell>
          <cell r="G2910">
            <v>803.45</v>
          </cell>
        </row>
        <row r="2911">
          <cell r="B2911" t="str">
            <v>С311-30</v>
          </cell>
          <cell r="C2911" t="str">
            <v>Перевезення грунту до 30 км</v>
          </cell>
          <cell r="D2911" t="str">
            <v>т</v>
          </cell>
          <cell r="E2911">
            <v>14.56</v>
          </cell>
          <cell r="F2911">
            <v>180</v>
          </cell>
          <cell r="G2911">
            <v>2620.8000000000002</v>
          </cell>
        </row>
        <row r="2912">
          <cell r="B2912" t="str">
            <v>ЕН6-13-3</v>
          </cell>
          <cell r="C2912" t="str">
            <v>Улаштування залiзобетонних пiдпiрних
стiн i стiн пiдвалiв висотою до 3 м,
товщиною до 300 мм бетон важкий В 15
(М 200), крупнiсть заповнювача бiльше 40
мм</v>
          </cell>
          <cell r="D2912" t="str">
            <v>100м3</v>
          </cell>
          <cell r="E2912">
            <v>8.320000000000001E-2</v>
          </cell>
          <cell r="F2912">
            <v>423158.58</v>
          </cell>
          <cell r="G2912">
            <v>35206.79</v>
          </cell>
        </row>
        <row r="2913">
          <cell r="B2913" t="str">
            <v>С124-23</v>
          </cell>
          <cell r="C2913" t="str">
            <v>Гарячекатана арматурна сталь
перiодичного профiлю, клас А-III, дiаметр 14
мм</v>
          </cell>
          <cell r="D2913" t="str">
            <v>т</v>
          </cell>
          <cell r="E2913">
            <v>0.16</v>
          </cell>
          <cell r="F2913">
            <v>19626.25</v>
          </cell>
          <cell r="G2913">
            <v>3140.2</v>
          </cell>
        </row>
        <row r="2914">
          <cell r="B2914" t="str">
            <v>С124-38</v>
          </cell>
          <cell r="C2914" t="str">
            <v>Надбавки до цiн заготовок за складання та
зварювання каркасiв та сiток плоских
дiаметром 14 мм</v>
          </cell>
          <cell r="D2914" t="str">
            <v>т</v>
          </cell>
          <cell r="E2914">
            <v>0.16</v>
          </cell>
          <cell r="F2914">
            <v>9553.98</v>
          </cell>
          <cell r="G2914">
            <v>1528.64</v>
          </cell>
        </row>
        <row r="2915">
          <cell r="B2915" t="str">
            <v>С124-21</v>
          </cell>
          <cell r="C2915" t="str">
            <v>Гарячекатана арматурна сталь
перiодичного профiлю, клас А-III, дiаметр 10
мм</v>
          </cell>
          <cell r="D2915" t="str">
            <v>т</v>
          </cell>
          <cell r="E2915">
            <v>0.28000000000000003</v>
          </cell>
          <cell r="F2915">
            <v>20153.68</v>
          </cell>
          <cell r="G2915">
            <v>5643.03</v>
          </cell>
        </row>
        <row r="2916">
          <cell r="B2916" t="str">
            <v>С124-2</v>
          </cell>
          <cell r="C2916" t="str">
            <v>Гарячекатана арматурна сталь гладка, клас
А-1, дiаметр 8 мм</v>
          </cell>
          <cell r="D2916" t="str">
            <v>т</v>
          </cell>
          <cell r="E2916">
            <v>6.5000000000000002E-2</v>
          </cell>
          <cell r="F2916">
            <v>20153.68</v>
          </cell>
          <cell r="G2916">
            <v>1309.99</v>
          </cell>
        </row>
        <row r="2917">
          <cell r="B2917" t="str">
            <v>ЕН6-11-7</v>
          </cell>
          <cell r="C2917" t="str">
            <v>Установлення закладних деталей вагою
до 5 кг</v>
          </cell>
          <cell r="D2917" t="str">
            <v>т</v>
          </cell>
          <cell r="E2917">
            <v>4.2000000000000003E-2</v>
          </cell>
          <cell r="F2917">
            <v>73560.13</v>
          </cell>
          <cell r="G2917">
            <v>3089.53</v>
          </cell>
        </row>
        <row r="2918">
          <cell r="B2918" t="str">
            <v>С124-64</v>
          </cell>
          <cell r="C2918" t="str">
            <v>Деталi закладнi МН 129-3</v>
          </cell>
          <cell r="D2918" t="str">
            <v>т</v>
          </cell>
          <cell r="E2918">
            <v>4.2000000000000003E-2</v>
          </cell>
          <cell r="F2918">
            <v>57862.53</v>
          </cell>
          <cell r="G2918">
            <v>2430.23</v>
          </cell>
        </row>
        <row r="2919">
          <cell r="B2919" t="str">
            <v>Е7-24-12</v>
          </cell>
          <cell r="C2919" t="str">
            <v>Установлення металевої огорожi з
сiтчастих панелей по залiзобетонних
стовпах без цоколя, висотою 4 м (тип
огорожi -"3D")</v>
          </cell>
          <cell r="D2919" t="str">
            <v>100м</v>
          </cell>
          <cell r="E2919">
            <v>0.14000000000000001</v>
          </cell>
          <cell r="F2919">
            <v>15829.24</v>
          </cell>
          <cell r="G2919">
            <v>2216.09</v>
          </cell>
        </row>
        <row r="2920">
          <cell r="B2920" t="str">
            <v>С121-784-Н2</v>
          </cell>
          <cell r="C2920" t="str">
            <v>Панель тип "3D" з дроту 4мм, розмір комірки
60х200мм h=4,0м</v>
          </cell>
          <cell r="D2920" t="str">
            <v>м</v>
          </cell>
          <cell r="E2920">
            <v>14</v>
          </cell>
          <cell r="F2920">
            <v>984.43</v>
          </cell>
          <cell r="G2920">
            <v>13782.02</v>
          </cell>
        </row>
        <row r="2921">
          <cell r="B2921" t="str">
            <v>С121-241</v>
          </cell>
          <cell r="C2921" t="str">
            <v>Стійки панелей 60х60х2 L=4м з кріпленням</v>
          </cell>
          <cell r="D2921" t="str">
            <v>шт</v>
          </cell>
          <cell r="E2921">
            <v>6</v>
          </cell>
          <cell r="F2921">
            <v>771.55</v>
          </cell>
          <cell r="G2921">
            <v>4629.3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1"/>
  <sheetViews>
    <sheetView tabSelected="1" workbookViewId="0">
      <selection activeCell="D5" sqref="D5"/>
    </sheetView>
  </sheetViews>
  <sheetFormatPr defaultRowHeight="15" x14ac:dyDescent="0.25"/>
  <sheetData>
    <row r="1" spans="1:12" x14ac:dyDescent="0.25">
      <c r="A1" s="1" t="s">
        <v>0</v>
      </c>
      <c r="B1" s="2" t="str">
        <f>VLOOKUP(A1,[1]Sheet!B$3:G$2921,2,0)</f>
        <v>Провідник плоский 30х3,5 мм оцинк.
(5019345)</v>
      </c>
      <c r="C1" s="3" t="str">
        <f>VLOOKUP(A1,[1]Sheet!B$3:G$2921,3,0)</f>
        <v>м</v>
      </c>
      <c r="D1" s="4">
        <v>34</v>
      </c>
      <c r="E1" s="5" t="e">
        <f>VLOOKUP(A1,N$3:S$1271,4,FALSE)</f>
        <v>#N/A</v>
      </c>
      <c r="F1" s="6">
        <f>IFERROR(D1-E1,D1)</f>
        <v>34</v>
      </c>
      <c r="G1" s="7">
        <f>VLOOKUP(A1,[1]Sheet!B$3:G$2921,5,0)</f>
        <v>79.73</v>
      </c>
      <c r="H1" s="5" t="e">
        <f>VLOOKUP(A1,N$3:S$1271,5,FALSE)</f>
        <v>#N/A</v>
      </c>
      <c r="I1" s="6">
        <f>IFERROR(G1-H1,G1)</f>
        <v>79.73</v>
      </c>
      <c r="J1" s="7">
        <f>VLOOKUP(A1,[1]Sheet!B$3:G$2921,6,0)</f>
        <v>1195.95</v>
      </c>
      <c r="K1" s="8" t="e">
        <f>VLOOKUP(A1,N$3:S$1271,6,FALSE)</f>
        <v>#N/A</v>
      </c>
      <c r="L1" s="6">
        <f>IFERROR(J1-K1,J1)</f>
        <v>1195.95</v>
      </c>
    </row>
    <row r="2" spans="1:12" x14ac:dyDescent="0.25">
      <c r="A2" s="9" t="s">
        <v>1</v>
      </c>
      <c r="B2" s="2" t="str">
        <f>VLOOKUP(A2,[1]Sheet!B$3:G$2921,2,0)</f>
        <v>Провідник круглий алюмінієвий d=8мм з
ПВХ обшивкою (5021332)</v>
      </c>
      <c r="C2" s="3" t="str">
        <f>VLOOKUP(A2,[1]Sheet!B$3:G$2921,3,0)</f>
        <v>м</v>
      </c>
      <c r="D2" s="4">
        <v>156</v>
      </c>
      <c r="E2" s="5" t="e">
        <f>VLOOKUP(A2,N$3:S$1271,4,FALSE)</f>
        <v>#N/A</v>
      </c>
      <c r="F2" s="6">
        <f t="shared" ref="F2:F65" si="0">IFERROR(D2-E2,D2)</f>
        <v>156</v>
      </c>
      <c r="G2" s="7">
        <f>VLOOKUP(A2,[1]Sheet!B$3:G$2921,5,0)</f>
        <v>215.67</v>
      </c>
      <c r="H2" s="5" t="e">
        <f>VLOOKUP(A2,N$3:S$1271,5,FALSE)</f>
        <v>#N/A</v>
      </c>
      <c r="I2" s="6">
        <f t="shared" ref="I2:I65" si="1">IFERROR(G2-H2,G2)</f>
        <v>215.67</v>
      </c>
      <c r="J2" s="7">
        <f>VLOOKUP(A2,[1]Sheet!B$3:G$2921,6,0)</f>
        <v>22861.02</v>
      </c>
      <c r="K2" s="8" t="e">
        <f t="shared" ref="K2:K65" si="2">VLOOKUP(A2,N$3:S$1271,6,FALSE)</f>
        <v>#N/A</v>
      </c>
      <c r="L2" s="6">
        <f t="shared" ref="L2:L65" si="3">IFERROR(J2-K2,J2)</f>
        <v>22861.02</v>
      </c>
    </row>
    <row r="3" spans="1:12" x14ac:dyDescent="0.25">
      <c r="A3" s="9" t="s">
        <v>2</v>
      </c>
      <c r="B3" s="2" t="str">
        <f>VLOOKUP(A3,[1]Sheet!B$3:G$2921,2,0)</f>
        <v>З'єднувач круглого/плоского провідника зі
штирем заземлення 2760/20 (5001641)</v>
      </c>
      <c r="C3" s="3" t="str">
        <f>VLOOKUP(A3,[1]Sheet!B$3:G$2921,3,0)</f>
        <v>шт</v>
      </c>
      <c r="D3" s="4">
        <v>6</v>
      </c>
      <c r="E3" s="5" t="e">
        <f>VLOOKUP(A3,N$3:S$1271,4,FALSE)</f>
        <v>#N/A</v>
      </c>
      <c r="F3" s="6">
        <f t="shared" si="0"/>
        <v>6</v>
      </c>
      <c r="G3" s="7">
        <f>VLOOKUP(A3,[1]Sheet!B$3:G$2921,5,0)</f>
        <v>234.12</v>
      </c>
      <c r="H3" s="5" t="e">
        <f>VLOOKUP(A3,N$3:S$1271,5,FALSE)</f>
        <v>#N/A</v>
      </c>
      <c r="I3" s="6">
        <f t="shared" si="1"/>
        <v>234.12</v>
      </c>
      <c r="J3" s="7">
        <f>VLOOKUP(A3,[1]Sheet!B$3:G$2921,6,0)</f>
        <v>1404.72</v>
      </c>
      <c r="K3" s="8" t="e">
        <f t="shared" si="2"/>
        <v>#N/A</v>
      </c>
      <c r="L3" s="6">
        <f t="shared" si="3"/>
        <v>1404.72</v>
      </c>
    </row>
    <row r="4" spans="1:12" x14ac:dyDescent="0.25">
      <c r="A4" s="9" t="s">
        <v>3</v>
      </c>
      <c r="B4" s="2" t="str">
        <f>VLOOKUP(A4,[1]Sheet!B$3:G$2921,2,0)</f>
        <v>Тримач для плоского провідника 708/40
(5030242)</v>
      </c>
      <c r="C4" s="3" t="str">
        <f>VLOOKUP(A4,[1]Sheet!B$3:G$2921,3,0)</f>
        <v>шт</v>
      </c>
      <c r="D4" s="4">
        <v>15</v>
      </c>
      <c r="E4" s="5" t="e">
        <f>VLOOKUP(A4,N$3:S$1271,4,FALSE)</f>
        <v>#N/A</v>
      </c>
      <c r="F4" s="6">
        <f t="shared" si="0"/>
        <v>15</v>
      </c>
      <c r="G4" s="7">
        <f>VLOOKUP(A4,[1]Sheet!B$3:G$2921,5,0)</f>
        <v>68.55</v>
      </c>
      <c r="H4" s="5" t="e">
        <f>VLOOKUP(A4,N$3:S$1271,5,FALSE)</f>
        <v>#N/A</v>
      </c>
      <c r="I4" s="6">
        <f t="shared" si="1"/>
        <v>68.55</v>
      </c>
      <c r="J4" s="7">
        <f>VLOOKUP(A4,[1]Sheet!B$3:G$2921,6,0)</f>
        <v>1028.25</v>
      </c>
      <c r="K4" s="8" t="e">
        <f t="shared" si="2"/>
        <v>#N/A</v>
      </c>
      <c r="L4" s="6">
        <f t="shared" si="3"/>
        <v>1028.25</v>
      </c>
    </row>
    <row r="5" spans="1:12" x14ac:dyDescent="0.25">
      <c r="A5" s="9" t="s">
        <v>4</v>
      </c>
      <c r="B5" s="2" t="str">
        <f>VLOOKUP(A5,[1]Sheet!B$3:G$2921,2,0)</f>
        <v>Хрестове з'єднання для круглого та
плоского провідника 252/FL DIN (5312655)</v>
      </c>
      <c r="C5" s="3" t="str">
        <f>VLOOKUP(A5,[1]Sheet!B$3:G$2921,3,0)</f>
        <v>шт</v>
      </c>
      <c r="D5" s="4">
        <v>6</v>
      </c>
      <c r="E5" s="5" t="e">
        <f>VLOOKUP(A5,N$3:S$1271,4,FALSE)</f>
        <v>#N/A</v>
      </c>
      <c r="F5" s="6">
        <f t="shared" si="0"/>
        <v>6</v>
      </c>
      <c r="G5" s="7">
        <f>VLOOKUP(A5,[1]Sheet!B$3:G$2921,5,0)</f>
        <v>161.31</v>
      </c>
      <c r="H5" s="5" t="e">
        <f>VLOOKUP(A5,N$3:S$1271,5,FALSE)</f>
        <v>#N/A</v>
      </c>
      <c r="I5" s="6">
        <f t="shared" si="1"/>
        <v>161.31</v>
      </c>
      <c r="J5" s="7">
        <f>VLOOKUP(A5,[1]Sheet!B$3:G$2921,6,0)</f>
        <v>967.86</v>
      </c>
      <c r="K5" s="8" t="e">
        <f t="shared" si="2"/>
        <v>#N/A</v>
      </c>
      <c r="L5" s="6">
        <f t="shared" si="3"/>
        <v>967.86</v>
      </c>
    </row>
    <row r="6" spans="1:12" x14ac:dyDescent="0.25">
      <c r="A6" s="9" t="s">
        <v>5</v>
      </c>
      <c r="B6" s="2" t="str">
        <f>VLOOKUP(A6,[1]Sheet!B$3:G$2921,2,0)</f>
        <v>Штир заземлення оцинк. d=20мм L=1,5м
219/20ST (5000750)</v>
      </c>
      <c r="C6" s="3" t="str">
        <f>VLOOKUP(A6,[1]Sheet!B$3:G$2921,3,0)</f>
        <v>шт</v>
      </c>
      <c r="D6" s="4">
        <v>36</v>
      </c>
      <c r="E6" s="5" t="e">
        <f>VLOOKUP(A6,N$3:S$1271,4,FALSE)</f>
        <v>#N/A</v>
      </c>
      <c r="F6" s="6">
        <f t="shared" si="0"/>
        <v>36</v>
      </c>
      <c r="G6" s="7">
        <f>VLOOKUP(A6,[1]Sheet!B$3:G$2921,5,0)</f>
        <v>569.82000000000005</v>
      </c>
      <c r="H6" s="5" t="e">
        <f>VLOOKUP(A6,N$3:S$1271,5,FALSE)</f>
        <v>#N/A</v>
      </c>
      <c r="I6" s="6">
        <f t="shared" si="1"/>
        <v>569.82000000000005</v>
      </c>
      <c r="J6" s="7">
        <f>VLOOKUP(A6,[1]Sheet!B$3:G$2921,6,0)</f>
        <v>20513.52</v>
      </c>
      <c r="K6" s="8" t="e">
        <f t="shared" si="2"/>
        <v>#N/A</v>
      </c>
      <c r="L6" s="6">
        <f t="shared" si="3"/>
        <v>20513.52</v>
      </c>
    </row>
    <row r="7" spans="1:12" x14ac:dyDescent="0.25">
      <c r="A7" s="9" t="s">
        <v>6</v>
      </c>
      <c r="B7" s="2" t="str">
        <f>VLOOKUP(A7,[1]Sheet!B$3:G$2921,2,0)</f>
        <v>Насадка нижня штиря заземлення
1819/20ВР (3041212)</v>
      </c>
      <c r="C7" s="3" t="str">
        <f>VLOOKUP(A7,[1]Sheet!B$3:G$2921,3,0)</f>
        <v>шт</v>
      </c>
      <c r="D7" s="4">
        <v>6</v>
      </c>
      <c r="E7" s="5" t="e">
        <f>VLOOKUP(A7,N$3:S$1271,4,FALSE)</f>
        <v>#N/A</v>
      </c>
      <c r="F7" s="6">
        <f t="shared" si="0"/>
        <v>6</v>
      </c>
      <c r="G7" s="7">
        <f>VLOOKUP(A7,[1]Sheet!B$3:G$2921,5,0)</f>
        <v>53.05</v>
      </c>
      <c r="H7" s="5" t="e">
        <f>VLOOKUP(A7,N$3:S$1271,5,FALSE)</f>
        <v>#N/A</v>
      </c>
      <c r="I7" s="6">
        <f t="shared" si="1"/>
        <v>53.05</v>
      </c>
      <c r="J7" s="7">
        <f>VLOOKUP(A7,[1]Sheet!B$3:G$2921,6,0)</f>
        <v>318.3</v>
      </c>
      <c r="K7" s="8" t="e">
        <f t="shared" si="2"/>
        <v>#N/A</v>
      </c>
      <c r="L7" s="6">
        <f t="shared" si="3"/>
        <v>318.3</v>
      </c>
    </row>
    <row r="8" spans="1:12" x14ac:dyDescent="0.25">
      <c r="A8" s="9" t="s">
        <v>7</v>
      </c>
      <c r="B8" s="2" t="str">
        <f>VLOOKUP(A8,[1]Sheet!B$3:G$2921,2,0)</f>
        <v>Стрічка гідроізоляційна 50мм L=10м
(2360055)</v>
      </c>
      <c r="C8" s="3" t="str">
        <f>VLOOKUP(A8,[1]Sheet!B$3:G$2921,3,0)</f>
        <v>шт</v>
      </c>
      <c r="D8" s="4">
        <v>2</v>
      </c>
      <c r="E8" s="5" t="e">
        <f>VLOOKUP(A8,N$3:S$1271,4,FALSE)</f>
        <v>#N/A</v>
      </c>
      <c r="F8" s="6">
        <f t="shared" si="0"/>
        <v>2</v>
      </c>
      <c r="G8" s="7">
        <f>VLOOKUP(A8,[1]Sheet!B$3:G$2921,5,0)</f>
        <v>362.53</v>
      </c>
      <c r="H8" s="5" t="e">
        <f>VLOOKUP(A8,N$3:S$1271,5,FALSE)</f>
        <v>#N/A</v>
      </c>
      <c r="I8" s="6">
        <f t="shared" si="1"/>
        <v>362.53</v>
      </c>
      <c r="J8" s="7">
        <f>VLOOKUP(A8,[1]Sheet!B$3:G$2921,6,0)</f>
        <v>725.06</v>
      </c>
      <c r="K8" s="8" t="e">
        <f t="shared" si="2"/>
        <v>#N/A</v>
      </c>
      <c r="L8" s="6">
        <f t="shared" si="3"/>
        <v>725.06</v>
      </c>
    </row>
    <row r="9" spans="1:12" x14ac:dyDescent="0.25">
      <c r="A9" s="9" t="s">
        <v>8</v>
      </c>
      <c r="B9" s="2" t="str">
        <f>VLOOKUP(A9,[1]Sheet!B$3:G$2921,2,0)</f>
        <v>З'єднувач круглого/плоского провідника 264
F (5316510)</v>
      </c>
      <c r="C9" s="3" t="str">
        <f>VLOOKUP(A9,[1]Sheet!B$3:G$2921,3,0)</f>
        <v>шт</v>
      </c>
      <c r="D9" s="4">
        <v>12</v>
      </c>
      <c r="E9" s="5" t="e">
        <f>VLOOKUP(A9,N$3:S$1271,4,FALSE)</f>
        <v>#N/A</v>
      </c>
      <c r="F9" s="6">
        <f t="shared" si="0"/>
        <v>12</v>
      </c>
      <c r="G9" s="7">
        <f>VLOOKUP(A9,[1]Sheet!B$3:G$2921,5,0)</f>
        <v>171.33</v>
      </c>
      <c r="H9" s="5" t="e">
        <f>VLOOKUP(A9,N$3:S$1271,5,FALSE)</f>
        <v>#N/A</v>
      </c>
      <c r="I9" s="6">
        <f t="shared" si="1"/>
        <v>171.33</v>
      </c>
      <c r="J9" s="7">
        <f>VLOOKUP(A9,[1]Sheet!B$3:G$2921,6,0)</f>
        <v>2055.96</v>
      </c>
      <c r="K9" s="8" t="e">
        <f t="shared" si="2"/>
        <v>#N/A</v>
      </c>
      <c r="L9" s="6">
        <f t="shared" si="3"/>
        <v>2055.96</v>
      </c>
    </row>
    <row r="10" spans="1:12" x14ac:dyDescent="0.25">
      <c r="A10" s="9" t="s">
        <v>9</v>
      </c>
      <c r="B10" s="2" t="str">
        <f>VLOOKUP(A10,[1]Sheet!B$3:G$2921,2,0)</f>
        <v>Клема для з'єднання та підключення
319Rd8 (5325307)</v>
      </c>
      <c r="C10" s="3" t="str">
        <f>VLOOKUP(A10,[1]Sheet!B$3:G$2921,3,0)</f>
        <v>шт</v>
      </c>
      <c r="D10" s="4">
        <v>10</v>
      </c>
      <c r="E10" s="5" t="e">
        <f>VLOOKUP(A10,N$3:S$1271,4,FALSE)</f>
        <v>#N/A</v>
      </c>
      <c r="F10" s="6">
        <f t="shared" si="0"/>
        <v>10</v>
      </c>
      <c r="G10" s="7">
        <f>VLOOKUP(A10,[1]Sheet!B$3:G$2921,5,0)</f>
        <v>168.36</v>
      </c>
      <c r="H10" s="5" t="e">
        <f>VLOOKUP(A10,N$3:S$1271,5,FALSE)</f>
        <v>#N/A</v>
      </c>
      <c r="I10" s="6">
        <f t="shared" si="1"/>
        <v>168.36</v>
      </c>
      <c r="J10" s="7">
        <f>VLOOKUP(A10,[1]Sheet!B$3:G$2921,6,0)</f>
        <v>1683.6</v>
      </c>
      <c r="K10" s="8" t="e">
        <f t="shared" si="2"/>
        <v>#N/A</v>
      </c>
      <c r="L10" s="6">
        <f t="shared" si="3"/>
        <v>1683.6</v>
      </c>
    </row>
    <row r="11" spans="1:12" x14ac:dyDescent="0.25">
      <c r="A11" s="9" t="s">
        <v>10</v>
      </c>
      <c r="B11" s="2" t="str">
        <f>VLOOKUP(A11,[1]Sheet!B$3:G$2921,2,0)</f>
        <v>Шуруп з подвійною різьбою М6х35х4,3
(3133036)</v>
      </c>
      <c r="C11" s="3" t="str">
        <f>VLOOKUP(A11,[1]Sheet!B$3:G$2921,3,0)</f>
        <v>шт</v>
      </c>
      <c r="D11" s="4">
        <v>118</v>
      </c>
      <c r="E11" s="5" t="e">
        <f>VLOOKUP(A11,N$3:S$1271,4,FALSE)</f>
        <v>#N/A</v>
      </c>
      <c r="F11" s="6">
        <f t="shared" si="0"/>
        <v>118</v>
      </c>
      <c r="G11" s="7">
        <f>VLOOKUP(A11,[1]Sheet!B$3:G$2921,5,0)</f>
        <v>4.67</v>
      </c>
      <c r="H11" s="5" t="e">
        <f>VLOOKUP(A11,N$3:S$1271,5,FALSE)</f>
        <v>#N/A</v>
      </c>
      <c r="I11" s="6">
        <f t="shared" si="1"/>
        <v>4.67</v>
      </c>
      <c r="J11" s="7">
        <f>VLOOKUP(A11,[1]Sheet!B$3:G$2921,6,0)</f>
        <v>551.05999999999995</v>
      </c>
      <c r="K11" s="8" t="e">
        <f t="shared" si="2"/>
        <v>#N/A</v>
      </c>
      <c r="L11" s="6">
        <f t="shared" si="3"/>
        <v>551.05999999999995</v>
      </c>
    </row>
    <row r="12" spans="1:12" x14ac:dyDescent="0.25">
      <c r="A12" s="9" t="s">
        <v>11</v>
      </c>
      <c r="B12" s="2" t="str">
        <f>VLOOKUP(A12,[1]Sheet!B$3:G$2921,2,0)</f>
        <v>Саморіз по металу М 3,5х35</v>
      </c>
      <c r="C12" s="3" t="str">
        <f>VLOOKUP(A12,[1]Sheet!B$3:G$2921,3,0)</f>
        <v>шт</v>
      </c>
      <c r="D12" s="4">
        <v>24</v>
      </c>
      <c r="E12" s="5" t="e">
        <f>VLOOKUP(A12,N$3:S$1271,4,FALSE)</f>
        <v>#N/A</v>
      </c>
      <c r="F12" s="6">
        <f t="shared" si="0"/>
        <v>24</v>
      </c>
      <c r="G12" s="7">
        <f>VLOOKUP(A12,[1]Sheet!B$3:G$2921,5,0)</f>
        <v>1.25</v>
      </c>
      <c r="H12" s="5" t="e">
        <f>VLOOKUP(A12,N$3:S$1271,5,FALSE)</f>
        <v>#N/A</v>
      </c>
      <c r="I12" s="6">
        <f t="shared" si="1"/>
        <v>1.25</v>
      </c>
      <c r="J12" s="7">
        <f>VLOOKUP(A12,[1]Sheet!B$3:G$2921,6,0)</f>
        <v>30</v>
      </c>
      <c r="K12" s="8" t="e">
        <f t="shared" si="2"/>
        <v>#N/A</v>
      </c>
      <c r="L12" s="6">
        <f t="shared" si="3"/>
        <v>30</v>
      </c>
    </row>
    <row r="13" spans="1:12" x14ac:dyDescent="0.25">
      <c r="A13" s="9" t="s">
        <v>12</v>
      </c>
      <c r="B13" s="2" t="str">
        <f>VLOOKUP(A13,[1]Sheet!B$3:G$2921,2,0)</f>
        <v>Тримач провідника Rd 8-10 оцинк (5229960)</v>
      </c>
      <c r="C13" s="3" t="str">
        <f>VLOOKUP(A13,[1]Sheet!B$3:G$2921,3,0)</f>
        <v>шт</v>
      </c>
      <c r="D13" s="4">
        <v>156</v>
      </c>
      <c r="E13" s="5" t="e">
        <f>VLOOKUP(A13,N$3:S$1271,4,FALSE)</f>
        <v>#N/A</v>
      </c>
      <c r="F13" s="6">
        <f t="shared" si="0"/>
        <v>156</v>
      </c>
      <c r="G13" s="7">
        <f>VLOOKUP(A13,[1]Sheet!B$3:G$2921,5,0)</f>
        <v>65.7</v>
      </c>
      <c r="H13" s="5" t="e">
        <f>VLOOKUP(A13,N$3:S$1271,5,FALSE)</f>
        <v>#N/A</v>
      </c>
      <c r="I13" s="6">
        <f t="shared" si="1"/>
        <v>65.7</v>
      </c>
      <c r="J13" s="7">
        <f>VLOOKUP(A13,[1]Sheet!B$3:G$2921,6,0)</f>
        <v>6964.2</v>
      </c>
      <c r="K13" s="8" t="e">
        <f t="shared" si="2"/>
        <v>#N/A</v>
      </c>
      <c r="L13" s="6">
        <f t="shared" si="3"/>
        <v>6964.2</v>
      </c>
    </row>
    <row r="14" spans="1:12" x14ac:dyDescent="0.25">
      <c r="A14" s="9" t="s">
        <v>13</v>
      </c>
      <c r="B14" s="2" t="str">
        <f>VLOOKUP(A14,[1]Sheet!B$3:G$2921,2,0)</f>
        <v>Розділова вставка RD8-10 і FL 30-40мм
(5336457)</v>
      </c>
      <c r="C14" s="3" t="str">
        <f>VLOOKUP(A14,[1]Sheet!B$3:G$2921,3,0)</f>
        <v>шт</v>
      </c>
      <c r="D14" s="4">
        <v>6</v>
      </c>
      <c r="E14" s="5" t="e">
        <f>VLOOKUP(A14,N$3:S$1271,4,FALSE)</f>
        <v>#N/A</v>
      </c>
      <c r="F14" s="6">
        <f t="shared" si="0"/>
        <v>6</v>
      </c>
      <c r="G14" s="7">
        <f>VLOOKUP(A14,[1]Sheet!B$3:G$2921,5,0)</f>
        <v>173.17</v>
      </c>
      <c r="H14" s="5" t="e">
        <f>VLOOKUP(A14,N$3:S$1271,5,FALSE)</f>
        <v>#N/A</v>
      </c>
      <c r="I14" s="6">
        <f t="shared" si="1"/>
        <v>173.17</v>
      </c>
      <c r="J14" s="7">
        <f>VLOOKUP(A14,[1]Sheet!B$3:G$2921,6,0)</f>
        <v>1039.02</v>
      </c>
      <c r="K14" s="8" t="e">
        <f t="shared" si="2"/>
        <v>#N/A</v>
      </c>
      <c r="L14" s="6">
        <f t="shared" si="3"/>
        <v>1039.02</v>
      </c>
    </row>
    <row r="15" spans="1:12" x14ac:dyDescent="0.25">
      <c r="A15" s="9" t="s">
        <v>14</v>
      </c>
      <c r="B15" s="2" t="str">
        <f>VLOOKUP(A15,[1]Sheet!B$3:G$2921,2,0)</f>
        <v>Люк (колодязь) ревізійний системи
заземлення</v>
      </c>
      <c r="C15" s="3" t="str">
        <f>VLOOKUP(A15,[1]Sheet!B$3:G$2921,3,0)</f>
        <v>шт</v>
      </c>
      <c r="D15" s="4">
        <v>6</v>
      </c>
      <c r="E15" s="5" t="e">
        <f>VLOOKUP(A15,N$3:S$1271,4,FALSE)</f>
        <v>#N/A</v>
      </c>
      <c r="F15" s="6">
        <f t="shared" si="0"/>
        <v>6</v>
      </c>
      <c r="G15" s="7">
        <f>VLOOKUP(A15,[1]Sheet!B$3:G$2921,5,0)</f>
        <v>2654.36</v>
      </c>
      <c r="H15" s="5" t="e">
        <f>VLOOKUP(A15,N$3:S$1271,5,FALSE)</f>
        <v>#N/A</v>
      </c>
      <c r="I15" s="6">
        <f t="shared" si="1"/>
        <v>2654.36</v>
      </c>
      <c r="J15" s="7">
        <f>VLOOKUP(A15,[1]Sheet!B$3:G$2921,6,0)</f>
        <v>15926.16</v>
      </c>
      <c r="K15" s="8" t="e">
        <f t="shared" si="2"/>
        <v>#N/A</v>
      </c>
      <c r="L15" s="6">
        <f t="shared" si="3"/>
        <v>15926.16</v>
      </c>
    </row>
    <row r="16" spans="1:12" x14ac:dyDescent="0.25">
      <c r="A16" s="9" t="s">
        <v>15</v>
      </c>
      <c r="B16" s="2" t="str">
        <f>VLOOKUP(A16,[1]Sheet!B$3:G$2921,2,0)</f>
        <v>Шафа розподільна металева навісна на 12
модулів, розм. 310х265х130 мм NRР 12</v>
      </c>
      <c r="C16" s="3" t="str">
        <f>VLOOKUP(A16,[1]Sheet!B$3:G$2921,3,0)</f>
        <v>шт</v>
      </c>
      <c r="D16" s="4">
        <v>6</v>
      </c>
      <c r="E16" s="5" t="e">
        <f>VLOOKUP(A16,N$3:S$1271,4,FALSE)</f>
        <v>#N/A</v>
      </c>
      <c r="F16" s="6">
        <f t="shared" si="0"/>
        <v>6</v>
      </c>
      <c r="G16" s="7">
        <f>VLOOKUP(A16,[1]Sheet!B$3:G$2921,5,0)</f>
        <v>725.16</v>
      </c>
      <c r="H16" s="5" t="e">
        <f>VLOOKUP(A16,N$3:S$1271,5,FALSE)</f>
        <v>#N/A</v>
      </c>
      <c r="I16" s="6">
        <f t="shared" si="1"/>
        <v>725.16</v>
      </c>
      <c r="J16" s="7">
        <f>VLOOKUP(A16,[1]Sheet!B$3:G$2921,6,0)</f>
        <v>1450.32</v>
      </c>
      <c r="K16" s="8" t="e">
        <f t="shared" si="2"/>
        <v>#N/A</v>
      </c>
      <c r="L16" s="6">
        <f t="shared" si="3"/>
        <v>1450.32</v>
      </c>
    </row>
    <row r="17" spans="1:12" x14ac:dyDescent="0.25">
      <c r="A17" s="9" t="s">
        <v>16</v>
      </c>
      <c r="B17" s="2" t="str">
        <f>VLOOKUP(A17,[1]Sheet!B$3:G$2921,2,0)</f>
        <v>Вимикач автоматичний для захисту двигунів,
380В, Iуст.=1,6...2,5А, МS116-2,5</v>
      </c>
      <c r="C17" s="3" t="str">
        <f>VLOOKUP(A17,[1]Sheet!B$3:G$2921,3,0)</f>
        <v>шт</v>
      </c>
      <c r="D17" s="4">
        <v>1</v>
      </c>
      <c r="E17" s="5" t="e">
        <f>VLOOKUP(A17,N$3:S$1271,4,FALSE)</f>
        <v>#N/A</v>
      </c>
      <c r="F17" s="6">
        <f t="shared" si="0"/>
        <v>1</v>
      </c>
      <c r="G17" s="7">
        <f>VLOOKUP(A17,[1]Sheet!B$3:G$2921,5,0)</f>
        <v>463.91</v>
      </c>
      <c r="H17" s="5" t="e">
        <f>VLOOKUP(A17,N$3:S$1271,5,FALSE)</f>
        <v>#N/A</v>
      </c>
      <c r="I17" s="6">
        <f t="shared" si="1"/>
        <v>463.91</v>
      </c>
      <c r="J17" s="7">
        <f>VLOOKUP(A17,[1]Sheet!B$3:G$2921,6,0)</f>
        <v>463.91</v>
      </c>
      <c r="K17" s="8" t="e">
        <f t="shared" si="2"/>
        <v>#N/A</v>
      </c>
      <c r="L17" s="6">
        <f t="shared" si="3"/>
        <v>463.91</v>
      </c>
    </row>
    <row r="18" spans="1:12" x14ac:dyDescent="0.25">
      <c r="A18" s="9" t="s">
        <v>17</v>
      </c>
      <c r="B18" s="2" t="str">
        <f>VLOOKUP(A18,[1]Sheet!B$3:G$2921,2,0)</f>
        <v>Вимикач автоматичний , 230В, Iкр=2А, S201-
С-2</v>
      </c>
      <c r="C18" s="3" t="str">
        <f>VLOOKUP(A18,[1]Sheet!B$3:G$2921,3,0)</f>
        <v>шт</v>
      </c>
      <c r="D18" s="4">
        <v>1</v>
      </c>
      <c r="E18" s="5" t="e">
        <f>VLOOKUP(A18,N$3:S$1271,4,FALSE)</f>
        <v>#N/A</v>
      </c>
      <c r="F18" s="6">
        <f t="shared" si="0"/>
        <v>1</v>
      </c>
      <c r="G18" s="7">
        <f>VLOOKUP(A18,[1]Sheet!B$3:G$2921,5,0)</f>
        <v>178.6</v>
      </c>
      <c r="H18" s="5" t="e">
        <f>VLOOKUP(A18,N$3:S$1271,5,FALSE)</f>
        <v>#N/A</v>
      </c>
      <c r="I18" s="6">
        <f t="shared" si="1"/>
        <v>178.6</v>
      </c>
      <c r="J18" s="7">
        <f>VLOOKUP(A18,[1]Sheet!B$3:G$2921,6,0)</f>
        <v>178.6</v>
      </c>
      <c r="K18" s="8" t="e">
        <f t="shared" si="2"/>
        <v>#N/A</v>
      </c>
      <c r="L18" s="6">
        <f t="shared" si="3"/>
        <v>178.6</v>
      </c>
    </row>
    <row r="19" spans="1:12" x14ac:dyDescent="0.25">
      <c r="A19" s="9" t="s">
        <v>18</v>
      </c>
      <c r="B19" s="2" t="str">
        <f>VLOOKUP(A19,[1]Sheet!B$3:G$2921,2,0)</f>
        <v>Вимикач автоматичний , 230В, Iкр=3А, S201-
С-3</v>
      </c>
      <c r="C19" s="3" t="str">
        <f>VLOOKUP(A19,[1]Sheet!B$3:G$2921,3,0)</f>
        <v>шт</v>
      </c>
      <c r="D19" s="4">
        <v>4</v>
      </c>
      <c r="E19" s="5" t="e">
        <f>VLOOKUP(A19,N$3:S$1271,4,FALSE)</f>
        <v>#N/A</v>
      </c>
      <c r="F19" s="6">
        <f t="shared" si="0"/>
        <v>4</v>
      </c>
      <c r="G19" s="7">
        <f>VLOOKUP(A19,[1]Sheet!B$3:G$2921,5,0)</f>
        <v>178.6</v>
      </c>
      <c r="H19" s="5" t="e">
        <f>VLOOKUP(A19,N$3:S$1271,5,FALSE)</f>
        <v>#N/A</v>
      </c>
      <c r="I19" s="6">
        <f t="shared" si="1"/>
        <v>178.6</v>
      </c>
      <c r="J19" s="7">
        <f>VLOOKUP(A19,[1]Sheet!B$3:G$2921,6,0)</f>
        <v>714.4</v>
      </c>
      <c r="K19" s="8" t="e">
        <f t="shared" si="2"/>
        <v>#N/A</v>
      </c>
      <c r="L19" s="6">
        <f t="shared" si="3"/>
        <v>714.4</v>
      </c>
    </row>
    <row r="20" spans="1:12" x14ac:dyDescent="0.25">
      <c r="A20" s="9" t="s">
        <v>19</v>
      </c>
      <c r="B20" s="2" t="str">
        <f>VLOOKUP(A20,[1]Sheet!B$3:G$2921,2,0)</f>
        <v>Вимикач автоматичний , 230В, Iкр=1А, S201-
С-1</v>
      </c>
      <c r="C20" s="3" t="str">
        <f>VLOOKUP(A20,[1]Sheet!B$3:G$2921,3,0)</f>
        <v>шт</v>
      </c>
      <c r="D20" s="4">
        <v>2</v>
      </c>
      <c r="E20" s="5" t="e">
        <f>VLOOKUP(A20,N$3:S$1271,4,FALSE)</f>
        <v>#N/A</v>
      </c>
      <c r="F20" s="6">
        <f t="shared" si="0"/>
        <v>2</v>
      </c>
      <c r="G20" s="7">
        <f>VLOOKUP(A20,[1]Sheet!B$3:G$2921,5,0)</f>
        <v>178.6</v>
      </c>
      <c r="H20" s="5" t="e">
        <f>VLOOKUP(A20,N$3:S$1271,5,FALSE)</f>
        <v>#N/A</v>
      </c>
      <c r="I20" s="6">
        <f t="shared" si="1"/>
        <v>178.6</v>
      </c>
      <c r="J20" s="7">
        <f>VLOOKUP(A20,[1]Sheet!B$3:G$2921,6,0)</f>
        <v>357.2</v>
      </c>
      <c r="K20" s="8" t="e">
        <f t="shared" si="2"/>
        <v>#N/A</v>
      </c>
      <c r="L20" s="6">
        <f t="shared" si="3"/>
        <v>357.2</v>
      </c>
    </row>
    <row r="21" spans="1:12" x14ac:dyDescent="0.25">
      <c r="A21" s="9" t="s">
        <v>20</v>
      </c>
      <c r="B21" s="2" t="str">
        <f>VLOOKUP(A21,[1]Sheet!B$3:G$2921,2,0)</f>
        <v>Вимикач автоматичний , 380В, Iкр=6А, S203-
С-6</v>
      </c>
      <c r="C21" s="3" t="str">
        <f>VLOOKUP(A21,[1]Sheet!B$3:G$2921,3,0)</f>
        <v>шт</v>
      </c>
      <c r="D21" s="4">
        <v>1</v>
      </c>
      <c r="E21" s="5" t="e">
        <f>VLOOKUP(A21,N$3:S$1271,4,FALSE)</f>
        <v>#N/A</v>
      </c>
      <c r="F21" s="6">
        <f t="shared" si="0"/>
        <v>1</v>
      </c>
      <c r="G21" s="7">
        <f>VLOOKUP(A21,[1]Sheet!B$3:G$2921,5,0)</f>
        <v>548.63</v>
      </c>
      <c r="H21" s="5" t="e">
        <f>VLOOKUP(A21,N$3:S$1271,5,FALSE)</f>
        <v>#N/A</v>
      </c>
      <c r="I21" s="6">
        <f t="shared" si="1"/>
        <v>548.63</v>
      </c>
      <c r="J21" s="7">
        <f>VLOOKUP(A21,[1]Sheet!B$3:G$2921,6,0)</f>
        <v>548.63</v>
      </c>
      <c r="K21" s="8" t="e">
        <f t="shared" si="2"/>
        <v>#N/A</v>
      </c>
      <c r="L21" s="6">
        <f t="shared" si="3"/>
        <v>548.63</v>
      </c>
    </row>
    <row r="22" spans="1:12" x14ac:dyDescent="0.25">
      <c r="A22" s="9" t="s">
        <v>21</v>
      </c>
      <c r="B22" s="2" t="str">
        <f>VLOOKUP(A22,[1]Sheet!B$3:G$2921,2,0)</f>
        <v>Вимикач автоматичний для захисту двигунів,
380В, Iуст.=0,4...0,63А, МS116-0,63</v>
      </c>
      <c r="C22" s="3" t="str">
        <f>VLOOKUP(A22,[1]Sheet!B$3:G$2921,3,0)</f>
        <v>шт</v>
      </c>
      <c r="D22" s="4">
        <v>1</v>
      </c>
      <c r="E22" s="5" t="e">
        <f>VLOOKUP(A22,N$3:S$1271,4,FALSE)</f>
        <v>#N/A</v>
      </c>
      <c r="F22" s="6">
        <f t="shared" si="0"/>
        <v>1</v>
      </c>
      <c r="G22" s="7">
        <f>VLOOKUP(A22,[1]Sheet!B$3:G$2921,5,0)</f>
        <v>527.25</v>
      </c>
      <c r="H22" s="5" t="e">
        <f>VLOOKUP(A22,N$3:S$1271,5,FALSE)</f>
        <v>#N/A</v>
      </c>
      <c r="I22" s="6">
        <f t="shared" si="1"/>
        <v>527.25</v>
      </c>
      <c r="J22" s="7">
        <f>VLOOKUP(A22,[1]Sheet!B$3:G$2921,6,0)</f>
        <v>527.25</v>
      </c>
      <c r="K22" s="8" t="e">
        <f t="shared" si="2"/>
        <v>#N/A</v>
      </c>
      <c r="L22" s="6">
        <f t="shared" si="3"/>
        <v>527.25</v>
      </c>
    </row>
    <row r="23" spans="1:12" x14ac:dyDescent="0.25">
      <c r="A23" s="9" t="s">
        <v>22</v>
      </c>
      <c r="B23" s="2" t="str">
        <f>VLOOKUP(A23,[1]Sheet!B$3:G$2921,2,0)</f>
        <v>Сигнальний контакт для автоматичного
вимикача МS116 1НВ+1Н3 конт.SK1-11</v>
      </c>
      <c r="C23" s="3" t="str">
        <f>VLOOKUP(A23,[1]Sheet!B$3:G$2921,3,0)</f>
        <v>шт</v>
      </c>
      <c r="D23" s="4">
        <v>3</v>
      </c>
      <c r="E23" s="5" t="e">
        <f>VLOOKUP(A23,N$3:S$1271,4,FALSE)</f>
        <v>#N/A</v>
      </c>
      <c r="F23" s="6">
        <f t="shared" si="0"/>
        <v>3</v>
      </c>
      <c r="G23" s="7">
        <f>VLOOKUP(A23,[1]Sheet!B$3:G$2921,5,0)</f>
        <v>192.38</v>
      </c>
      <c r="H23" s="5" t="e">
        <f>VLOOKUP(A23,N$3:S$1271,5,FALSE)</f>
        <v>#N/A</v>
      </c>
      <c r="I23" s="6">
        <f t="shared" si="1"/>
        <v>192.38</v>
      </c>
      <c r="J23" s="7">
        <f>VLOOKUP(A23,[1]Sheet!B$3:G$2921,6,0)</f>
        <v>384.76</v>
      </c>
      <c r="K23" s="8" t="e">
        <f t="shared" si="2"/>
        <v>#N/A</v>
      </c>
      <c r="L23" s="6">
        <f t="shared" si="3"/>
        <v>384.76</v>
      </c>
    </row>
    <row r="24" spans="1:12" x14ac:dyDescent="0.25">
      <c r="A24" s="9" t="s">
        <v>23</v>
      </c>
      <c r="B24" s="2" t="str">
        <f>VLOOKUP(A24,[1]Sheet!B$3:G$2921,2,0)</f>
        <v>Автоматичний вимикач з незалежним
розчіплювачем, кiлькiсть полюсiв-3 Ін=125 А,
PLHT-C125/3</v>
      </c>
      <c r="C24" s="3" t="str">
        <f>VLOOKUP(A24,[1]Sheet!B$3:G$2921,3,0)</f>
        <v>шт</v>
      </c>
      <c r="D24" s="4">
        <v>17</v>
      </c>
      <c r="E24" s="5" t="e">
        <f>VLOOKUP(A24,N$3:S$1271,4,FALSE)</f>
        <v>#N/A</v>
      </c>
      <c r="F24" s="6">
        <f t="shared" si="0"/>
        <v>17</v>
      </c>
      <c r="G24" s="7">
        <f>VLOOKUP(A24,[1]Sheet!B$3:G$2921,5,0)</f>
        <v>685.17</v>
      </c>
      <c r="H24" s="5" t="e">
        <f>VLOOKUP(A24,N$3:S$1271,5,FALSE)</f>
        <v>#N/A</v>
      </c>
      <c r="I24" s="6">
        <f t="shared" si="1"/>
        <v>685.17</v>
      </c>
      <c r="J24" s="7">
        <f>VLOOKUP(A24,[1]Sheet!B$3:G$2921,6,0)</f>
        <v>685.17</v>
      </c>
      <c r="K24" s="8" t="e">
        <f t="shared" si="2"/>
        <v>#N/A</v>
      </c>
      <c r="L24" s="6">
        <f t="shared" si="3"/>
        <v>685.17</v>
      </c>
    </row>
    <row r="25" spans="1:12" x14ac:dyDescent="0.25">
      <c r="A25" s="9" t="s">
        <v>24</v>
      </c>
      <c r="B25" s="2" t="str">
        <f>VLOOKUP(A25,[1]Sheet!B$3:G$2921,2,0)</f>
        <v>Диференційний автоматичний вимикач
двополюсний Ін=20 А, PFL6-20/1N/C/0.03</v>
      </c>
      <c r="C25" s="3" t="str">
        <f>VLOOKUP(A25,[1]Sheet!B$3:G$2921,3,0)</f>
        <v>шт</v>
      </c>
      <c r="D25" s="4">
        <v>5</v>
      </c>
      <c r="E25" s="5" t="e">
        <f>VLOOKUP(A25,N$3:S$1271,4,FALSE)</f>
        <v>#N/A</v>
      </c>
      <c r="F25" s="6">
        <f t="shared" si="0"/>
        <v>5</v>
      </c>
      <c r="G25" s="7">
        <f>VLOOKUP(A25,[1]Sheet!B$3:G$2921,5,0)</f>
        <v>238.92</v>
      </c>
      <c r="H25" s="5" t="e">
        <f>VLOOKUP(A25,N$3:S$1271,5,FALSE)</f>
        <v>#N/A</v>
      </c>
      <c r="I25" s="6">
        <f t="shared" si="1"/>
        <v>238.92</v>
      </c>
      <c r="J25" s="7">
        <f>VLOOKUP(A25,[1]Sheet!B$3:G$2921,6,0)</f>
        <v>1194.5999999999999</v>
      </c>
      <c r="K25" s="8" t="e">
        <f t="shared" si="2"/>
        <v>#N/A</v>
      </c>
      <c r="L25" s="6">
        <f t="shared" si="3"/>
        <v>1194.5999999999999</v>
      </c>
    </row>
    <row r="26" spans="1:12" x14ac:dyDescent="0.25">
      <c r="A26" s="9" t="s">
        <v>25</v>
      </c>
      <c r="B26" s="2" t="str">
        <f>VLOOKUP(A26,[1]Sheet!B$3:G$2921,2,0)</f>
        <v>Автоматичний вимикач з незалежним
розчiплювачем, полюсiв-3, номiнальний
струм А 20 на введенні, PL6-C20/3 "ЕATON"</v>
      </c>
      <c r="C26" s="3" t="str">
        <f>VLOOKUP(A26,[1]Sheet!B$3:G$2921,3,0)</f>
        <v>шт</v>
      </c>
      <c r="D26" s="4">
        <v>22</v>
      </c>
      <c r="E26" s="5" t="e">
        <f>VLOOKUP(A26,N$3:S$1271,4,FALSE)</f>
        <v>#N/A</v>
      </c>
      <c r="F26" s="6">
        <f t="shared" si="0"/>
        <v>22</v>
      </c>
      <c r="G26" s="7">
        <f>VLOOKUP(A26,[1]Sheet!B$3:G$2921,5,0)</f>
        <v>227.82</v>
      </c>
      <c r="H26" s="5" t="e">
        <f>VLOOKUP(A26,N$3:S$1271,5,FALSE)</f>
        <v>#N/A</v>
      </c>
      <c r="I26" s="6">
        <f t="shared" si="1"/>
        <v>227.82</v>
      </c>
      <c r="J26" s="7">
        <f>VLOOKUP(A26,[1]Sheet!B$3:G$2921,6,0)</f>
        <v>455.64</v>
      </c>
      <c r="K26" s="8" t="e">
        <f t="shared" si="2"/>
        <v>#N/A</v>
      </c>
      <c r="L26" s="6">
        <f t="shared" si="3"/>
        <v>455.64</v>
      </c>
    </row>
    <row r="27" spans="1:12" x14ac:dyDescent="0.25">
      <c r="A27" s="9" t="s">
        <v>26</v>
      </c>
      <c r="B27" s="2" t="str">
        <f>VLOOKUP(A27,[1]Sheet!B$3:G$2921,2,0)</f>
        <v>Діод Д226</v>
      </c>
      <c r="C27" s="3" t="str">
        <f>VLOOKUP(A27,[1]Sheet!B$3:G$2921,3,0)</f>
        <v>шт</v>
      </c>
      <c r="D27" s="4">
        <v>8</v>
      </c>
      <c r="E27" s="5" t="e">
        <f>VLOOKUP(A27,N$3:S$1271,4,FALSE)</f>
        <v>#N/A</v>
      </c>
      <c r="F27" s="6">
        <f t="shared" si="0"/>
        <v>8</v>
      </c>
      <c r="G27" s="7">
        <f>VLOOKUP(A27,[1]Sheet!B$3:G$2921,5,0)</f>
        <v>2.85</v>
      </c>
      <c r="H27" s="5" t="e">
        <f>VLOOKUP(A27,N$3:S$1271,5,FALSE)</f>
        <v>#N/A</v>
      </c>
      <c r="I27" s="6">
        <f t="shared" si="1"/>
        <v>2.85</v>
      </c>
      <c r="J27" s="7">
        <f>VLOOKUP(A27,[1]Sheet!B$3:G$2921,6,0)</f>
        <v>22.8</v>
      </c>
      <c r="K27" s="8" t="e">
        <f t="shared" si="2"/>
        <v>#N/A</v>
      </c>
      <c r="L27" s="6">
        <f t="shared" si="3"/>
        <v>22.8</v>
      </c>
    </row>
    <row r="28" spans="1:12" x14ac:dyDescent="0.25">
      <c r="A28" s="9" t="s">
        <v>27</v>
      </c>
      <c r="B28" s="2" t="str">
        <f>VLOOKUP(A28,[1]Sheet!B$3:G$2921,2,0)</f>
        <v>Реле струму двостабільне 230В РТД12</v>
      </c>
      <c r="C28" s="3" t="str">
        <f>VLOOKUP(A28,[1]Sheet!B$3:G$2921,3,0)</f>
        <v>шт</v>
      </c>
      <c r="D28" s="4">
        <v>1</v>
      </c>
      <c r="E28" s="5" t="e">
        <f>VLOOKUP(A28,N$3:S$1271,4,FALSE)</f>
        <v>#N/A</v>
      </c>
      <c r="F28" s="6">
        <f t="shared" si="0"/>
        <v>1</v>
      </c>
      <c r="G28" s="7">
        <f>VLOOKUP(A28,[1]Sheet!B$3:G$2921,5,0)</f>
        <v>538.29999999999995</v>
      </c>
      <c r="H28" s="5" t="e">
        <f>VLOOKUP(A28,N$3:S$1271,5,FALSE)</f>
        <v>#N/A</v>
      </c>
      <c r="I28" s="6">
        <f t="shared" si="1"/>
        <v>538.29999999999995</v>
      </c>
      <c r="J28" s="7">
        <f>VLOOKUP(A28,[1]Sheet!B$3:G$2921,6,0)</f>
        <v>538.29999999999995</v>
      </c>
      <c r="K28" s="8" t="e">
        <f t="shared" si="2"/>
        <v>#N/A</v>
      </c>
      <c r="L28" s="6">
        <f t="shared" si="3"/>
        <v>538.29999999999995</v>
      </c>
    </row>
    <row r="29" spans="1:12" x14ac:dyDescent="0.25">
      <c r="A29" s="9" t="s">
        <v>28</v>
      </c>
      <c r="B29" s="2" t="str">
        <f>VLOOKUP(A29,[1]Sheet!B$3:G$2921,2,0)</f>
        <v>Свiтлосигнальний індікатор 230В ХВ4ВVM5,
ХВ4ВVM3, ХВ4ВVM4</v>
      </c>
      <c r="C29" s="3" t="str">
        <f>VLOOKUP(A29,[1]Sheet!B$3:G$2921,3,0)</f>
        <v>шт</v>
      </c>
      <c r="D29" s="4">
        <v>17</v>
      </c>
      <c r="E29" s="5" t="e">
        <f>VLOOKUP(A29,N$3:S$1271,4,FALSE)</f>
        <v>#N/A</v>
      </c>
      <c r="F29" s="6">
        <f t="shared" si="0"/>
        <v>17</v>
      </c>
      <c r="G29" s="7">
        <f>VLOOKUP(A29,[1]Sheet!B$3:G$2921,5,0)</f>
        <v>220.88</v>
      </c>
      <c r="H29" s="5" t="e">
        <f>VLOOKUP(A29,N$3:S$1271,5,FALSE)</f>
        <v>#N/A</v>
      </c>
      <c r="I29" s="6">
        <f t="shared" si="1"/>
        <v>220.88</v>
      </c>
      <c r="J29" s="7">
        <f>VLOOKUP(A29,[1]Sheet!B$3:G$2921,6,0)</f>
        <v>3313.2</v>
      </c>
      <c r="K29" s="8" t="e">
        <f t="shared" si="2"/>
        <v>#N/A</v>
      </c>
      <c r="L29" s="6">
        <f t="shared" si="3"/>
        <v>3313.2</v>
      </c>
    </row>
    <row r="30" spans="1:12" x14ac:dyDescent="0.25">
      <c r="A30" s="9" t="s">
        <v>29</v>
      </c>
      <c r="B30" s="2" t="str">
        <f>VLOOKUP(A30,[1]Sheet!B$3:G$2921,2,0)</f>
        <v>Настановна коробка для штепсельних
розеток та вимикачів, прихованого монтажу,
на одне місце</v>
      </c>
      <c r="C30" s="3" t="str">
        <f>VLOOKUP(A30,[1]Sheet!B$3:G$2921,3,0)</f>
        <v>шт</v>
      </c>
      <c r="D30" s="4">
        <v>52</v>
      </c>
      <c r="E30" s="5" t="e">
        <f>VLOOKUP(A30,N$3:S$1271,4,FALSE)</f>
        <v>#N/A</v>
      </c>
      <c r="F30" s="6">
        <f t="shared" si="0"/>
        <v>52</v>
      </c>
      <c r="G30" s="7">
        <f>VLOOKUP(A30,[1]Sheet!B$3:G$2921,5,0)</f>
        <v>12.52</v>
      </c>
      <c r="H30" s="5" t="e">
        <f>VLOOKUP(A30,N$3:S$1271,5,FALSE)</f>
        <v>#N/A</v>
      </c>
      <c r="I30" s="6">
        <f t="shared" si="1"/>
        <v>12.52</v>
      </c>
      <c r="J30" s="7">
        <f>VLOOKUP(A30,[1]Sheet!B$3:G$2921,6,0)</f>
        <v>62.6</v>
      </c>
      <c r="K30" s="8" t="e">
        <f t="shared" si="2"/>
        <v>#N/A</v>
      </c>
      <c r="L30" s="6">
        <f t="shared" si="3"/>
        <v>62.6</v>
      </c>
    </row>
    <row r="31" spans="1:12" x14ac:dyDescent="0.25">
      <c r="A31" s="9" t="s">
        <v>30</v>
      </c>
      <c r="B31" s="2" t="str">
        <f>VLOOKUP(A31,[1]Sheet!B$3:G$2921,2,0)</f>
        <v>Коробка вiдгалужувальна для трубної
розводки, ступінь захисту ІР20</v>
      </c>
      <c r="C31" s="3" t="str">
        <f>VLOOKUP(A31,[1]Sheet!B$3:G$2921,3,0)</f>
        <v>шт</v>
      </c>
      <c r="D31" s="4">
        <v>131</v>
      </c>
      <c r="E31" s="5" t="e">
        <f>VLOOKUP(A31,N$3:S$1271,4,FALSE)</f>
        <v>#N/A</v>
      </c>
      <c r="F31" s="6">
        <f t="shared" si="0"/>
        <v>131</v>
      </c>
      <c r="G31" s="7">
        <f>VLOOKUP(A31,[1]Sheet!B$3:G$2921,5,0)</f>
        <v>26.19</v>
      </c>
      <c r="H31" s="5" t="e">
        <f>VLOOKUP(A31,N$3:S$1271,5,FALSE)</f>
        <v>#N/A</v>
      </c>
      <c r="I31" s="6">
        <f t="shared" si="1"/>
        <v>26.19</v>
      </c>
      <c r="J31" s="7">
        <f>VLOOKUP(A31,[1]Sheet!B$3:G$2921,6,0)</f>
        <v>3430.89</v>
      </c>
      <c r="K31" s="8" t="e">
        <f t="shared" si="2"/>
        <v>#N/A</v>
      </c>
      <c r="L31" s="6">
        <f t="shared" si="3"/>
        <v>3430.89</v>
      </c>
    </row>
    <row r="32" spans="1:12" x14ac:dyDescent="0.25">
      <c r="A32" s="9" t="s">
        <v>31</v>
      </c>
      <c r="B32" s="2" t="str">
        <f>VLOOKUP(A32,[1]Sheet!B$3:G$2921,2,0)</f>
        <v>Кнопка 230В 16А червона 1НЗ конт. CP1-
30R-01</v>
      </c>
      <c r="C32" s="3" t="str">
        <f>VLOOKUP(A32,[1]Sheet!B$3:G$2921,3,0)</f>
        <v>шт</v>
      </c>
      <c r="D32" s="4">
        <v>2</v>
      </c>
      <c r="E32" s="5" t="e">
        <f>VLOOKUP(A32,N$3:S$1271,4,FALSE)</f>
        <v>#N/A</v>
      </c>
      <c r="F32" s="6">
        <f t="shared" si="0"/>
        <v>2</v>
      </c>
      <c r="G32" s="7">
        <f>VLOOKUP(A32,[1]Sheet!B$3:G$2921,5,0)</f>
        <v>98.96</v>
      </c>
      <c r="H32" s="5" t="e">
        <f>VLOOKUP(A32,N$3:S$1271,5,FALSE)</f>
        <v>#N/A</v>
      </c>
      <c r="I32" s="6">
        <f t="shared" si="1"/>
        <v>98.96</v>
      </c>
      <c r="J32" s="7">
        <f>VLOOKUP(A32,[1]Sheet!B$3:G$2921,6,0)</f>
        <v>98.96</v>
      </c>
      <c r="K32" s="8" t="e">
        <f t="shared" si="2"/>
        <v>#N/A</v>
      </c>
      <c r="L32" s="6">
        <f t="shared" si="3"/>
        <v>98.96</v>
      </c>
    </row>
    <row r="33" spans="1:12" x14ac:dyDescent="0.25">
      <c r="A33" s="9" t="s">
        <v>32</v>
      </c>
      <c r="B33" s="2" t="str">
        <f>VLOOKUP(A33,[1]Sheet!B$3:G$2921,2,0)</f>
        <v>Кнопка 230В 16А чорна 1НВ конт. CP1-30В-
10</v>
      </c>
      <c r="C33" s="3" t="str">
        <f>VLOOKUP(A33,[1]Sheet!B$3:G$2921,3,0)</f>
        <v>шт</v>
      </c>
      <c r="D33" s="4">
        <v>1</v>
      </c>
      <c r="E33" s="5" t="e">
        <f>VLOOKUP(A33,N$3:S$1271,4,FALSE)</f>
        <v>#N/A</v>
      </c>
      <c r="F33" s="6">
        <f t="shared" si="0"/>
        <v>1</v>
      </c>
      <c r="G33" s="7">
        <f>VLOOKUP(A33,[1]Sheet!B$3:G$2921,5,0)</f>
        <v>100.54</v>
      </c>
      <c r="H33" s="5" t="e">
        <f>VLOOKUP(A33,N$3:S$1271,5,FALSE)</f>
        <v>#N/A</v>
      </c>
      <c r="I33" s="6">
        <f t="shared" si="1"/>
        <v>100.54</v>
      </c>
      <c r="J33" s="7">
        <f>VLOOKUP(A33,[1]Sheet!B$3:G$2921,6,0)</f>
        <v>100.54</v>
      </c>
      <c r="K33" s="8" t="e">
        <f t="shared" si="2"/>
        <v>#N/A</v>
      </c>
      <c r="L33" s="6">
        <f t="shared" si="3"/>
        <v>100.54</v>
      </c>
    </row>
    <row r="34" spans="1:12" x14ac:dyDescent="0.25">
      <c r="A34" s="9" t="s">
        <v>33</v>
      </c>
      <c r="B34" s="2" t="str">
        <f>VLOOKUP(A34,[1]Sheet!B$3:G$2921,2,0)</f>
        <v>Пост керування ПКУ15-21-131-54У2</v>
      </c>
      <c r="C34" s="3" t="str">
        <f>VLOOKUP(A34,[1]Sheet!B$3:G$2921,3,0)</f>
        <v>шт</v>
      </c>
      <c r="D34" s="4">
        <v>2</v>
      </c>
      <c r="E34" s="5" t="e">
        <f>VLOOKUP(A34,N$3:S$1271,4,FALSE)</f>
        <v>#N/A</v>
      </c>
      <c r="F34" s="6">
        <f t="shared" si="0"/>
        <v>2</v>
      </c>
      <c r="G34" s="7">
        <f>VLOOKUP(A34,[1]Sheet!B$3:G$2921,5,0)</f>
        <v>413.15</v>
      </c>
      <c r="H34" s="5" t="e">
        <f>VLOOKUP(A34,N$3:S$1271,5,FALSE)</f>
        <v>#N/A</v>
      </c>
      <c r="I34" s="6">
        <f t="shared" si="1"/>
        <v>413.15</v>
      </c>
      <c r="J34" s="7">
        <f>VLOOKUP(A34,[1]Sheet!B$3:G$2921,6,0)</f>
        <v>413.15</v>
      </c>
      <c r="K34" s="8" t="e">
        <f t="shared" si="2"/>
        <v>#N/A</v>
      </c>
      <c r="L34" s="6">
        <f t="shared" si="3"/>
        <v>413.15</v>
      </c>
    </row>
    <row r="35" spans="1:12" x14ac:dyDescent="0.25">
      <c r="A35" s="9" t="s">
        <v>34</v>
      </c>
      <c r="B35" s="2" t="str">
        <f>VLOOKUP(A35,[1]Sheet!B$3:G$2921,2,0)</f>
        <v>Клемна панель для монтажа у шафі SCS-12</v>
      </c>
      <c r="C35" s="3" t="str">
        <f>VLOOKUP(A35,[1]Sheet!B$3:G$2921,3,0)</f>
        <v>шт</v>
      </c>
      <c r="D35" s="4">
        <v>2</v>
      </c>
      <c r="E35" s="5" t="e">
        <f>VLOOKUP(A35,N$3:S$1271,4,FALSE)</f>
        <v>#N/A</v>
      </c>
      <c r="F35" s="6">
        <f t="shared" si="0"/>
        <v>2</v>
      </c>
      <c r="G35" s="7">
        <f>VLOOKUP(A35,[1]Sheet!B$3:G$2921,5,0)</f>
        <v>3061.9</v>
      </c>
      <c r="H35" s="5" t="e">
        <f>VLOOKUP(A35,N$3:S$1271,5,FALSE)</f>
        <v>#N/A</v>
      </c>
      <c r="I35" s="6">
        <f t="shared" si="1"/>
        <v>3061.9</v>
      </c>
      <c r="J35" s="7">
        <f>VLOOKUP(A35,[1]Sheet!B$3:G$2921,6,0)</f>
        <v>6123.8</v>
      </c>
      <c r="K35" s="8" t="e">
        <f t="shared" si="2"/>
        <v>#N/A</v>
      </c>
      <c r="L35" s="6">
        <f t="shared" si="3"/>
        <v>6123.8</v>
      </c>
    </row>
    <row r="36" spans="1:12" x14ac:dyDescent="0.25">
      <c r="A36" s="9" t="s">
        <v>35</v>
      </c>
      <c r="B36" s="2" t="str">
        <f>VLOOKUP(A36,[1]Sheet!B$3:G$2921,2,0)</f>
        <v>Пускач електромагнiтний нереверсивний
без теплового реле, з кнопками "Пуск" і
"Стоп", сигнальною лампою, ІР54 (ПМЛ-
413002)</v>
      </c>
      <c r="C36" s="3" t="str">
        <f>VLOOKUP(A36,[1]Sheet!B$3:G$2921,3,0)</f>
        <v>шт</v>
      </c>
      <c r="D36" s="4">
        <v>1</v>
      </c>
      <c r="E36" s="5" t="e">
        <f>VLOOKUP(A36,N$3:S$1271,4,FALSE)</f>
        <v>#N/A</v>
      </c>
      <c r="F36" s="6">
        <f t="shared" si="0"/>
        <v>1</v>
      </c>
      <c r="G36" s="7">
        <f>VLOOKUP(A36,[1]Sheet!B$3:G$2921,5,0)</f>
        <v>840.56</v>
      </c>
      <c r="H36" s="5" t="e">
        <f>VLOOKUP(A36,N$3:S$1271,5,FALSE)</f>
        <v>#N/A</v>
      </c>
      <c r="I36" s="6">
        <f t="shared" si="1"/>
        <v>840.56</v>
      </c>
      <c r="J36" s="7">
        <f>VLOOKUP(A36,[1]Sheet!B$3:G$2921,6,0)</f>
        <v>840.56</v>
      </c>
      <c r="K36" s="8" t="e">
        <f t="shared" si="2"/>
        <v>#N/A</v>
      </c>
      <c r="L36" s="6">
        <f t="shared" si="3"/>
        <v>840.56</v>
      </c>
    </row>
    <row r="37" spans="1:12" x14ac:dyDescent="0.25">
      <c r="A37" s="9" t="s">
        <v>36</v>
      </c>
      <c r="B37" s="2" t="str">
        <f>VLOOKUP(A37,[1]Sheet!B$3:G$2921,2,0)</f>
        <v>Контактор електромагнiтний Uk 230В, 24А
4НВ конт. ESB 24-40</v>
      </c>
      <c r="C37" s="3" t="str">
        <f>VLOOKUP(A37,[1]Sheet!B$3:G$2921,3,0)</f>
        <v>шт</v>
      </c>
      <c r="D37" s="4">
        <v>2</v>
      </c>
      <c r="E37" s="5" t="e">
        <f>VLOOKUP(A37,N$3:S$1271,4,FALSE)</f>
        <v>#N/A</v>
      </c>
      <c r="F37" s="6">
        <f t="shared" si="0"/>
        <v>2</v>
      </c>
      <c r="G37" s="7">
        <f>VLOOKUP(A37,[1]Sheet!B$3:G$2921,5,0)</f>
        <v>684</v>
      </c>
      <c r="H37" s="5" t="e">
        <f>VLOOKUP(A37,N$3:S$1271,5,FALSE)</f>
        <v>#N/A</v>
      </c>
      <c r="I37" s="6">
        <f t="shared" si="1"/>
        <v>684</v>
      </c>
      <c r="J37" s="7">
        <f>VLOOKUP(A37,[1]Sheet!B$3:G$2921,6,0)</f>
        <v>684</v>
      </c>
      <c r="K37" s="8" t="e">
        <f t="shared" si="2"/>
        <v>#N/A</v>
      </c>
      <c r="L37" s="6">
        <f t="shared" si="3"/>
        <v>684</v>
      </c>
    </row>
    <row r="38" spans="1:12" x14ac:dyDescent="0.25">
      <c r="A38" s="9" t="s">
        <v>37</v>
      </c>
      <c r="B38" s="2" t="str">
        <f>VLOOKUP(A38,[1]Sheet!B$3:G$2921,2,0)</f>
        <v>Контактор електромагнiтний Uk 230В, 20А
2НВ конт. ESB 20-20</v>
      </c>
      <c r="C38" s="3" t="str">
        <f>VLOOKUP(A38,[1]Sheet!B$3:G$2921,3,0)</f>
        <v>шт</v>
      </c>
      <c r="D38" s="4">
        <v>5</v>
      </c>
      <c r="E38" s="5" t="e">
        <f>VLOOKUP(A38,N$3:S$1271,4,FALSE)</f>
        <v>#N/A</v>
      </c>
      <c r="F38" s="6">
        <f t="shared" si="0"/>
        <v>5</v>
      </c>
      <c r="G38" s="7">
        <f>VLOOKUP(A38,[1]Sheet!B$3:G$2921,5,0)</f>
        <v>543.88</v>
      </c>
      <c r="H38" s="5" t="e">
        <f>VLOOKUP(A38,N$3:S$1271,5,FALSE)</f>
        <v>#N/A</v>
      </c>
      <c r="I38" s="6">
        <f t="shared" si="1"/>
        <v>543.88</v>
      </c>
      <c r="J38" s="7">
        <f>VLOOKUP(A38,[1]Sheet!B$3:G$2921,6,0)</f>
        <v>2719.4</v>
      </c>
      <c r="K38" s="8" t="e">
        <f t="shared" si="2"/>
        <v>#N/A</v>
      </c>
      <c r="L38" s="6">
        <f t="shared" si="3"/>
        <v>2719.4</v>
      </c>
    </row>
    <row r="39" spans="1:12" x14ac:dyDescent="0.25">
      <c r="A39" s="9" t="s">
        <v>38</v>
      </c>
      <c r="B39" s="2" t="str">
        <f>VLOOKUP(A39,[1]Sheet!B$3:G$2921,2,0)</f>
        <v>Контактор електромагнiтний Uk 230В, 24А
3НВ+1НЗ конт. ESB 24-31</v>
      </c>
      <c r="C39" s="3" t="str">
        <f>VLOOKUP(A39,[1]Sheet!B$3:G$2921,3,0)</f>
        <v>шт</v>
      </c>
      <c r="D39" s="4">
        <v>2</v>
      </c>
      <c r="E39" s="5" t="e">
        <f>VLOOKUP(A39,N$3:S$1271,4,FALSE)</f>
        <v>#N/A</v>
      </c>
      <c r="F39" s="6">
        <f t="shared" si="0"/>
        <v>2</v>
      </c>
      <c r="G39" s="7">
        <f>VLOOKUP(A39,[1]Sheet!B$3:G$2921,5,0)</f>
        <v>695.09</v>
      </c>
      <c r="H39" s="5" t="e">
        <f>VLOOKUP(A39,N$3:S$1271,5,FALSE)</f>
        <v>#N/A</v>
      </c>
      <c r="I39" s="6">
        <f t="shared" si="1"/>
        <v>695.09</v>
      </c>
      <c r="J39" s="7">
        <f>VLOOKUP(A39,[1]Sheet!B$3:G$2921,6,0)</f>
        <v>1390.18</v>
      </c>
      <c r="K39" s="8" t="e">
        <f t="shared" si="2"/>
        <v>#N/A</v>
      </c>
      <c r="L39" s="6">
        <f t="shared" si="3"/>
        <v>1390.18</v>
      </c>
    </row>
    <row r="40" spans="1:12" x14ac:dyDescent="0.25">
      <c r="A40" s="9" t="s">
        <v>39</v>
      </c>
      <c r="B40" s="2" t="str">
        <f>VLOOKUP(A40,[1]Sheet!B$3:G$2921,2,0)</f>
        <v>Пакетний вимикач полюсів - 2, 16 А, 220 В,
ступінь захисту ІР 56 ПВ2-16УХЛ1-56Б</v>
      </c>
      <c r="C40" s="3" t="str">
        <f>VLOOKUP(A40,[1]Sheet!B$3:G$2921,3,0)</f>
        <v>шт</v>
      </c>
      <c r="D40" s="4">
        <v>15</v>
      </c>
      <c r="E40" s="5" t="e">
        <f>VLOOKUP(A40,N$3:S$1271,4,FALSE)</f>
        <v>#N/A</v>
      </c>
      <c r="F40" s="6">
        <f t="shared" si="0"/>
        <v>15</v>
      </c>
      <c r="G40" s="7">
        <f>VLOOKUP(A40,[1]Sheet!B$3:G$2921,5,0)</f>
        <v>228.79</v>
      </c>
      <c r="H40" s="5" t="e">
        <f>VLOOKUP(A40,N$3:S$1271,5,FALSE)</f>
        <v>#N/A</v>
      </c>
      <c r="I40" s="6">
        <f t="shared" si="1"/>
        <v>228.79</v>
      </c>
      <c r="J40" s="7">
        <f>VLOOKUP(A40,[1]Sheet!B$3:G$2921,6,0)</f>
        <v>686.37</v>
      </c>
      <c r="K40" s="8" t="e">
        <f t="shared" si="2"/>
        <v>#N/A</v>
      </c>
      <c r="L40" s="6">
        <f t="shared" si="3"/>
        <v>686.37</v>
      </c>
    </row>
    <row r="41" spans="1:12" x14ac:dyDescent="0.25">
      <c r="A41" s="9" t="s">
        <v>40</v>
      </c>
      <c r="B41" s="2" t="str">
        <f>VLOOKUP(A41,[1]Sheet!B$3:G$2921,2,0)</f>
        <v>Кулачковий перемикач,10 А (0-1), кут
поворота 90_ ОМA1РВ</v>
      </c>
      <c r="C41" s="3" t="str">
        <f>VLOOKUP(A41,[1]Sheet!B$3:G$2921,3,0)</f>
        <v>шт</v>
      </c>
      <c r="D41" s="4">
        <v>3</v>
      </c>
      <c r="E41" s="5" t="e">
        <f>VLOOKUP(A41,N$3:S$1271,4,FALSE)</f>
        <v>#N/A</v>
      </c>
      <c r="F41" s="6">
        <f t="shared" si="0"/>
        <v>3</v>
      </c>
      <c r="G41" s="7">
        <f>VLOOKUP(A41,[1]Sheet!B$3:G$2921,5,0)</f>
        <v>335.06</v>
      </c>
      <c r="H41" s="5" t="e">
        <f>VLOOKUP(A41,N$3:S$1271,5,FALSE)</f>
        <v>#N/A</v>
      </c>
      <c r="I41" s="6">
        <f t="shared" si="1"/>
        <v>335.06</v>
      </c>
      <c r="J41" s="7">
        <f>VLOOKUP(A41,[1]Sheet!B$3:G$2921,6,0)</f>
        <v>1005.18</v>
      </c>
      <c r="K41" s="8" t="e">
        <f t="shared" si="2"/>
        <v>#N/A</v>
      </c>
      <c r="L41" s="6">
        <f t="shared" si="3"/>
        <v>1005.18</v>
      </c>
    </row>
    <row r="42" spans="1:12" x14ac:dyDescent="0.25">
      <c r="A42" s="9" t="s">
        <v>41</v>
      </c>
      <c r="B42" s="2" t="str">
        <f>VLOOKUP(A42,[1]Sheet!B$3:G$2921,2,0)</f>
        <v>Кулачковий перемикач,10 А (1-0-2), кут
поворота 60_ ОМU1РВ</v>
      </c>
      <c r="C42" s="3" t="str">
        <f>VLOOKUP(A42,[1]Sheet!B$3:G$2921,3,0)</f>
        <v>шт</v>
      </c>
      <c r="D42" s="4">
        <v>4</v>
      </c>
      <c r="E42" s="5" t="e">
        <f>VLOOKUP(A42,N$3:S$1271,4,FALSE)</f>
        <v>#N/A</v>
      </c>
      <c r="F42" s="6">
        <f t="shared" si="0"/>
        <v>4</v>
      </c>
      <c r="G42" s="7">
        <f>VLOOKUP(A42,[1]Sheet!B$3:G$2921,5,0)</f>
        <v>335.06</v>
      </c>
      <c r="H42" s="5" t="e">
        <f>VLOOKUP(A42,N$3:S$1271,5,FALSE)</f>
        <v>#N/A</v>
      </c>
      <c r="I42" s="6">
        <f t="shared" si="1"/>
        <v>335.06</v>
      </c>
      <c r="J42" s="7">
        <f>VLOOKUP(A42,[1]Sheet!B$3:G$2921,6,0)</f>
        <v>1005.18</v>
      </c>
      <c r="K42" s="8" t="e">
        <f t="shared" si="2"/>
        <v>#N/A</v>
      </c>
      <c r="L42" s="6">
        <f t="shared" si="3"/>
        <v>1005.18</v>
      </c>
    </row>
    <row r="43" spans="1:12" x14ac:dyDescent="0.25">
      <c r="A43" s="9" t="s">
        <v>42</v>
      </c>
      <c r="B43" s="2" t="str">
        <f>VLOOKUP(A43,[1]Sheet!B$3:G$2921,2,0)</f>
        <v>Контролер цифровой Smail SDC12-31N</v>
      </c>
      <c r="C43" s="3" t="str">
        <f>VLOOKUP(A43,[1]Sheet!B$3:G$2921,3,0)</f>
        <v>шт</v>
      </c>
      <c r="D43" s="4">
        <v>2</v>
      </c>
      <c r="E43" s="5" t="e">
        <f>VLOOKUP(A43,N$3:S$1271,4,FALSE)</f>
        <v>#N/A</v>
      </c>
      <c r="F43" s="6">
        <f t="shared" si="0"/>
        <v>2</v>
      </c>
      <c r="G43" s="7">
        <f>VLOOKUP(A43,[1]Sheet!B$3:G$2921,5,0)</f>
        <v>12262.91</v>
      </c>
      <c r="H43" s="5" t="e">
        <f>VLOOKUP(A43,N$3:S$1271,5,FALSE)</f>
        <v>#N/A</v>
      </c>
      <c r="I43" s="6">
        <f t="shared" si="1"/>
        <v>12262.91</v>
      </c>
      <c r="J43" s="7">
        <f>VLOOKUP(A43,[1]Sheet!B$3:G$2921,6,0)</f>
        <v>12262.91</v>
      </c>
      <c r="K43" s="8" t="e">
        <f t="shared" si="2"/>
        <v>#N/A</v>
      </c>
      <c r="L43" s="6">
        <f t="shared" si="3"/>
        <v>12262.91</v>
      </c>
    </row>
    <row r="44" spans="1:12" x14ac:dyDescent="0.25">
      <c r="A44" s="9" t="s">
        <v>43</v>
      </c>
      <c r="B44" s="2" t="str">
        <f>VLOOKUP(A44,[1]Sheet!B$3:G$2921,2,0)</f>
        <v>Свiтильник світлодіодний вбудований
600х600 ступінь захисту IP20, потужуністю
40Вт, білий</v>
      </c>
      <c r="C44" s="3" t="str">
        <f>VLOOKUP(A44,[1]Sheet!B$3:G$2921,3,0)</f>
        <v>шт</v>
      </c>
      <c r="D44" s="4">
        <v>43</v>
      </c>
      <c r="E44" s="5" t="e">
        <f>VLOOKUP(A44,N$3:S$1271,4,FALSE)</f>
        <v>#N/A</v>
      </c>
      <c r="F44" s="6">
        <f t="shared" si="0"/>
        <v>43</v>
      </c>
      <c r="G44" s="7">
        <f>VLOOKUP(A44,[1]Sheet!B$3:G$2921,5,0)</f>
        <v>1335.46</v>
      </c>
      <c r="H44" s="5" t="e">
        <f>VLOOKUP(A44,N$3:S$1271,5,FALSE)</f>
        <v>#N/A</v>
      </c>
      <c r="I44" s="6">
        <f t="shared" si="1"/>
        <v>1335.46</v>
      </c>
      <c r="J44" s="7">
        <f>VLOOKUP(A44,[1]Sheet!B$3:G$2921,6,0)</f>
        <v>21367.360000000001</v>
      </c>
      <c r="K44" s="8" t="e">
        <f t="shared" si="2"/>
        <v>#N/A</v>
      </c>
      <c r="L44" s="6">
        <f t="shared" si="3"/>
        <v>21367.360000000001</v>
      </c>
    </row>
    <row r="45" spans="1:12" x14ac:dyDescent="0.25">
      <c r="A45" s="9" t="s">
        <v>44</v>
      </c>
      <c r="B45" s="2" t="str">
        <f>VLOOKUP(A45,[1]Sheet!B$3:G$2921,2,0)</f>
        <v>Свiтильник світлодіодний накладний міра
захисту IP20, потужністю 18Вт, FL5045 18W
4500K</v>
      </c>
      <c r="C45" s="3" t="str">
        <f>VLOOKUP(A45,[1]Sheet!B$3:G$2921,3,0)</f>
        <v>шт</v>
      </c>
      <c r="D45" s="4">
        <v>132</v>
      </c>
      <c r="E45" s="5" t="e">
        <f>VLOOKUP(A45,N$3:S$1271,4,FALSE)</f>
        <v>#N/A</v>
      </c>
      <c r="F45" s="6">
        <f t="shared" si="0"/>
        <v>132</v>
      </c>
      <c r="G45" s="7">
        <f>VLOOKUP(A45,[1]Sheet!B$3:G$2921,5,0)</f>
        <v>394.89</v>
      </c>
      <c r="H45" s="5" t="e">
        <f>VLOOKUP(A45,N$3:S$1271,5,FALSE)</f>
        <v>#N/A</v>
      </c>
      <c r="I45" s="6">
        <f t="shared" si="1"/>
        <v>394.89</v>
      </c>
      <c r="J45" s="7">
        <f>VLOOKUP(A45,[1]Sheet!B$3:G$2921,6,0)</f>
        <v>789.78</v>
      </c>
      <c r="K45" s="8" t="e">
        <f t="shared" si="2"/>
        <v>#N/A</v>
      </c>
      <c r="L45" s="6">
        <f t="shared" si="3"/>
        <v>789.78</v>
      </c>
    </row>
    <row r="46" spans="1:12" x14ac:dyDescent="0.25">
      <c r="A46" s="9" t="s">
        <v>45</v>
      </c>
      <c r="B46" s="2" t="str">
        <f>VLOOKUP(A46,[1]Sheet!B$3:G$2921,2,0)</f>
        <v>Свiтловий показчик "Вихід" зі світлодіодами,
потужністю 6 Вт ДБО01ВСП-6-в-104</v>
      </c>
      <c r="C46" s="3" t="str">
        <f>VLOOKUP(A46,[1]Sheet!B$3:G$2921,3,0)</f>
        <v>шт</v>
      </c>
      <c r="D46" s="4">
        <v>3</v>
      </c>
      <c r="E46" s="5" t="e">
        <f>VLOOKUP(A46,N$3:S$1271,4,FALSE)</f>
        <v>#N/A</v>
      </c>
      <c r="F46" s="6">
        <f t="shared" si="0"/>
        <v>3</v>
      </c>
      <c r="G46" s="7">
        <f>VLOOKUP(A46,[1]Sheet!B$3:G$2921,5,0)</f>
        <v>209.83</v>
      </c>
      <c r="H46" s="5" t="e">
        <f>VLOOKUP(A46,N$3:S$1271,5,FALSE)</f>
        <v>#N/A</v>
      </c>
      <c r="I46" s="6">
        <f t="shared" si="1"/>
        <v>209.83</v>
      </c>
      <c r="J46" s="7">
        <f>VLOOKUP(A46,[1]Sheet!B$3:G$2921,6,0)</f>
        <v>629.49</v>
      </c>
      <c r="K46" s="8" t="e">
        <f t="shared" si="2"/>
        <v>#N/A</v>
      </c>
      <c r="L46" s="6">
        <f t="shared" si="3"/>
        <v>629.49</v>
      </c>
    </row>
    <row r="47" spans="1:12" x14ac:dyDescent="0.25">
      <c r="A47" s="9" t="s">
        <v>46</v>
      </c>
      <c r="B47" s="2" t="str">
        <f>VLOOKUP(A47,[1]Sheet!B$3:G$2921,2,0)</f>
        <v>Кронштейн зі світильником та лампою</v>
      </c>
      <c r="C47" s="3" t="str">
        <f>VLOOKUP(A47,[1]Sheet!B$3:G$2921,3,0)</f>
        <v>шт</v>
      </c>
      <c r="D47" s="4">
        <v>1</v>
      </c>
      <c r="E47" s="5" t="e">
        <f>VLOOKUP(A47,N$3:S$1271,4,FALSE)</f>
        <v>#N/A</v>
      </c>
      <c r="F47" s="6">
        <f t="shared" si="0"/>
        <v>1</v>
      </c>
      <c r="G47" s="7" t="str">
        <f>VLOOKUP(A47,[1]Sheet!B$3:G$2921,5,0)</f>
        <v xml:space="preserve">   -   </v>
      </c>
      <c r="H47" s="5" t="e">
        <f>VLOOKUP(A47,N$3:S$1271,5,FALSE)</f>
        <v>#N/A</v>
      </c>
      <c r="I47" s="6" t="str">
        <f t="shared" si="1"/>
        <v xml:space="preserve">   -   </v>
      </c>
      <c r="J47" s="7" t="str">
        <f>VLOOKUP(A47,[1]Sheet!B$3:G$2921,6,0)</f>
        <v xml:space="preserve">   -   </v>
      </c>
      <c r="K47" s="8" t="e">
        <f t="shared" si="2"/>
        <v>#N/A</v>
      </c>
      <c r="L47" s="6" t="str">
        <f t="shared" si="3"/>
        <v xml:space="preserve">   -   </v>
      </c>
    </row>
    <row r="48" spans="1:12" x14ac:dyDescent="0.25">
      <c r="A48" s="9" t="s">
        <v>47</v>
      </c>
      <c r="B48" s="2" t="str">
        <f>VLOOKUP(A48,[1]Sheet!B$3:G$2921,2,0)</f>
        <v>Провід силовий с мідними жилами з
подвійною ПВХ ізоляцією, ПВСнг-нд-0,66
перерізом 3,0х1,5мм2 "Мастер - А"</v>
      </c>
      <c r="C48" s="3" t="str">
        <f>VLOOKUP(A48,[1]Sheet!B$3:G$2921,3,0)</f>
        <v>м</v>
      </c>
      <c r="D48" s="4">
        <v>3116.5800000000004</v>
      </c>
      <c r="E48" s="5" t="e">
        <f>VLOOKUP(A48,N$3:S$1271,4,FALSE)</f>
        <v>#N/A</v>
      </c>
      <c r="F48" s="6">
        <f t="shared" si="0"/>
        <v>3116.5800000000004</v>
      </c>
      <c r="G48" s="7">
        <f>VLOOKUP(A48,[1]Sheet!B$3:G$2921,5,0)</f>
        <v>16.149999999999999</v>
      </c>
      <c r="H48" s="5" t="e">
        <f>VLOOKUP(A48,N$3:S$1271,5,FALSE)</f>
        <v>#N/A</v>
      </c>
      <c r="I48" s="6">
        <f t="shared" si="1"/>
        <v>16.149999999999999</v>
      </c>
      <c r="J48" s="7">
        <f>VLOOKUP(A48,[1]Sheet!B$3:G$2921,6,0)</f>
        <v>21292.16</v>
      </c>
      <c r="K48" s="8" t="e">
        <f t="shared" si="2"/>
        <v>#N/A</v>
      </c>
      <c r="L48" s="6">
        <f t="shared" si="3"/>
        <v>21292.16</v>
      </c>
    </row>
    <row r="49" spans="1:12" x14ac:dyDescent="0.25">
      <c r="A49" s="9" t="s">
        <v>48</v>
      </c>
      <c r="B49" s="2" t="str">
        <f>VLOOKUP(A49,[1]Sheet!B$3:G$2921,2,0)</f>
        <v>Кабель силовий з мідними жилами з ПВХ
оболонкою і ізоляцією перерiзом 2.1,5мм2
ВВГнг-0,66</v>
      </c>
      <c r="C49" s="3" t="str">
        <f>VLOOKUP(A49,[1]Sheet!B$3:G$2921,3,0)</f>
        <v>1000м</v>
      </c>
      <c r="D49" s="4">
        <v>3.0000000000000001E-3</v>
      </c>
      <c r="E49" s="5" t="e">
        <f>VLOOKUP(A49,N$3:S$1271,4,FALSE)</f>
        <v>#N/A</v>
      </c>
      <c r="F49" s="6">
        <f t="shared" si="0"/>
        <v>3.0000000000000001E-3</v>
      </c>
      <c r="G49" s="7">
        <f>VLOOKUP(A49,[1]Sheet!B$3:G$2921,5,0)</f>
        <v>15726.4</v>
      </c>
      <c r="H49" s="5" t="e">
        <f>VLOOKUP(A49,N$3:S$1271,5,FALSE)</f>
        <v>#N/A</v>
      </c>
      <c r="I49" s="6">
        <f t="shared" si="1"/>
        <v>15726.4</v>
      </c>
      <c r="J49" s="7">
        <f>VLOOKUP(A49,[1]Sheet!B$3:G$2921,6,0)</f>
        <v>23.59</v>
      </c>
      <c r="K49" s="8" t="e">
        <f t="shared" si="2"/>
        <v>#N/A</v>
      </c>
      <c r="L49" s="6">
        <f t="shared" si="3"/>
        <v>23.59</v>
      </c>
    </row>
    <row r="50" spans="1:12" x14ac:dyDescent="0.25">
      <c r="A50" s="9" t="s">
        <v>49</v>
      </c>
      <c r="B50" s="2" t="str">
        <f>VLOOKUP(A50,[1]Sheet!B$3:G$2921,2,0)</f>
        <v>Кабель силовий з мідними жилами з ПВХ
оболонкою і ізоляцією перерiзом 2.2,5мм2
ВВГнг-0,66</v>
      </c>
      <c r="C50" s="3" t="str">
        <f>VLOOKUP(A50,[1]Sheet!B$3:G$2921,3,0)</f>
        <v>1000м</v>
      </c>
      <c r="D50" s="4">
        <v>0.17</v>
      </c>
      <c r="E50" s="5" t="e">
        <f>VLOOKUP(A50,N$3:S$1271,4,FALSE)</f>
        <v>#N/A</v>
      </c>
      <c r="F50" s="6">
        <f t="shared" si="0"/>
        <v>0.17</v>
      </c>
      <c r="G50" s="7">
        <f>VLOOKUP(A50,[1]Sheet!B$3:G$2921,5,0)</f>
        <v>23171.02</v>
      </c>
      <c r="H50" s="5" t="e">
        <f>VLOOKUP(A50,N$3:S$1271,5,FALSE)</f>
        <v>#N/A</v>
      </c>
      <c r="I50" s="6">
        <f t="shared" si="1"/>
        <v>23171.02</v>
      </c>
      <c r="J50" s="7">
        <f>VLOOKUP(A50,[1]Sheet!B$3:G$2921,6,0)</f>
        <v>950.01</v>
      </c>
      <c r="K50" s="8" t="e">
        <f t="shared" si="2"/>
        <v>#N/A</v>
      </c>
      <c r="L50" s="6">
        <f t="shared" si="3"/>
        <v>950.01</v>
      </c>
    </row>
    <row r="51" spans="1:12" x14ac:dyDescent="0.25">
      <c r="A51" s="9" t="s">
        <v>50</v>
      </c>
      <c r="B51" s="2" t="str">
        <f>VLOOKUP(A51,[1]Sheet!B$3:G$2921,2,0)</f>
        <v>Кабель силовий с мідними жилами з ПВХ
оболонкою і ізоляцією, 5 клас гнучкості, ВВГ
перерізом 3х1,0 мм2 "Мастер - А"</v>
      </c>
      <c r="C51" s="3" t="str">
        <f>VLOOKUP(A51,[1]Sheet!B$3:G$2921,3,0)</f>
        <v>1000м</v>
      </c>
      <c r="D51" s="4">
        <v>0.25900000000000001</v>
      </c>
      <c r="E51" s="5" t="e">
        <f>VLOOKUP(A51,N$3:S$1271,4,FALSE)</f>
        <v>#N/A</v>
      </c>
      <c r="F51" s="6">
        <f t="shared" si="0"/>
        <v>0.25900000000000001</v>
      </c>
      <c r="G51" s="7">
        <f>VLOOKUP(A51,[1]Sheet!B$3:G$2921,5,0)</f>
        <v>19088.27</v>
      </c>
      <c r="H51" s="5" t="e">
        <f>VLOOKUP(A51,N$3:S$1271,5,FALSE)</f>
        <v>#N/A</v>
      </c>
      <c r="I51" s="6">
        <f t="shared" si="1"/>
        <v>19088.27</v>
      </c>
      <c r="J51" s="7">
        <f>VLOOKUP(A51,[1]Sheet!B$3:G$2921,6,0)</f>
        <v>286.32</v>
      </c>
      <c r="K51" s="8" t="e">
        <f t="shared" si="2"/>
        <v>#N/A</v>
      </c>
      <c r="L51" s="6">
        <f t="shared" si="3"/>
        <v>286.32</v>
      </c>
    </row>
    <row r="52" spans="1:12" x14ac:dyDescent="0.25">
      <c r="A52" s="9" t="s">
        <v>51</v>
      </c>
      <c r="B52" s="2" t="str">
        <f>VLOOKUP(A52,[1]Sheet!B$3:G$2921,2,0)</f>
        <v>Провiд перерiзом 2.0,5мм2, ПВСнг</v>
      </c>
      <c r="C52" s="3" t="str">
        <f>VLOOKUP(A52,[1]Sheet!B$3:G$2921,3,0)</f>
        <v>1000м</v>
      </c>
      <c r="D52" s="4">
        <v>5.9000000000000004E-2</v>
      </c>
      <c r="E52" s="5" t="e">
        <f>VLOOKUP(A52,N$3:S$1271,4,FALSE)</f>
        <v>#N/A</v>
      </c>
      <c r="F52" s="6">
        <f t="shared" si="0"/>
        <v>5.9000000000000004E-2</v>
      </c>
      <c r="G52" s="7">
        <f>VLOOKUP(A52,[1]Sheet!B$3:G$2921,5,0)</f>
        <v>17412.29</v>
      </c>
      <c r="H52" s="5" t="e">
        <f>VLOOKUP(A52,N$3:S$1271,5,FALSE)</f>
        <v>#N/A</v>
      </c>
      <c r="I52" s="6">
        <f t="shared" si="1"/>
        <v>17412.29</v>
      </c>
      <c r="J52" s="7">
        <f>VLOOKUP(A52,[1]Sheet!B$3:G$2921,6,0)</f>
        <v>1027.33</v>
      </c>
      <c r="K52" s="8" t="e">
        <f t="shared" si="2"/>
        <v>#N/A</v>
      </c>
      <c r="L52" s="6">
        <f t="shared" si="3"/>
        <v>1027.33</v>
      </c>
    </row>
    <row r="53" spans="1:12" x14ac:dyDescent="0.25">
      <c r="A53" s="9" t="s">
        <v>52</v>
      </c>
      <c r="B53" s="2" t="str">
        <f>VLOOKUP(A53,[1]Sheet!B$3:G$2921,2,0)</f>
        <v>Кабель силовий с мідними жилами з
подвійною ПВХ ізоляцією, ПВСнг-нд-0,66
перерізом 2х0,75 мм2 "Мастер - А"</v>
      </c>
      <c r="C53" s="3" t="str">
        <f>VLOOKUP(A53,[1]Sheet!B$3:G$2921,3,0)</f>
        <v>1000м</v>
      </c>
      <c r="D53" s="4">
        <v>0.14300000000000002</v>
      </c>
      <c r="E53" s="5" t="e">
        <f>VLOOKUP(A53,N$3:S$1271,4,FALSE)</f>
        <v>#N/A</v>
      </c>
      <c r="F53" s="6">
        <f t="shared" si="0"/>
        <v>0.14300000000000002</v>
      </c>
      <c r="G53" s="7">
        <f>VLOOKUP(A53,[1]Sheet!B$3:G$2921,5,0)</f>
        <v>8726.1</v>
      </c>
      <c r="H53" s="5" t="e">
        <f>VLOOKUP(A53,N$3:S$1271,5,FALSE)</f>
        <v>#N/A</v>
      </c>
      <c r="I53" s="6">
        <f t="shared" si="1"/>
        <v>8726.1</v>
      </c>
      <c r="J53" s="7">
        <f>VLOOKUP(A53,[1]Sheet!B$3:G$2921,6,0)</f>
        <v>1247.83</v>
      </c>
      <c r="K53" s="8" t="e">
        <f t="shared" si="2"/>
        <v>#N/A</v>
      </c>
      <c r="L53" s="6">
        <f t="shared" si="3"/>
        <v>1247.83</v>
      </c>
    </row>
    <row r="54" spans="1:12" x14ac:dyDescent="0.25">
      <c r="A54" s="9" t="s">
        <v>53</v>
      </c>
      <c r="B54" s="2" t="str">
        <f>VLOOKUP(A54,[1]Sheet!B$3:G$2921,2,0)</f>
        <v>Провiд перерiзом 2.1,5мм2 ПВСнг</v>
      </c>
      <c r="C54" s="3" t="str">
        <f>VLOOKUP(A54,[1]Sheet!B$3:G$2921,3,0)</f>
        <v>1000м</v>
      </c>
      <c r="D54" s="4">
        <v>0.11800000000000001</v>
      </c>
      <c r="E54" s="5" t="e">
        <f>VLOOKUP(A54,N$3:S$1271,4,FALSE)</f>
        <v>#N/A</v>
      </c>
      <c r="F54" s="6">
        <f t="shared" si="0"/>
        <v>0.11800000000000001</v>
      </c>
      <c r="G54" s="7">
        <f>VLOOKUP(A54,[1]Sheet!B$3:G$2921,5,0)</f>
        <v>26881.34</v>
      </c>
      <c r="H54" s="5" t="e">
        <f>VLOOKUP(A54,N$3:S$1271,5,FALSE)</f>
        <v>#N/A</v>
      </c>
      <c r="I54" s="6">
        <f t="shared" si="1"/>
        <v>26881.34</v>
      </c>
      <c r="J54" s="7">
        <f>VLOOKUP(A54,[1]Sheet!B$3:G$2921,6,0)</f>
        <v>3172</v>
      </c>
      <c r="K54" s="8" t="e">
        <f t="shared" si="2"/>
        <v>#N/A</v>
      </c>
      <c r="L54" s="6">
        <f t="shared" si="3"/>
        <v>3172</v>
      </c>
    </row>
    <row r="55" spans="1:12" x14ac:dyDescent="0.25">
      <c r="A55" s="9" t="s">
        <v>54</v>
      </c>
      <c r="B55" s="2" t="str">
        <f>VLOOKUP(A55,[1]Sheet!B$3:G$2921,2,0)</f>
        <v>Провiд перерiзом 3.0,75мм2, ПВСнг</v>
      </c>
      <c r="C55" s="3" t="str">
        <f>VLOOKUP(A55,[1]Sheet!B$3:G$2921,3,0)</f>
        <v>1000м</v>
      </c>
      <c r="D55" s="4">
        <v>0.14100000000000001</v>
      </c>
      <c r="E55" s="5" t="e">
        <f>VLOOKUP(A55,N$3:S$1271,4,FALSE)</f>
        <v>#N/A</v>
      </c>
      <c r="F55" s="6">
        <f t="shared" si="0"/>
        <v>0.14100000000000001</v>
      </c>
      <c r="G55" s="7">
        <f>VLOOKUP(A55,[1]Sheet!B$3:G$2921,5,0)</f>
        <v>23650.52</v>
      </c>
      <c r="H55" s="5" t="e">
        <f>VLOOKUP(A55,N$3:S$1271,5,FALSE)</f>
        <v>#N/A</v>
      </c>
      <c r="I55" s="6">
        <f t="shared" si="1"/>
        <v>23650.52</v>
      </c>
      <c r="J55" s="7">
        <f>VLOOKUP(A55,[1]Sheet!B$3:G$2921,6,0)</f>
        <v>3334.72</v>
      </c>
      <c r="K55" s="8" t="e">
        <f t="shared" si="2"/>
        <v>#N/A</v>
      </c>
      <c r="L55" s="6">
        <f t="shared" si="3"/>
        <v>3334.72</v>
      </c>
    </row>
    <row r="56" spans="1:12" x14ac:dyDescent="0.25">
      <c r="A56" s="9" t="s">
        <v>55</v>
      </c>
      <c r="B56" s="2" t="str">
        <f>VLOOKUP(A56,[1]Sheet!B$3:G$2921,2,0)</f>
        <v>Кабель силовий с мідними жилами з
подвійною ПВХ ізоляцією, ПВСнг-нд-0,66
перерізом 3х1,0 мм2 "Мастер - А"</v>
      </c>
      <c r="C56" s="3" t="str">
        <f>VLOOKUP(A56,[1]Sheet!B$3:G$2921,3,0)</f>
        <v>1000м</v>
      </c>
      <c r="D56" s="4">
        <v>1.4999999999999999E-2</v>
      </c>
      <c r="E56" s="5" t="e">
        <f>VLOOKUP(A56,N$3:S$1271,4,FALSE)</f>
        <v>#N/A</v>
      </c>
      <c r="F56" s="6">
        <f t="shared" si="0"/>
        <v>1.4999999999999999E-2</v>
      </c>
      <c r="G56" s="7">
        <f>VLOOKUP(A56,[1]Sheet!B$3:G$2921,5,0)</f>
        <v>12453.66</v>
      </c>
      <c r="H56" s="5" t="e">
        <f>VLOOKUP(A56,N$3:S$1271,5,FALSE)</f>
        <v>#N/A</v>
      </c>
      <c r="I56" s="6">
        <f t="shared" si="1"/>
        <v>12453.66</v>
      </c>
      <c r="J56" s="7">
        <f>VLOOKUP(A56,[1]Sheet!B$3:G$2921,6,0)</f>
        <v>186.8</v>
      </c>
      <c r="K56" s="8" t="e">
        <f t="shared" si="2"/>
        <v>#N/A</v>
      </c>
      <c r="L56" s="6">
        <f t="shared" si="3"/>
        <v>186.8</v>
      </c>
    </row>
    <row r="57" spans="1:12" x14ac:dyDescent="0.25">
      <c r="A57" s="9" t="s">
        <v>56</v>
      </c>
      <c r="B57" s="2" t="str">
        <f>VLOOKUP(A57,[1]Sheet!B$3:G$2921,2,0)</f>
        <v>Провiд перерiзом 3.1,5мм2, ПВСнг</v>
      </c>
      <c r="C57" s="3" t="str">
        <f>VLOOKUP(A57,[1]Sheet!B$3:G$2921,3,0)</f>
        <v>1000м</v>
      </c>
      <c r="D57" s="4">
        <v>9.4E-2</v>
      </c>
      <c r="E57" s="5" t="e">
        <f>VLOOKUP(A57,N$3:S$1271,4,FALSE)</f>
        <v>#N/A</v>
      </c>
      <c r="F57" s="6">
        <f t="shared" si="0"/>
        <v>9.4E-2</v>
      </c>
      <c r="G57" s="7">
        <f>VLOOKUP(A57,[1]Sheet!B$3:G$2921,5,0)</f>
        <v>37333.589999999997</v>
      </c>
      <c r="H57" s="5" t="e">
        <f>VLOOKUP(A57,N$3:S$1271,5,FALSE)</f>
        <v>#N/A</v>
      </c>
      <c r="I57" s="6">
        <f t="shared" si="1"/>
        <v>37333.589999999997</v>
      </c>
      <c r="J57" s="7">
        <f>VLOOKUP(A57,[1]Sheet!B$3:G$2921,6,0)</f>
        <v>3509.36</v>
      </c>
      <c r="K57" s="8" t="e">
        <f t="shared" si="2"/>
        <v>#N/A</v>
      </c>
      <c r="L57" s="6">
        <f t="shared" si="3"/>
        <v>3509.36</v>
      </c>
    </row>
    <row r="58" spans="1:12" x14ac:dyDescent="0.25">
      <c r="A58" s="9" t="s">
        <v>57</v>
      </c>
      <c r="B58" s="2" t="str">
        <f>VLOOKUP(A58,[1]Sheet!B$3:G$2921,2,0)</f>
        <v>Кабель силовий с мідними жилами з
подвійною ПВХ ізоляцією, ПВСнг-нд-0,66
перерізом 4х0,75 мм2 "Мастер - А"</v>
      </c>
      <c r="C58" s="3" t="str">
        <f>VLOOKUP(A58,[1]Sheet!B$3:G$2921,3,0)</f>
        <v>1000м</v>
      </c>
      <c r="D58" s="4">
        <v>2.6000000000000002E-2</v>
      </c>
      <c r="E58" s="5" t="e">
        <f>VLOOKUP(A58,N$3:S$1271,4,FALSE)</f>
        <v>#N/A</v>
      </c>
      <c r="F58" s="6">
        <f t="shared" si="0"/>
        <v>2.6000000000000002E-2</v>
      </c>
      <c r="G58" s="7">
        <f>VLOOKUP(A58,[1]Sheet!B$3:G$2921,5,0)</f>
        <v>11273.59</v>
      </c>
      <c r="H58" s="5" t="e">
        <f>VLOOKUP(A58,N$3:S$1271,5,FALSE)</f>
        <v>#N/A</v>
      </c>
      <c r="I58" s="6">
        <f t="shared" si="1"/>
        <v>11273.59</v>
      </c>
      <c r="J58" s="7">
        <f>VLOOKUP(A58,[1]Sheet!B$3:G$2921,6,0)</f>
        <v>293.11</v>
      </c>
      <c r="K58" s="8" t="e">
        <f t="shared" si="2"/>
        <v>#N/A</v>
      </c>
      <c r="L58" s="6">
        <f t="shared" si="3"/>
        <v>293.11</v>
      </c>
    </row>
    <row r="59" spans="1:12" x14ac:dyDescent="0.25">
      <c r="A59" s="9" t="s">
        <v>58</v>
      </c>
      <c r="B59" s="2" t="str">
        <f>VLOOKUP(A59,[1]Sheet!B$3:G$2921,2,0)</f>
        <v>Провiд перерiзом 4.1,5мм2, ПВСнг</v>
      </c>
      <c r="C59" s="3" t="str">
        <f>VLOOKUP(A59,[1]Sheet!B$3:G$2921,3,0)</f>
        <v>1000м</v>
      </c>
      <c r="D59" s="4">
        <v>7.4999999999999997E-2</v>
      </c>
      <c r="E59" s="5" t="e">
        <f>VLOOKUP(A59,N$3:S$1271,4,FALSE)</f>
        <v>#N/A</v>
      </c>
      <c r="F59" s="6">
        <f t="shared" si="0"/>
        <v>7.4999999999999997E-2</v>
      </c>
      <c r="G59" s="7">
        <f>VLOOKUP(A59,[1]Sheet!B$3:G$2921,5,0)</f>
        <v>48871.22</v>
      </c>
      <c r="H59" s="5" t="e">
        <f>VLOOKUP(A59,N$3:S$1271,5,FALSE)</f>
        <v>#N/A</v>
      </c>
      <c r="I59" s="6">
        <f t="shared" si="1"/>
        <v>48871.22</v>
      </c>
      <c r="J59" s="7">
        <f>VLOOKUP(A59,[1]Sheet!B$3:G$2921,6,0)</f>
        <v>3665.34</v>
      </c>
      <c r="K59" s="8" t="e">
        <f t="shared" si="2"/>
        <v>#N/A</v>
      </c>
      <c r="L59" s="6">
        <f t="shared" si="3"/>
        <v>3665.34</v>
      </c>
    </row>
    <row r="60" spans="1:12" x14ac:dyDescent="0.25">
      <c r="A60" s="9" t="s">
        <v>59</v>
      </c>
      <c r="B60" s="2" t="str">
        <f>VLOOKUP(A60,[1]Sheet!B$3:G$2921,2,0)</f>
        <v>Провiд перерiзом 5.4мм2 ПВСнг</v>
      </c>
      <c r="C60" s="3" t="str">
        <f>VLOOKUP(A60,[1]Sheet!B$3:G$2921,3,0)</f>
        <v>1000м</v>
      </c>
      <c r="D60" s="4">
        <v>3.0000000000000001E-3</v>
      </c>
      <c r="E60" s="5" t="e">
        <f>VLOOKUP(A60,N$3:S$1271,4,FALSE)</f>
        <v>#N/A</v>
      </c>
      <c r="F60" s="6">
        <f t="shared" si="0"/>
        <v>3.0000000000000001E-3</v>
      </c>
      <c r="G60" s="7">
        <f>VLOOKUP(A60,[1]Sheet!B$3:G$2921,5,0)</f>
        <v>156160.74</v>
      </c>
      <c r="H60" s="5" t="e">
        <f>VLOOKUP(A60,N$3:S$1271,5,FALSE)</f>
        <v>#N/A</v>
      </c>
      <c r="I60" s="6">
        <f t="shared" si="1"/>
        <v>156160.74</v>
      </c>
      <c r="J60" s="7">
        <f>VLOOKUP(A60,[1]Sheet!B$3:G$2921,6,0)</f>
        <v>468.48</v>
      </c>
      <c r="K60" s="8" t="e">
        <f t="shared" si="2"/>
        <v>#N/A</v>
      </c>
      <c r="L60" s="6">
        <f t="shared" si="3"/>
        <v>468.48</v>
      </c>
    </row>
    <row r="61" spans="1:12" x14ac:dyDescent="0.25">
      <c r="A61" s="9" t="s">
        <v>60</v>
      </c>
      <c r="B61" s="2" t="str">
        <f>VLOOKUP(A61,[1]Sheet!B$3:G$2921,2,0)</f>
        <v>Кабель контрольний з мідними жилами, з
ПХВ ізоляціею і оболонкою, що не
підтримує горіння, перерiзом 4х1мм2 КВВГнг</v>
      </c>
      <c r="C61" s="3" t="str">
        <f>VLOOKUP(A61,[1]Sheet!B$3:G$2921,3,0)</f>
        <v>1000м</v>
      </c>
      <c r="D61" s="4">
        <v>0.05</v>
      </c>
      <c r="E61" s="5" t="e">
        <f>VLOOKUP(A61,N$3:S$1271,4,FALSE)</f>
        <v>#N/A</v>
      </c>
      <c r="F61" s="6">
        <f t="shared" si="0"/>
        <v>0.05</v>
      </c>
      <c r="G61" s="7">
        <f>VLOOKUP(A61,[1]Sheet!B$3:G$2921,5,0)</f>
        <v>16872.47</v>
      </c>
      <c r="H61" s="5" t="e">
        <f>VLOOKUP(A61,N$3:S$1271,5,FALSE)</f>
        <v>#N/A</v>
      </c>
      <c r="I61" s="6">
        <f t="shared" si="1"/>
        <v>16872.47</v>
      </c>
      <c r="J61" s="7">
        <f>VLOOKUP(A61,[1]Sheet!B$3:G$2921,6,0)</f>
        <v>843.62</v>
      </c>
      <c r="K61" s="8" t="e">
        <f t="shared" si="2"/>
        <v>#N/A</v>
      </c>
      <c r="L61" s="6">
        <f t="shared" si="3"/>
        <v>843.62</v>
      </c>
    </row>
    <row r="62" spans="1:12" x14ac:dyDescent="0.25">
      <c r="A62" s="9" t="s">
        <v>61</v>
      </c>
      <c r="B62" s="2" t="str">
        <f>VLOOKUP(A62,[1]Sheet!B$3:G$2921,2,0)</f>
        <v>Кабель перерiзом 5.1,5мм2 КВВГ</v>
      </c>
      <c r="C62" s="3" t="str">
        <f>VLOOKUP(A62,[1]Sheet!B$3:G$2921,3,0)</f>
        <v>1000м</v>
      </c>
      <c r="D62" s="4">
        <v>3.0000000000000001E-3</v>
      </c>
      <c r="E62" s="5" t="e">
        <f>VLOOKUP(A62,N$3:S$1271,4,FALSE)</f>
        <v>#N/A</v>
      </c>
      <c r="F62" s="6">
        <f t="shared" si="0"/>
        <v>3.0000000000000001E-3</v>
      </c>
      <c r="G62" s="7">
        <f>VLOOKUP(A62,[1]Sheet!B$3:G$2921,5,0)</f>
        <v>38289.26</v>
      </c>
      <c r="H62" s="5" t="e">
        <f>VLOOKUP(A62,N$3:S$1271,5,FALSE)</f>
        <v>#N/A</v>
      </c>
      <c r="I62" s="6">
        <f t="shared" si="1"/>
        <v>38289.26</v>
      </c>
      <c r="J62" s="7">
        <f>VLOOKUP(A62,[1]Sheet!B$3:G$2921,6,0)</f>
        <v>57.43</v>
      </c>
      <c r="K62" s="8" t="e">
        <f t="shared" si="2"/>
        <v>#N/A</v>
      </c>
      <c r="L62" s="6">
        <f t="shared" si="3"/>
        <v>57.43</v>
      </c>
    </row>
    <row r="63" spans="1:12" x14ac:dyDescent="0.25">
      <c r="A63" s="9" t="s">
        <v>62</v>
      </c>
      <c r="B63" s="2" t="str">
        <f>VLOOKUP(A63,[1]Sheet!B$3:G$2921,2,0)</f>
        <v>Кабель перерiзом 7.1,5мм2 КВВГ</v>
      </c>
      <c r="C63" s="3" t="str">
        <f>VLOOKUP(A63,[1]Sheet!B$3:G$2921,3,0)</f>
        <v>1000м</v>
      </c>
      <c r="D63" s="4">
        <v>3.0000000000000001E-3</v>
      </c>
      <c r="E63" s="5" t="e">
        <f>VLOOKUP(A63,N$3:S$1271,4,FALSE)</f>
        <v>#N/A</v>
      </c>
      <c r="F63" s="6">
        <f t="shared" si="0"/>
        <v>3.0000000000000001E-3</v>
      </c>
      <c r="G63" s="7">
        <f>VLOOKUP(A63,[1]Sheet!B$3:G$2921,5,0)</f>
        <v>52164.33</v>
      </c>
      <c r="H63" s="5" t="e">
        <f>VLOOKUP(A63,N$3:S$1271,5,FALSE)</f>
        <v>#N/A</v>
      </c>
      <c r="I63" s="6">
        <f t="shared" si="1"/>
        <v>52164.33</v>
      </c>
      <c r="J63" s="7">
        <f>VLOOKUP(A63,[1]Sheet!B$3:G$2921,6,0)</f>
        <v>78.25</v>
      </c>
      <c r="K63" s="8" t="e">
        <f t="shared" si="2"/>
        <v>#N/A</v>
      </c>
      <c r="L63" s="6">
        <f t="shared" si="3"/>
        <v>78.25</v>
      </c>
    </row>
    <row r="64" spans="1:12" x14ac:dyDescent="0.25">
      <c r="A64" s="9" t="s">
        <v>63</v>
      </c>
      <c r="B64" s="2" t="str">
        <f>VLOOKUP(A64,[1]Sheet!B$3:G$2921,2,0)</f>
        <v>Резистор 2,2 Ом 10Вт</v>
      </c>
      <c r="C64" s="3" t="str">
        <f>VLOOKUP(A64,[1]Sheet!B$3:G$2921,3,0)</f>
        <v>шт</v>
      </c>
      <c r="D64" s="4">
        <v>1</v>
      </c>
      <c r="E64" s="5" t="e">
        <f>VLOOKUP(A64,N$3:S$1271,4,FALSE)</f>
        <v>#N/A</v>
      </c>
      <c r="F64" s="6">
        <f t="shared" si="0"/>
        <v>1</v>
      </c>
      <c r="G64" s="7">
        <f>VLOOKUP(A64,[1]Sheet!B$3:G$2921,5,0)</f>
        <v>7.17</v>
      </c>
      <c r="H64" s="5" t="e">
        <f>VLOOKUP(A64,N$3:S$1271,5,FALSE)</f>
        <v>#N/A</v>
      </c>
      <c r="I64" s="6">
        <f t="shared" si="1"/>
        <v>7.17</v>
      </c>
      <c r="J64" s="7">
        <f>VLOOKUP(A64,[1]Sheet!B$3:G$2921,6,0)</f>
        <v>7.17</v>
      </c>
      <c r="K64" s="8" t="e">
        <f t="shared" si="2"/>
        <v>#N/A</v>
      </c>
      <c r="L64" s="6">
        <f t="shared" si="3"/>
        <v>7.17</v>
      </c>
    </row>
    <row r="65" spans="1:12" x14ac:dyDescent="0.25">
      <c r="A65" s="9" t="s">
        <v>64</v>
      </c>
      <c r="B65" s="2" t="str">
        <f>VLOOKUP(A65,[1]Sheet!B$3:G$2921,2,0)</f>
        <v>Щит насоса підігрівача, що складається зі
ящика електромонтажного навісного із
монтажною панелею, габарит 300х250х150,
IP55 (09602)</v>
      </c>
      <c r="C65" s="3" t="str">
        <f>VLOOKUP(A65,[1]Sheet!B$3:G$2921,3,0)</f>
        <v>шт</v>
      </c>
      <c r="D65" s="4">
        <v>1</v>
      </c>
      <c r="E65" s="5" t="e">
        <f>VLOOKUP(A65,N$3:S$1271,4,FALSE)</f>
        <v>#N/A</v>
      </c>
      <c r="F65" s="6">
        <f t="shared" si="0"/>
        <v>1</v>
      </c>
      <c r="G65" s="7">
        <f>VLOOKUP(A65,[1]Sheet!B$3:G$2921,5,0)</f>
        <v>420.93</v>
      </c>
      <c r="H65" s="5" t="e">
        <f>VLOOKUP(A65,N$3:S$1271,5,FALSE)</f>
        <v>#N/A</v>
      </c>
      <c r="I65" s="6">
        <f t="shared" si="1"/>
        <v>420.93</v>
      </c>
      <c r="J65" s="7">
        <f>VLOOKUP(A65,[1]Sheet!B$3:G$2921,6,0)</f>
        <v>420.93</v>
      </c>
      <c r="K65" s="8" t="e">
        <f t="shared" si="2"/>
        <v>#N/A</v>
      </c>
      <c r="L65" s="6">
        <f t="shared" si="3"/>
        <v>420.93</v>
      </c>
    </row>
    <row r="66" spans="1:12" x14ac:dyDescent="0.25">
      <c r="A66" s="9" t="s">
        <v>65</v>
      </c>
      <c r="B66" s="2" t="str">
        <f>VLOOKUP(A66,[1]Sheet!B$3:G$2921,2,0)</f>
        <v>Щит автоматизаціі, що складається зі щита
навісного із монтажною панелею, габарит
650х500х220, IP54 ЩМП-3-0 74 УХЛЗ "IEK"</v>
      </c>
      <c r="C66" s="3" t="str">
        <f>VLOOKUP(A66,[1]Sheet!B$3:G$2921,3,0)</f>
        <v>шт</v>
      </c>
      <c r="D66" s="4">
        <v>1</v>
      </c>
      <c r="E66" s="5" t="e">
        <f>VLOOKUP(A66,N$3:S$1271,4,FALSE)</f>
        <v>#N/A</v>
      </c>
      <c r="F66" s="6">
        <f t="shared" ref="F66:F129" si="4">IFERROR(D66-E66,D66)</f>
        <v>1</v>
      </c>
      <c r="G66" s="7">
        <f>VLOOKUP(A66,[1]Sheet!B$3:G$2921,5,0)</f>
        <v>2370.9699999999998</v>
      </c>
      <c r="H66" s="5" t="e">
        <f>VLOOKUP(A66,N$3:S$1271,5,FALSE)</f>
        <v>#N/A</v>
      </c>
      <c r="I66" s="6">
        <f t="shared" ref="I66:I129" si="5">IFERROR(G66-H66,G66)</f>
        <v>2370.9699999999998</v>
      </c>
      <c r="J66" s="7">
        <f>VLOOKUP(A66,[1]Sheet!B$3:G$2921,6,0)</f>
        <v>2370.9699999999998</v>
      </c>
      <c r="K66" s="8" t="e">
        <f t="shared" ref="K66:K129" si="6">VLOOKUP(A66,N$3:S$1271,6,FALSE)</f>
        <v>#N/A</v>
      </c>
      <c r="L66" s="6">
        <f t="shared" ref="L66:L129" si="7">IFERROR(J66-K66,J66)</f>
        <v>2370.9699999999998</v>
      </c>
    </row>
    <row r="67" spans="1:12" x14ac:dyDescent="0.25">
      <c r="A67" s="9" t="s">
        <v>66</v>
      </c>
      <c r="B67" s="2" t="str">
        <f>VLOOKUP(A67,[1]Sheet!B$3:G$2921,2,0)</f>
        <v>Корпус модульний пластиковий на 13
модулів в 1 ряд, ступінь захисту ІР 55
навесний КМПн 2/13 ІР 55</v>
      </c>
      <c r="C67" s="3" t="str">
        <f>VLOOKUP(A67,[1]Sheet!B$3:G$2921,3,0)</f>
        <v>шт</v>
      </c>
      <c r="D67" s="4">
        <v>2</v>
      </c>
      <c r="E67" s="5" t="e">
        <f>VLOOKUP(A67,N$3:S$1271,4,FALSE)</f>
        <v>#N/A</v>
      </c>
      <c r="F67" s="6">
        <f t="shared" si="4"/>
        <v>2</v>
      </c>
      <c r="G67" s="7">
        <f>VLOOKUP(A67,[1]Sheet!B$3:G$2921,5,0)</f>
        <v>531.86</v>
      </c>
      <c r="H67" s="5" t="e">
        <f>VLOOKUP(A67,N$3:S$1271,5,FALSE)</f>
        <v>#N/A</v>
      </c>
      <c r="I67" s="6">
        <f t="shared" si="5"/>
        <v>531.86</v>
      </c>
      <c r="J67" s="7">
        <f>VLOOKUP(A67,[1]Sheet!B$3:G$2921,6,0)</f>
        <v>531.86</v>
      </c>
      <c r="K67" s="8" t="e">
        <f t="shared" si="6"/>
        <v>#N/A</v>
      </c>
      <c r="L67" s="6">
        <f t="shared" si="7"/>
        <v>531.86</v>
      </c>
    </row>
    <row r="68" spans="1:12" x14ac:dyDescent="0.25">
      <c r="A68" s="9" t="s">
        <v>67</v>
      </c>
      <c r="B68" s="2" t="str">
        <f>VLOOKUP(A68,[1]Sheet!B$3:G$2921,2,0)</f>
        <v>Дзвiнок гучного бою ЗВЛП-220 В</v>
      </c>
      <c r="C68" s="3" t="str">
        <f>VLOOKUP(A68,[1]Sheet!B$3:G$2921,3,0)</f>
        <v>шт</v>
      </c>
      <c r="D68" s="4">
        <v>2</v>
      </c>
      <c r="E68" s="5" t="e">
        <f>VLOOKUP(A68,N$3:S$1271,4,FALSE)</f>
        <v>#N/A</v>
      </c>
      <c r="F68" s="6">
        <f t="shared" si="4"/>
        <v>2</v>
      </c>
      <c r="G68" s="7">
        <f>VLOOKUP(A68,[1]Sheet!B$3:G$2921,5,0)</f>
        <v>472.24</v>
      </c>
      <c r="H68" s="5" t="e">
        <f>VLOOKUP(A68,N$3:S$1271,5,FALSE)</f>
        <v>#N/A</v>
      </c>
      <c r="I68" s="6">
        <f t="shared" si="5"/>
        <v>472.24</v>
      </c>
      <c r="J68" s="7">
        <f>VLOOKUP(A68,[1]Sheet!B$3:G$2921,6,0)</f>
        <v>472.24</v>
      </c>
      <c r="K68" s="8" t="e">
        <f t="shared" si="6"/>
        <v>#N/A</v>
      </c>
      <c r="L68" s="6">
        <f t="shared" si="7"/>
        <v>472.24</v>
      </c>
    </row>
    <row r="69" spans="1:12" x14ac:dyDescent="0.25">
      <c r="A69" s="9" t="s">
        <v>68</v>
      </c>
      <c r="B69" s="2" t="str">
        <f>VLOOKUP(A69,[1]Sheet!B$3:G$2921,2,0)</f>
        <v>Термоманометр, що показує межі виміру
0...120град С і 0...0,4МПа, діаметр корпусу
80мм, з автоматичним блокуючим клапаном,
штуцер    вісьовий, кл. т. 2,5 ДМТ-
В/0...120град С; 0...0,4МПа /2,5</v>
      </c>
      <c r="C69" s="3" t="str">
        <f>VLOOKUP(A69,[1]Sheet!B$3:G$2921,3,0)</f>
        <v>шт</v>
      </c>
      <c r="D69" s="4">
        <v>13</v>
      </c>
      <c r="E69" s="5" t="e">
        <f>VLOOKUP(A69,N$3:S$1271,4,FALSE)</f>
        <v>#N/A</v>
      </c>
      <c r="F69" s="6">
        <f t="shared" si="4"/>
        <v>13</v>
      </c>
      <c r="G69" s="7">
        <f>VLOOKUP(A69,[1]Sheet!B$3:G$2921,5,0)</f>
        <v>501.91</v>
      </c>
      <c r="H69" s="5" t="e">
        <f>VLOOKUP(A69,N$3:S$1271,5,FALSE)</f>
        <v>#N/A</v>
      </c>
      <c r="I69" s="6">
        <f t="shared" si="5"/>
        <v>501.91</v>
      </c>
      <c r="J69" s="7">
        <f>VLOOKUP(A69,[1]Sheet!B$3:G$2921,6,0)</f>
        <v>6524.83</v>
      </c>
      <c r="K69" s="8" t="e">
        <f t="shared" si="6"/>
        <v>#N/A</v>
      </c>
      <c r="L69" s="6">
        <f t="shared" si="7"/>
        <v>6524.83</v>
      </c>
    </row>
    <row r="70" spans="1:12" x14ac:dyDescent="0.25">
      <c r="A70" s="9" t="s">
        <v>69</v>
      </c>
      <c r="B70" s="2" t="str">
        <f>VLOOKUP(A70,[1]Sheet!B$3:G$2921,2,0)</f>
        <v>Реле тиску, -0,2/8 Бар, В12CN</v>
      </c>
      <c r="C70" s="3" t="str">
        <f>VLOOKUP(A70,[1]Sheet!B$3:G$2921,3,0)</f>
        <v>шт</v>
      </c>
      <c r="D70" s="4">
        <v>8</v>
      </c>
      <c r="E70" s="5" t="e">
        <f>VLOOKUP(A70,N$3:S$1271,4,FALSE)</f>
        <v>#N/A</v>
      </c>
      <c r="F70" s="6">
        <f t="shared" si="4"/>
        <v>8</v>
      </c>
      <c r="G70" s="7">
        <f>VLOOKUP(A70,[1]Sheet!B$3:G$2921,5,0)</f>
        <v>2154.37</v>
      </c>
      <c r="H70" s="5" t="e">
        <f>VLOOKUP(A70,N$3:S$1271,5,FALSE)</f>
        <v>#N/A</v>
      </c>
      <c r="I70" s="6">
        <f t="shared" si="5"/>
        <v>2154.37</v>
      </c>
      <c r="J70" s="7">
        <f>VLOOKUP(A70,[1]Sheet!B$3:G$2921,6,0)</f>
        <v>17234.96</v>
      </c>
      <c r="K70" s="8" t="e">
        <f t="shared" si="6"/>
        <v>#N/A</v>
      </c>
      <c r="L70" s="6">
        <f t="shared" si="7"/>
        <v>17234.96</v>
      </c>
    </row>
    <row r="71" spans="1:12" x14ac:dyDescent="0.25">
      <c r="A71" s="9" t="s">
        <v>70</v>
      </c>
      <c r="B71" s="2" t="str">
        <f>VLOOKUP(A71,[1]Sheet!B$3:G$2921,2,0)</f>
        <v>Автоматичний регулятор перепаду тиску Р =
5...30 кПа, середовище - вода t =65 С, з
нипельною трубкою, ду=15, 1 4002 4Х
"ГЕРЦ"</v>
      </c>
      <c r="C71" s="3" t="str">
        <f>VLOOKUP(A71,[1]Sheet!B$3:G$2921,3,0)</f>
        <v>шт</v>
      </c>
      <c r="D71" s="4">
        <v>4</v>
      </c>
      <c r="E71" s="5" t="e">
        <f>VLOOKUP(A71,N$3:S$1271,4,FALSE)</f>
        <v>#N/A</v>
      </c>
      <c r="F71" s="6">
        <f t="shared" si="4"/>
        <v>4</v>
      </c>
      <c r="G71" s="7">
        <f>VLOOKUP(A71,[1]Sheet!B$3:G$2921,5,0)</f>
        <v>2448.9299999999998</v>
      </c>
      <c r="H71" s="5" t="e">
        <f>VLOOKUP(A71,N$3:S$1271,5,FALSE)</f>
        <v>#N/A</v>
      </c>
      <c r="I71" s="6">
        <f t="shared" si="5"/>
        <v>2448.9299999999998</v>
      </c>
      <c r="J71" s="7">
        <f>VLOOKUP(A71,[1]Sheet!B$3:G$2921,6,0)</f>
        <v>4897.8599999999997</v>
      </c>
      <c r="K71" s="8" t="e">
        <f t="shared" si="6"/>
        <v>#N/A</v>
      </c>
      <c r="L71" s="6">
        <f t="shared" si="7"/>
        <v>4897.8599999999997</v>
      </c>
    </row>
    <row r="72" spans="1:12" x14ac:dyDescent="0.25">
      <c r="A72" s="9" t="s">
        <v>71</v>
      </c>
      <c r="B72" s="2" t="str">
        <f>VLOOKUP(A72,[1]Sheet!B$3:G$2921,2,0)</f>
        <v>Електронний кімнатний термостат,
+5...+30_С С48</v>
      </c>
      <c r="C72" s="3" t="str">
        <f>VLOOKUP(A72,[1]Sheet!B$3:G$2921,3,0)</f>
        <v>шт</v>
      </c>
      <c r="D72" s="4">
        <v>1</v>
      </c>
      <c r="E72" s="5" t="e">
        <f>VLOOKUP(A72,N$3:S$1271,4,FALSE)</f>
        <v>#N/A</v>
      </c>
      <c r="F72" s="6">
        <f t="shared" si="4"/>
        <v>1</v>
      </c>
      <c r="G72" s="7">
        <f>VLOOKUP(A72,[1]Sheet!B$3:G$2921,5,0)</f>
        <v>2781.69</v>
      </c>
      <c r="H72" s="5" t="e">
        <f>VLOOKUP(A72,N$3:S$1271,5,FALSE)</f>
        <v>#N/A</v>
      </c>
      <c r="I72" s="6">
        <f t="shared" si="5"/>
        <v>2781.69</v>
      </c>
      <c r="J72" s="7">
        <f>VLOOKUP(A72,[1]Sheet!B$3:G$2921,6,0)</f>
        <v>2781.69</v>
      </c>
      <c r="K72" s="8" t="e">
        <f t="shared" si="6"/>
        <v>#N/A</v>
      </c>
      <c r="L72" s="6">
        <f t="shared" si="7"/>
        <v>2781.69</v>
      </c>
    </row>
    <row r="73" spans="1:12" x14ac:dyDescent="0.25">
      <c r="A73" s="9" t="s">
        <v>72</v>
      </c>
      <c r="B73" s="2" t="str">
        <f>VLOOKUP(A73,[1]Sheet!B$3:G$2921,2,0)</f>
        <v>Термостат занурювальний, +10...+90_С
С03А2</v>
      </c>
      <c r="C73" s="3" t="str">
        <f>VLOOKUP(A73,[1]Sheet!B$3:G$2921,3,0)</f>
        <v>шт</v>
      </c>
      <c r="D73" s="4">
        <v>1</v>
      </c>
      <c r="E73" s="5" t="e">
        <f>VLOOKUP(A73,N$3:S$1271,4,FALSE)</f>
        <v>#N/A</v>
      </c>
      <c r="F73" s="6">
        <f t="shared" si="4"/>
        <v>1</v>
      </c>
      <c r="G73" s="7">
        <f>VLOOKUP(A73,[1]Sheet!B$3:G$2921,5,0)</f>
        <v>1332.15</v>
      </c>
      <c r="H73" s="5" t="e">
        <f>VLOOKUP(A73,N$3:S$1271,5,FALSE)</f>
        <v>#N/A</v>
      </c>
      <c r="I73" s="6">
        <f t="shared" si="5"/>
        <v>1332.15</v>
      </c>
      <c r="J73" s="7">
        <f>VLOOKUP(A73,[1]Sheet!B$3:G$2921,6,0)</f>
        <v>1332.15</v>
      </c>
      <c r="K73" s="8" t="e">
        <f t="shared" si="6"/>
        <v>#N/A</v>
      </c>
      <c r="L73" s="6">
        <f t="shared" si="7"/>
        <v>1332.15</v>
      </c>
    </row>
    <row r="74" spans="1:12" x14ac:dyDescent="0.25">
      <c r="A74" s="9" t="s">
        <v>73</v>
      </c>
      <c r="B74" s="2" t="str">
        <f>VLOOKUP(A74,[1]Sheet!B$3:G$2921,2,0)</f>
        <v>Трифазний електронний лiчильник  активної
і реактивної електроенергії, прямого
включення, напругою 220/380 В, струм     
5(100) А,    клас точності 1, багатотарифний
НІК 2303 АРП1 11000 МС</v>
      </c>
      <c r="C74" s="3" t="str">
        <f>VLOOKUP(A74,[1]Sheet!B$3:G$2921,3,0)</f>
        <v>шт</v>
      </c>
      <c r="D74" s="4">
        <v>1</v>
      </c>
      <c r="E74" s="5" t="e">
        <f>VLOOKUP(A74,N$3:S$1271,4,FALSE)</f>
        <v>#N/A</v>
      </c>
      <c r="F74" s="6">
        <f t="shared" si="4"/>
        <v>1</v>
      </c>
      <c r="G74" s="7">
        <f>VLOOKUP(A74,[1]Sheet!B$3:G$2921,5,0)</f>
        <v>2137.5</v>
      </c>
      <c r="H74" s="5" t="e">
        <f>VLOOKUP(A74,N$3:S$1271,5,FALSE)</f>
        <v>#N/A</v>
      </c>
      <c r="I74" s="6">
        <f t="shared" si="5"/>
        <v>2137.5</v>
      </c>
      <c r="J74" s="7">
        <f>VLOOKUP(A74,[1]Sheet!B$3:G$2921,6,0)</f>
        <v>2137.5</v>
      </c>
      <c r="K74" s="8" t="e">
        <f t="shared" si="6"/>
        <v>#N/A</v>
      </c>
      <c r="L74" s="6">
        <f t="shared" si="7"/>
        <v>2137.5</v>
      </c>
    </row>
    <row r="75" spans="1:12" x14ac:dyDescent="0.25">
      <c r="A75" s="9" t="s">
        <v>74</v>
      </c>
      <c r="B75" s="2" t="str">
        <f>VLOOKUP(A75,[1]Sheet!B$3:G$2921,2,0)</f>
        <v>Датчик температури зовнішнього повітря
AF20</v>
      </c>
      <c r="C75" s="3" t="str">
        <f>VLOOKUP(A75,[1]Sheet!B$3:G$2921,3,0)</f>
        <v>шт</v>
      </c>
      <c r="D75" s="4">
        <v>4</v>
      </c>
      <c r="E75" s="5" t="e">
        <f>VLOOKUP(A75,N$3:S$1271,4,FALSE)</f>
        <v>#N/A</v>
      </c>
      <c r="F75" s="6">
        <f t="shared" si="4"/>
        <v>4</v>
      </c>
      <c r="G75" s="7">
        <f>VLOOKUP(A75,[1]Sheet!B$3:G$2921,5,0)</f>
        <v>629.38</v>
      </c>
      <c r="H75" s="5" t="e">
        <f>VLOOKUP(A75,N$3:S$1271,5,FALSE)</f>
        <v>#N/A</v>
      </c>
      <c r="I75" s="6">
        <f t="shared" si="5"/>
        <v>629.38</v>
      </c>
      <c r="J75" s="7">
        <f>VLOOKUP(A75,[1]Sheet!B$3:G$2921,6,0)</f>
        <v>629.38</v>
      </c>
      <c r="K75" s="8" t="e">
        <f t="shared" si="6"/>
        <v>#N/A</v>
      </c>
      <c r="L75" s="6">
        <f t="shared" si="7"/>
        <v>629.38</v>
      </c>
    </row>
    <row r="76" spans="1:12" x14ac:dyDescent="0.25">
      <c r="A76" s="9" t="s">
        <v>75</v>
      </c>
      <c r="B76" s="2" t="str">
        <f>VLOOKUP(A76,[1]Sheet!B$3:G$2921,2,0)</f>
        <v>Манометр, що показує, верхня межа виміру
0,4МПа, штуцер радіальний МП3-У-4</v>
      </c>
      <c r="C76" s="3" t="str">
        <f>VLOOKUP(A76,[1]Sheet!B$3:G$2921,3,0)</f>
        <v>шт</v>
      </c>
      <c r="D76" s="4">
        <v>7</v>
      </c>
      <c r="E76" s="5" t="e">
        <f>VLOOKUP(A76,N$3:S$1271,4,FALSE)</f>
        <v>#N/A</v>
      </c>
      <c r="F76" s="6">
        <f t="shared" si="4"/>
        <v>7</v>
      </c>
      <c r="G76" s="7">
        <f>VLOOKUP(A76,[1]Sheet!B$3:G$2921,5,0)</f>
        <v>257.85000000000002</v>
      </c>
      <c r="H76" s="5" t="e">
        <f>VLOOKUP(A76,N$3:S$1271,5,FALSE)</f>
        <v>#N/A</v>
      </c>
      <c r="I76" s="6">
        <f t="shared" si="5"/>
        <v>257.85000000000002</v>
      </c>
      <c r="J76" s="7">
        <f>VLOOKUP(A76,[1]Sheet!B$3:G$2921,6,0)</f>
        <v>1804.95</v>
      </c>
      <c r="K76" s="8" t="e">
        <f t="shared" si="6"/>
        <v>#N/A</v>
      </c>
      <c r="L76" s="6">
        <f t="shared" si="7"/>
        <v>1804.95</v>
      </c>
    </row>
    <row r="77" spans="1:12" x14ac:dyDescent="0.25">
      <c r="A77" s="9" t="s">
        <v>76</v>
      </c>
      <c r="B77" s="2" t="str">
        <f>VLOOKUP(A77,[1]Sheet!B$3:G$2921,2,0)</f>
        <v>Клапан змішувальний триходовий
регулювальний VRG3 діам.20 мм, Кvs=6,3
м3/ч ф. "Danfoss" з електроприводом
AMV435</v>
      </c>
      <c r="C77" s="3" t="str">
        <f>VLOOKUP(A77,[1]Sheet!B$3:G$2921,3,0)</f>
        <v>шт</v>
      </c>
      <c r="D77" s="4">
        <v>3</v>
      </c>
      <c r="E77" s="5" t="e">
        <f>VLOOKUP(A77,N$3:S$1271,4,FALSE)</f>
        <v>#N/A</v>
      </c>
      <c r="F77" s="6">
        <f t="shared" si="4"/>
        <v>3</v>
      </c>
      <c r="G77" s="7">
        <f>VLOOKUP(A77,[1]Sheet!B$3:G$2921,5,0)</f>
        <v>6972.97</v>
      </c>
      <c r="H77" s="5" t="e">
        <f>VLOOKUP(A77,N$3:S$1271,5,FALSE)</f>
        <v>#N/A</v>
      </c>
      <c r="I77" s="6">
        <f t="shared" si="5"/>
        <v>6972.97</v>
      </c>
      <c r="J77" s="7">
        <f>VLOOKUP(A77,[1]Sheet!B$3:G$2921,6,0)</f>
        <v>6972.97</v>
      </c>
      <c r="K77" s="8" t="e">
        <f t="shared" si="6"/>
        <v>#N/A</v>
      </c>
      <c r="L77" s="6">
        <f t="shared" si="7"/>
        <v>6972.97</v>
      </c>
    </row>
    <row r="78" spans="1:12" x14ac:dyDescent="0.25">
      <c r="A78" s="9" t="s">
        <v>77</v>
      </c>
      <c r="B78" s="2" t="str">
        <f>VLOOKUP(A78,[1]Sheet!B$3:G$2921,2,0)</f>
        <v>Сповiщувач світлозвуковий внутрішній 220В
60Вт IP43 "Дуэт" С-06С-220</v>
      </c>
      <c r="C78" s="3" t="str">
        <f>VLOOKUP(A78,[1]Sheet!B$3:G$2921,3,0)</f>
        <v>шт</v>
      </c>
      <c r="D78" s="4">
        <v>1</v>
      </c>
      <c r="E78" s="5" t="e">
        <f>VLOOKUP(A78,N$3:S$1271,4,FALSE)</f>
        <v>#N/A</v>
      </c>
      <c r="F78" s="6">
        <f t="shared" si="4"/>
        <v>1</v>
      </c>
      <c r="G78" s="7">
        <f>VLOOKUP(A78,[1]Sheet!B$3:G$2921,5,0)</f>
        <v>278.07</v>
      </c>
      <c r="H78" s="5" t="e">
        <f>VLOOKUP(A78,N$3:S$1271,5,FALSE)</f>
        <v>#N/A</v>
      </c>
      <c r="I78" s="6">
        <f t="shared" si="5"/>
        <v>278.07</v>
      </c>
      <c r="J78" s="7">
        <f>VLOOKUP(A78,[1]Sheet!B$3:G$2921,6,0)</f>
        <v>278.07</v>
      </c>
      <c r="K78" s="8" t="e">
        <f t="shared" si="6"/>
        <v>#N/A</v>
      </c>
      <c r="L78" s="6">
        <f t="shared" si="7"/>
        <v>278.07</v>
      </c>
    </row>
    <row r="79" spans="1:12" x14ac:dyDescent="0.25">
      <c r="A79" s="9" t="s">
        <v>78</v>
      </c>
      <c r="B79" s="2" t="str">
        <f>VLOOKUP(A79,[1]Sheet!B$3:G$2921,2,0)</f>
        <v>Блок аварійного живлення БПА для
світлодіодних світильників</v>
      </c>
      <c r="C79" s="3" t="str">
        <f>VLOOKUP(A79,[1]Sheet!B$3:G$2921,3,0)</f>
        <v>шт</v>
      </c>
      <c r="D79" s="4">
        <v>11</v>
      </c>
      <c r="E79" s="5" t="e">
        <f>VLOOKUP(A79,N$3:S$1271,4,FALSE)</f>
        <v>#N/A</v>
      </c>
      <c r="F79" s="6">
        <f t="shared" si="4"/>
        <v>11</v>
      </c>
      <c r="G79" s="7">
        <f>VLOOKUP(A79,[1]Sheet!B$3:G$2921,5,0)</f>
        <v>956.34</v>
      </c>
      <c r="H79" s="5" t="e">
        <f>VLOOKUP(A79,N$3:S$1271,5,FALSE)</f>
        <v>#N/A</v>
      </c>
      <c r="I79" s="6">
        <f t="shared" si="5"/>
        <v>956.34</v>
      </c>
      <c r="J79" s="7">
        <f>VLOOKUP(A79,[1]Sheet!B$3:G$2921,6,0)</f>
        <v>10519.74</v>
      </c>
      <c r="K79" s="8" t="e">
        <f t="shared" si="6"/>
        <v>#N/A</v>
      </c>
      <c r="L79" s="6">
        <f t="shared" si="7"/>
        <v>10519.74</v>
      </c>
    </row>
    <row r="80" spans="1:12" x14ac:dyDescent="0.25">
      <c r="A80" s="9" t="s">
        <v>79</v>
      </c>
      <c r="B80" s="2" t="str">
        <f>VLOOKUP(A80,[1]Sheet!B$3:G$2921,2,0)</f>
        <v>Насос циркуляційний UPS 40-60/2F</v>
      </c>
      <c r="C80" s="3" t="str">
        <f>VLOOKUP(A80,[1]Sheet!B$3:G$2921,3,0)</f>
        <v>шт</v>
      </c>
      <c r="D80" s="4">
        <v>4</v>
      </c>
      <c r="E80" s="5" t="e">
        <f>VLOOKUP(A80,N$3:S$1271,4,FALSE)</f>
        <v>#N/A</v>
      </c>
      <c r="F80" s="6">
        <f t="shared" si="4"/>
        <v>4</v>
      </c>
      <c r="G80" s="7">
        <f>VLOOKUP(A80,[1]Sheet!B$3:G$2921,5,0)</f>
        <v>12427.19</v>
      </c>
      <c r="H80" s="5" t="e">
        <f>VLOOKUP(A80,N$3:S$1271,5,FALSE)</f>
        <v>#N/A</v>
      </c>
      <c r="I80" s="6">
        <f t="shared" si="5"/>
        <v>12427.19</v>
      </c>
      <c r="J80" s="7">
        <f>VLOOKUP(A80,[1]Sheet!B$3:G$2921,6,0)</f>
        <v>24854.38</v>
      </c>
      <c r="K80" s="8" t="e">
        <f t="shared" si="6"/>
        <v>#N/A</v>
      </c>
      <c r="L80" s="6">
        <f t="shared" si="7"/>
        <v>24854.38</v>
      </c>
    </row>
    <row r="81" spans="1:12" x14ac:dyDescent="0.25">
      <c r="A81" s="9" t="s">
        <v>80</v>
      </c>
      <c r="B81" s="2" t="str">
        <f>VLOOKUP(A81,[1]Sheet!B$3:G$2921,2,0)</f>
        <v>Насос системи опалення, G=0,26м3/год.,
H=4м, N=163Вт, U=230В MAGNA3 25-100</v>
      </c>
      <c r="C81" s="3" t="str">
        <f>VLOOKUP(A81,[1]Sheet!B$3:G$2921,3,0)</f>
        <v>шт</v>
      </c>
      <c r="D81" s="4">
        <v>6</v>
      </c>
      <c r="E81" s="5" t="e">
        <f>VLOOKUP(A81,N$3:S$1271,4,FALSE)</f>
        <v>#N/A</v>
      </c>
      <c r="F81" s="6">
        <f t="shared" si="4"/>
        <v>6</v>
      </c>
      <c r="G81" s="7">
        <f>VLOOKUP(A81,[1]Sheet!B$3:G$2921,5,0)</f>
        <v>19425.599999999999</v>
      </c>
      <c r="H81" s="5" t="e">
        <f>VLOOKUP(A81,N$3:S$1271,5,FALSE)</f>
        <v>#N/A</v>
      </c>
      <c r="I81" s="6">
        <f t="shared" si="5"/>
        <v>19425.599999999999</v>
      </c>
      <c r="J81" s="7">
        <f>VLOOKUP(A81,[1]Sheet!B$3:G$2921,6,0)</f>
        <v>38851.199999999997</v>
      </c>
      <c r="K81" s="8" t="e">
        <f t="shared" si="6"/>
        <v>#N/A</v>
      </c>
      <c r="L81" s="6">
        <f t="shared" si="7"/>
        <v>38851.199999999997</v>
      </c>
    </row>
    <row r="82" spans="1:12" x14ac:dyDescent="0.25">
      <c r="A82" s="9" t="s">
        <v>81</v>
      </c>
      <c r="B82" s="2" t="str">
        <f>VLOOKUP(A82,[1]Sheet!B$3:G$2921,2,0)</f>
        <v>Насос циркуляційний G=23м/год, H=7,2-8,7-
11,3м в. ст., N=1550Вт, U=400В, UPS 65-
180F "Grundfos"</v>
      </c>
      <c r="C82" s="3" t="str">
        <f>VLOOKUP(A82,[1]Sheet!B$3:G$2921,3,0)</f>
        <v>шт</v>
      </c>
      <c r="D82" s="4">
        <v>1</v>
      </c>
      <c r="E82" s="5" t="e">
        <f>VLOOKUP(A82,N$3:S$1271,4,FALSE)</f>
        <v>#N/A</v>
      </c>
      <c r="F82" s="6">
        <f t="shared" si="4"/>
        <v>1</v>
      </c>
      <c r="G82" s="7">
        <f>VLOOKUP(A82,[1]Sheet!B$3:G$2921,5,0)</f>
        <v>25104.74</v>
      </c>
      <c r="H82" s="5" t="e">
        <f>VLOOKUP(A82,N$3:S$1271,5,FALSE)</f>
        <v>#N/A</v>
      </c>
      <c r="I82" s="6">
        <f t="shared" si="5"/>
        <v>25104.74</v>
      </c>
      <c r="J82" s="7">
        <f>VLOOKUP(A82,[1]Sheet!B$3:G$2921,6,0)</f>
        <v>25104.74</v>
      </c>
      <c r="K82" s="8" t="e">
        <f t="shared" si="6"/>
        <v>#N/A</v>
      </c>
      <c r="L82" s="6">
        <f t="shared" si="7"/>
        <v>25104.74</v>
      </c>
    </row>
    <row r="83" spans="1:12" x14ac:dyDescent="0.25">
      <c r="A83" s="9" t="s">
        <v>82</v>
      </c>
      <c r="B83" s="2" t="str">
        <f>VLOOKUP(A83,[1]Sheet!B$3:G$2921,2,0)</f>
        <v>Компресорно-конденсаторний блок
PERSEUS 2.1.75 АСМ Україна</v>
      </c>
      <c r="C83" s="3" t="str">
        <f>VLOOKUP(A83,[1]Sheet!B$3:G$2921,3,0)</f>
        <v>шт</v>
      </c>
      <c r="D83" s="4">
        <v>1</v>
      </c>
      <c r="E83" s="5" t="e">
        <f>VLOOKUP(A83,N$3:S$1271,4,FALSE)</f>
        <v>#N/A</v>
      </c>
      <c r="F83" s="6">
        <f t="shared" si="4"/>
        <v>1</v>
      </c>
      <c r="G83" s="7">
        <f>VLOOKUP(A83,[1]Sheet!B$3:G$2921,5,0)</f>
        <v>453725.54</v>
      </c>
      <c r="H83" s="5" t="e">
        <f>VLOOKUP(A83,N$3:S$1271,5,FALSE)</f>
        <v>#N/A</v>
      </c>
      <c r="I83" s="6">
        <f t="shared" si="5"/>
        <v>453725.54</v>
      </c>
      <c r="J83" s="7">
        <f>VLOOKUP(A83,[1]Sheet!B$3:G$2921,6,0)</f>
        <v>453725.54</v>
      </c>
      <c r="K83" s="8" t="e">
        <f t="shared" si="6"/>
        <v>#N/A</v>
      </c>
      <c r="L83" s="6">
        <f t="shared" si="7"/>
        <v>453725.54</v>
      </c>
    </row>
    <row r="84" spans="1:12" x14ac:dyDescent="0.25">
      <c r="A84" s="9" t="s">
        <v>83</v>
      </c>
      <c r="B84" s="2" t="str">
        <f>VLOOKUP(A84,[1]Sheet!B$3:G$2921,2,0)</f>
        <v>Комплект автоматики складається з:Силова
частина витяг Програмування С 281-3;
Контроллер Е 3-DSP; Виносний дисплей
можливість исп.                     кабель до 100
м  DTV500X+ANS-1; Датчик перепаду тиску
(фільтр) DTV300X+ANS-1; Датчик перепаду
тиску (вентилятор) ВСУ до МС-16     на     1  
1/4"; Термодатчик, припливний канал TG-
K3/PT1000; Термодатчик, канал після
рекуператор TG-UH/PT1000; Термодатчик,  
зовнішній     повітря       TG-А/PT1000;
Термодатчик, теплоносій HTRT10A
перетворювач вологість і темп в
приміщення NM24A-SR-TP; привід   
повітряний     заслінка   рекуператор NF24A-
SR; привід повітряний заслінка припливний
повітря NF24A-SR; привід повітряний
заслінка витяжний    повітря NM24A-SR-TP;
привід повітряний заслінка камера змішення
RANCO термостат 6 м 5be27-
5uv0перетворювач частота 7,5 кВт</v>
      </c>
      <c r="C84" s="3" t="str">
        <f>VLOOKUP(A84,[1]Sheet!B$3:G$2921,3,0)</f>
        <v>шт</v>
      </c>
      <c r="D84" s="4">
        <v>3</v>
      </c>
      <c r="E84" s="5" t="e">
        <f>VLOOKUP(A84,N$3:S$1271,4,FALSE)</f>
        <v>#N/A</v>
      </c>
      <c r="F84" s="6">
        <f t="shared" si="4"/>
        <v>3</v>
      </c>
      <c r="G84" s="7">
        <f>VLOOKUP(A84,[1]Sheet!B$3:G$2921,5,0)</f>
        <v>145900.21</v>
      </c>
      <c r="H84" s="5" t="e">
        <f>VLOOKUP(A84,N$3:S$1271,5,FALSE)</f>
        <v>#N/A</v>
      </c>
      <c r="I84" s="6">
        <f t="shared" si="5"/>
        <v>145900.21</v>
      </c>
      <c r="J84" s="7">
        <f>VLOOKUP(A84,[1]Sheet!B$3:G$2921,6,0)</f>
        <v>145900.21</v>
      </c>
      <c r="K84" s="8" t="e">
        <f t="shared" si="6"/>
        <v>#N/A</v>
      </c>
      <c r="L84" s="6">
        <f t="shared" si="7"/>
        <v>145900.21</v>
      </c>
    </row>
    <row r="85" spans="1:12" x14ac:dyDescent="0.25">
      <c r="A85" s="9" t="s">
        <v>84</v>
      </c>
      <c r="B85" s="2" t="str">
        <f>VLOOKUP(A85,[1]Sheet!B$3:G$2921,2,0)</f>
        <v>Припливно-витяжна установка лівого
виконання, Lпр=14750 м3/год, Рвілн.=948
Па, Lв=16900 м3/год, комплект "АСМ"
Україна складається               з: 1)Клапан
повітряний, розм. 1345х1300h; 2)Секція
фільтру, класу G4; 3)Витяжний вентилятор
Lв=16900 м3/год, Рвілн.=500 Па з ел.  
двигуном          N=7,5 кВт, n=1646 об/мин; 4)
Припливний вентилятор Lпр=14750 м3/год,
Рвілн.=500 Па з ел. двигуном N=7,5 кВт,
n=1547   об/мин      .; 5)Теплообмінник
охолодження Qт=86600 Вm; 6)Водяний
нагрівач, Qт=54100 Вm;
7)РекуператорLпр=14750 м3/год,Lв=16900 
м3/год. Вузол Водозмішувача в складі:
Клапан+привід R3032-16-B3+NR24A, SR
Belimo, насос Wilo Star-RS 30/6 з гайками
TG-K3/PT1000</v>
      </c>
      <c r="C85" s="3" t="str">
        <f>VLOOKUP(A85,[1]Sheet!B$3:G$2921,3,0)</f>
        <v>шт</v>
      </c>
      <c r="D85" s="4">
        <v>3</v>
      </c>
      <c r="E85" s="5" t="e">
        <f>VLOOKUP(A85,N$3:S$1271,4,FALSE)</f>
        <v>#N/A</v>
      </c>
      <c r="F85" s="6">
        <f t="shared" si="4"/>
        <v>3</v>
      </c>
      <c r="G85" s="7">
        <f>VLOOKUP(A85,[1]Sheet!B$3:G$2921,5,0)</f>
        <v>329635.75</v>
      </c>
      <c r="H85" s="5" t="e">
        <f>VLOOKUP(A85,N$3:S$1271,5,FALSE)</f>
        <v>#N/A</v>
      </c>
      <c r="I85" s="6">
        <f t="shared" si="5"/>
        <v>329635.75</v>
      </c>
      <c r="J85" s="7">
        <f>VLOOKUP(A85,[1]Sheet!B$3:G$2921,6,0)</f>
        <v>329635.75</v>
      </c>
      <c r="K85" s="8" t="e">
        <f t="shared" si="6"/>
        <v>#N/A</v>
      </c>
      <c r="L85" s="6">
        <f t="shared" si="7"/>
        <v>329635.75</v>
      </c>
    </row>
    <row r="86" spans="1:12" x14ac:dyDescent="0.25">
      <c r="A86" s="9" t="s">
        <v>85</v>
      </c>
      <c r="B86" s="2" t="str">
        <f>VLOOKUP(A86,[1]Sheet!B$3:G$2921,2,0)</f>
        <v>Вогнегасник порошковий ВП-6</v>
      </c>
      <c r="C86" s="3" t="str">
        <f>VLOOKUP(A86,[1]Sheet!B$3:G$2921,3,0)</f>
        <v>шт</v>
      </c>
      <c r="D86" s="4">
        <v>10</v>
      </c>
      <c r="E86" s="5" t="e">
        <f>VLOOKUP(A86,N$3:S$1271,4,FALSE)</f>
        <v>#N/A</v>
      </c>
      <c r="F86" s="6">
        <f t="shared" si="4"/>
        <v>10</v>
      </c>
      <c r="G86" s="7">
        <f>VLOOKUP(A86,[1]Sheet!B$3:G$2921,5,0)</f>
        <v>114</v>
      </c>
      <c r="H86" s="5" t="e">
        <f>VLOOKUP(A86,N$3:S$1271,5,FALSE)</f>
        <v>#N/A</v>
      </c>
      <c r="I86" s="6">
        <f t="shared" si="5"/>
        <v>114</v>
      </c>
      <c r="J86" s="7">
        <f>VLOOKUP(A86,[1]Sheet!B$3:G$2921,6,0)</f>
        <v>1140</v>
      </c>
      <c r="K86" s="8" t="e">
        <f t="shared" si="6"/>
        <v>#N/A</v>
      </c>
      <c r="L86" s="6">
        <f t="shared" si="7"/>
        <v>1140</v>
      </c>
    </row>
    <row r="87" spans="1:12" x14ac:dyDescent="0.25">
      <c r="A87" s="9" t="s">
        <v>86</v>
      </c>
      <c r="B87" s="2" t="str">
        <f>VLOOKUP(A87,[1]Sheet!B$3:G$2921,2,0)</f>
        <v>Труба гофрирована із ПВХ Дн20мм</v>
      </c>
      <c r="C87" s="3" t="str">
        <f>VLOOKUP(A87,[1]Sheet!B$3:G$2921,3,0)</f>
        <v>м</v>
      </c>
      <c r="D87" s="4">
        <v>65</v>
      </c>
      <c r="E87" s="5" t="e">
        <f>VLOOKUP(A87,N$3:S$1271,4,FALSE)</f>
        <v>#N/A</v>
      </c>
      <c r="F87" s="6">
        <f t="shared" si="4"/>
        <v>65</v>
      </c>
      <c r="G87" s="7">
        <f>VLOOKUP(A87,[1]Sheet!B$3:G$2921,5,0)</f>
        <v>9.2100000000000009</v>
      </c>
      <c r="H87" s="5" t="e">
        <f>VLOOKUP(A87,N$3:S$1271,5,FALSE)</f>
        <v>#N/A</v>
      </c>
      <c r="I87" s="6">
        <f t="shared" si="5"/>
        <v>9.2100000000000009</v>
      </c>
      <c r="J87" s="7">
        <f>VLOOKUP(A87,[1]Sheet!B$3:G$2921,6,0)</f>
        <v>598.65</v>
      </c>
      <c r="K87" s="8" t="e">
        <f t="shared" si="6"/>
        <v>#N/A</v>
      </c>
      <c r="L87" s="6">
        <f t="shared" si="7"/>
        <v>598.65</v>
      </c>
    </row>
    <row r="88" spans="1:12" x14ac:dyDescent="0.25">
      <c r="A88" s="9" t="s">
        <v>87</v>
      </c>
      <c r="B88" s="2" t="str">
        <f>VLOOKUP(A88,[1]Sheet!B$3:G$2921,2,0)</f>
        <v>Труба гофрирована із ПВХ Дн25мм</v>
      </c>
      <c r="C88" s="3" t="str">
        <f>VLOOKUP(A88,[1]Sheet!B$3:G$2921,3,0)</f>
        <v>м</v>
      </c>
      <c r="D88" s="4">
        <v>16</v>
      </c>
      <c r="E88" s="5" t="e">
        <f>VLOOKUP(A88,N$3:S$1271,4,FALSE)</f>
        <v>#N/A</v>
      </c>
      <c r="F88" s="6">
        <f t="shared" si="4"/>
        <v>16</v>
      </c>
      <c r="G88" s="7">
        <f>VLOOKUP(A88,[1]Sheet!B$3:G$2921,5,0)</f>
        <v>12.54</v>
      </c>
      <c r="H88" s="5" t="e">
        <f>VLOOKUP(A88,N$3:S$1271,5,FALSE)</f>
        <v>#N/A</v>
      </c>
      <c r="I88" s="6">
        <f t="shared" si="5"/>
        <v>12.54</v>
      </c>
      <c r="J88" s="7">
        <f>VLOOKUP(A88,[1]Sheet!B$3:G$2921,6,0)</f>
        <v>200.64</v>
      </c>
      <c r="K88" s="8" t="e">
        <f t="shared" si="6"/>
        <v>#N/A</v>
      </c>
      <c r="L88" s="6">
        <f t="shared" si="7"/>
        <v>200.64</v>
      </c>
    </row>
    <row r="89" spans="1:12" x14ac:dyDescent="0.25">
      <c r="A89" s="9" t="s">
        <v>88</v>
      </c>
      <c r="B89" s="2" t="str">
        <f>VLOOKUP(A89,[1]Sheet!B$3:G$2921,2,0)</f>
        <v>Накінечник трубчастий перетин дрота 1,
5мм2, довжина опресувальної частини 8мм,
НТ 1,5-08</v>
      </c>
      <c r="C89" s="3" t="str">
        <f>VLOOKUP(A89,[1]Sheet!B$3:G$2921,3,0)</f>
        <v>шт</v>
      </c>
      <c r="D89" s="4">
        <v>100</v>
      </c>
      <c r="E89" s="5" t="e">
        <f>VLOOKUP(A89,N$3:S$1271,4,FALSE)</f>
        <v>#N/A</v>
      </c>
      <c r="F89" s="6">
        <f t="shared" si="4"/>
        <v>100</v>
      </c>
      <c r="G89" s="7">
        <f>VLOOKUP(A89,[1]Sheet!B$3:G$2921,5,0)</f>
        <v>0.32</v>
      </c>
      <c r="H89" s="5" t="e">
        <f>VLOOKUP(A89,N$3:S$1271,5,FALSE)</f>
        <v>#N/A</v>
      </c>
      <c r="I89" s="6">
        <f t="shared" si="5"/>
        <v>0.32</v>
      </c>
      <c r="J89" s="7">
        <f>VLOOKUP(A89,[1]Sheet!B$3:G$2921,6,0)</f>
        <v>32</v>
      </c>
      <c r="K89" s="8" t="e">
        <f t="shared" si="6"/>
        <v>#N/A</v>
      </c>
      <c r="L89" s="6">
        <f t="shared" si="7"/>
        <v>32</v>
      </c>
    </row>
    <row r="90" spans="1:12" x14ac:dyDescent="0.25">
      <c r="A90" s="9" t="s">
        <v>89</v>
      </c>
      <c r="B90" s="2" t="str">
        <f>VLOOKUP(A90,[1]Sheet!B$3:G$2921,2,0)</f>
        <v>Накінечник трубчастий перетин дрота 1,
0мм2, довжина опресувальної частини 8мм,
НТ 1,0-08</v>
      </c>
      <c r="C90" s="3" t="str">
        <f>VLOOKUP(A90,[1]Sheet!B$3:G$2921,3,0)</f>
        <v>шт</v>
      </c>
      <c r="D90" s="4">
        <v>60</v>
      </c>
      <c r="E90" s="5" t="e">
        <f>VLOOKUP(A90,N$3:S$1271,4,FALSE)</f>
        <v>#N/A</v>
      </c>
      <c r="F90" s="6">
        <f t="shared" si="4"/>
        <v>60</v>
      </c>
      <c r="G90" s="7">
        <f>VLOOKUP(A90,[1]Sheet!B$3:G$2921,5,0)</f>
        <v>0.28999999999999998</v>
      </c>
      <c r="H90" s="5" t="e">
        <f>VLOOKUP(A90,N$3:S$1271,5,FALSE)</f>
        <v>#N/A</v>
      </c>
      <c r="I90" s="6">
        <f t="shared" si="5"/>
        <v>0.28999999999999998</v>
      </c>
      <c r="J90" s="7">
        <f>VLOOKUP(A90,[1]Sheet!B$3:G$2921,6,0)</f>
        <v>17.399999999999999</v>
      </c>
      <c r="K90" s="8" t="e">
        <f t="shared" si="6"/>
        <v>#N/A</v>
      </c>
      <c r="L90" s="6">
        <f t="shared" si="7"/>
        <v>17.399999999999999</v>
      </c>
    </row>
    <row r="91" spans="1:12" x14ac:dyDescent="0.25">
      <c r="A91" s="9" t="s">
        <v>90</v>
      </c>
      <c r="B91" s="2" t="str">
        <f>VLOOKUP(A91,[1]Sheet!B$3:G$2921,2,0)</f>
        <v>Накінечник трубчастий перетин дрота 0,75
мм2, довжина опресувальної частини 8мм,
НТ 0,75-08</v>
      </c>
      <c r="C91" s="3" t="str">
        <f>VLOOKUP(A91,[1]Sheet!B$3:G$2921,3,0)</f>
        <v>шт</v>
      </c>
      <c r="D91" s="4">
        <v>60</v>
      </c>
      <c r="E91" s="5" t="e">
        <f>VLOOKUP(A91,N$3:S$1271,4,FALSE)</f>
        <v>#N/A</v>
      </c>
      <c r="F91" s="6">
        <f t="shared" si="4"/>
        <v>60</v>
      </c>
      <c r="G91" s="7">
        <f>VLOOKUP(A91,[1]Sheet!B$3:G$2921,5,0)</f>
        <v>0.28999999999999998</v>
      </c>
      <c r="H91" s="5" t="e">
        <f>VLOOKUP(A91,N$3:S$1271,5,FALSE)</f>
        <v>#N/A</v>
      </c>
      <c r="I91" s="6">
        <f t="shared" si="5"/>
        <v>0.28999999999999998</v>
      </c>
      <c r="J91" s="7">
        <f>VLOOKUP(A91,[1]Sheet!B$3:G$2921,6,0)</f>
        <v>17.399999999999999</v>
      </c>
      <c r="K91" s="8" t="e">
        <f t="shared" si="6"/>
        <v>#N/A</v>
      </c>
      <c r="L91" s="6">
        <f t="shared" si="7"/>
        <v>17.399999999999999</v>
      </c>
    </row>
    <row r="92" spans="1:12" x14ac:dyDescent="0.25">
      <c r="A92" s="9" t="s">
        <v>91</v>
      </c>
      <c r="B92" s="2" t="str">
        <f>VLOOKUP(A92,[1]Sheet!B$3:G$2921,2,0)</f>
        <v>Накінечник трубчастий перетин дрота 0,5
мм2, довжина опресувальної частини 8мм,
НТ 0,5-08</v>
      </c>
      <c r="C92" s="3" t="str">
        <f>VLOOKUP(A92,[1]Sheet!B$3:G$2921,3,0)</f>
        <v>шт</v>
      </c>
      <c r="D92" s="4">
        <v>20</v>
      </c>
      <c r="E92" s="5" t="e">
        <f>VLOOKUP(A92,N$3:S$1271,4,FALSE)</f>
        <v>#N/A</v>
      </c>
      <c r="F92" s="6">
        <f t="shared" si="4"/>
        <v>20</v>
      </c>
      <c r="G92" s="7">
        <f>VLOOKUP(A92,[1]Sheet!B$3:G$2921,5,0)</f>
        <v>0.28999999999999998</v>
      </c>
      <c r="H92" s="5" t="e">
        <f>VLOOKUP(A92,N$3:S$1271,5,FALSE)</f>
        <v>#N/A</v>
      </c>
      <c r="I92" s="6">
        <f t="shared" si="5"/>
        <v>0.28999999999999998</v>
      </c>
      <c r="J92" s="7">
        <f>VLOOKUP(A92,[1]Sheet!B$3:G$2921,6,0)</f>
        <v>5.8</v>
      </c>
      <c r="K92" s="8" t="e">
        <f t="shared" si="6"/>
        <v>#N/A</v>
      </c>
      <c r="L92" s="6">
        <f t="shared" si="7"/>
        <v>5.8</v>
      </c>
    </row>
    <row r="93" spans="1:12" x14ac:dyDescent="0.25">
      <c r="A93" s="9" t="s">
        <v>92</v>
      </c>
      <c r="B93" s="2" t="str">
        <f>VLOOKUP(A93,[1]Sheet!B$3:G$2921,2,0)</f>
        <v>Накінечник трубчастий перетин дрота 1,0
мм2, довжина опресувальної частини 8мм,
ТЕ 1,0-08</v>
      </c>
      <c r="C93" s="3" t="str">
        <f>VLOOKUP(A93,[1]Sheet!B$3:G$2921,3,0)</f>
        <v>шт</v>
      </c>
      <c r="D93" s="4">
        <v>40</v>
      </c>
      <c r="E93" s="5" t="e">
        <f>VLOOKUP(A93,N$3:S$1271,4,FALSE)</f>
        <v>#N/A</v>
      </c>
      <c r="F93" s="6">
        <f t="shared" si="4"/>
        <v>40</v>
      </c>
      <c r="G93" s="7">
        <f>VLOOKUP(A93,[1]Sheet!B$3:G$2921,5,0)</f>
        <v>0.31</v>
      </c>
      <c r="H93" s="5" t="e">
        <f>VLOOKUP(A93,N$3:S$1271,5,FALSE)</f>
        <v>#N/A</v>
      </c>
      <c r="I93" s="6">
        <f t="shared" si="5"/>
        <v>0.31</v>
      </c>
      <c r="J93" s="7">
        <f>VLOOKUP(A93,[1]Sheet!B$3:G$2921,6,0)</f>
        <v>12.4</v>
      </c>
      <c r="K93" s="8" t="e">
        <f t="shared" si="6"/>
        <v>#N/A</v>
      </c>
      <c r="L93" s="6">
        <f t="shared" si="7"/>
        <v>12.4</v>
      </c>
    </row>
    <row r="94" spans="1:12" x14ac:dyDescent="0.25">
      <c r="A94" s="9" t="s">
        <v>93</v>
      </c>
      <c r="B94" s="2" t="str">
        <f>VLOOKUP(A94,[1]Sheet!B$3:G$2921,2,0)</f>
        <v>Коробка IP55 240х190х90</v>
      </c>
      <c r="C94" s="3" t="str">
        <f>VLOOKUP(A94,[1]Sheet!B$3:G$2921,3,0)</f>
        <v>шт</v>
      </c>
      <c r="D94" s="4">
        <v>6</v>
      </c>
      <c r="E94" s="5" t="e">
        <f>VLOOKUP(A94,N$3:S$1271,4,FALSE)</f>
        <v>#N/A</v>
      </c>
      <c r="F94" s="6">
        <f t="shared" si="4"/>
        <v>6</v>
      </c>
      <c r="G94" s="7">
        <f>VLOOKUP(A94,[1]Sheet!B$3:G$2921,5,0)</f>
        <v>442.81</v>
      </c>
      <c r="H94" s="5" t="e">
        <f>VLOOKUP(A94,N$3:S$1271,5,FALSE)</f>
        <v>#N/A</v>
      </c>
      <c r="I94" s="6">
        <f t="shared" si="5"/>
        <v>442.81</v>
      </c>
      <c r="J94" s="7">
        <f>VLOOKUP(A94,[1]Sheet!B$3:G$2921,6,0)</f>
        <v>2656.86</v>
      </c>
      <c r="K94" s="8" t="e">
        <f t="shared" si="6"/>
        <v>#N/A</v>
      </c>
      <c r="L94" s="6">
        <f t="shared" si="7"/>
        <v>2656.86</v>
      </c>
    </row>
    <row r="95" spans="1:12" x14ac:dyDescent="0.25">
      <c r="A95" s="9" t="s">
        <v>94</v>
      </c>
      <c r="B95" s="2" t="str">
        <f>VLOOKUP(A95,[1]Sheet!B$3:G$2921,2,0)</f>
        <v>Коробки клемнi ККС-4</v>
      </c>
      <c r="C95" s="3" t="str">
        <f>VLOOKUP(A95,[1]Sheet!B$3:G$2921,3,0)</f>
        <v>шт</v>
      </c>
      <c r="D95" s="4">
        <v>9</v>
      </c>
      <c r="E95" s="5" t="e">
        <f>VLOOKUP(A95,N$3:S$1271,4,FALSE)</f>
        <v>#N/A</v>
      </c>
      <c r="F95" s="6">
        <f t="shared" si="4"/>
        <v>9</v>
      </c>
      <c r="G95" s="7">
        <f>VLOOKUP(A95,[1]Sheet!B$3:G$2921,5,0)</f>
        <v>146.37</v>
      </c>
      <c r="H95" s="5" t="e">
        <f>VLOOKUP(A95,N$3:S$1271,5,FALSE)</f>
        <v>#N/A</v>
      </c>
      <c r="I95" s="6">
        <f t="shared" si="5"/>
        <v>146.37</v>
      </c>
      <c r="J95" s="7">
        <f>VLOOKUP(A95,[1]Sheet!B$3:G$2921,6,0)</f>
        <v>146.37</v>
      </c>
      <c r="K95" s="8" t="e">
        <f t="shared" si="6"/>
        <v>#N/A</v>
      </c>
      <c r="L95" s="6">
        <f t="shared" si="7"/>
        <v>146.37</v>
      </c>
    </row>
    <row r="96" spans="1:12" x14ac:dyDescent="0.25">
      <c r="A96" s="9" t="s">
        <v>95</v>
      </c>
      <c r="B96" s="2" t="str">
        <f>VLOOKUP(A96,[1]Sheet!B$3:G$2921,2,0)</f>
        <v>Коробка вiдгалужувальна</v>
      </c>
      <c r="C96" s="3" t="str">
        <f>VLOOKUP(A96,[1]Sheet!B$3:G$2921,3,0)</f>
        <v>шт</v>
      </c>
      <c r="D96" s="4">
        <v>5</v>
      </c>
      <c r="E96" s="5" t="e">
        <f>VLOOKUP(A96,N$3:S$1271,4,FALSE)</f>
        <v>#N/A</v>
      </c>
      <c r="F96" s="6">
        <f t="shared" si="4"/>
        <v>5</v>
      </c>
      <c r="G96" s="7">
        <f>VLOOKUP(A96,[1]Sheet!B$3:G$2921,5,0)</f>
        <v>33.340000000000003</v>
      </c>
      <c r="H96" s="5" t="e">
        <f>VLOOKUP(A96,N$3:S$1271,5,FALSE)</f>
        <v>#N/A</v>
      </c>
      <c r="I96" s="6">
        <f t="shared" si="5"/>
        <v>33.340000000000003</v>
      </c>
      <c r="J96" s="7">
        <f>VLOOKUP(A96,[1]Sheet!B$3:G$2921,6,0)</f>
        <v>66.680000000000007</v>
      </c>
      <c r="K96" s="8" t="e">
        <f t="shared" si="6"/>
        <v>#N/A</v>
      </c>
      <c r="L96" s="6">
        <f t="shared" si="7"/>
        <v>66.680000000000007</v>
      </c>
    </row>
    <row r="97" spans="1:12" x14ac:dyDescent="0.25">
      <c r="A97" s="9" t="s">
        <v>96</v>
      </c>
      <c r="B97" s="2" t="str">
        <f>VLOOKUP(A97,[1]Sheet!B$3:G$2921,2,0)</f>
        <v>35мм монтажна DIN-рейка 60см</v>
      </c>
      <c r="C97" s="3" t="str">
        <f>VLOOKUP(A97,[1]Sheet!B$3:G$2921,3,0)</f>
        <v>1000шт</v>
      </c>
      <c r="D97" s="4">
        <v>3.0000000000000001E-3</v>
      </c>
      <c r="E97" s="5" t="e">
        <f>VLOOKUP(A97,N$3:S$1271,4,FALSE)</f>
        <v>#N/A</v>
      </c>
      <c r="F97" s="6">
        <f t="shared" si="4"/>
        <v>3.0000000000000001E-3</v>
      </c>
      <c r="G97" s="7">
        <f>VLOOKUP(A97,[1]Sheet!B$3:G$2921,5,0)</f>
        <v>16688.41</v>
      </c>
      <c r="H97" s="5" t="e">
        <f>VLOOKUP(A97,N$3:S$1271,5,FALSE)</f>
        <v>#N/A</v>
      </c>
      <c r="I97" s="6">
        <f t="shared" si="5"/>
        <v>16688.41</v>
      </c>
      <c r="J97" s="7">
        <f>VLOOKUP(A97,[1]Sheet!B$3:G$2921,6,0)</f>
        <v>50.07</v>
      </c>
      <c r="K97" s="8" t="e">
        <f t="shared" si="6"/>
        <v>#N/A</v>
      </c>
      <c r="L97" s="6">
        <f t="shared" si="7"/>
        <v>50.07</v>
      </c>
    </row>
    <row r="98" spans="1:12" x14ac:dyDescent="0.25">
      <c r="A98" s="9" t="s">
        <v>97</v>
      </c>
      <c r="B98" s="2" t="str">
        <f>VLOOKUP(A98,[1]Sheet!B$3:G$2921,2,0)</f>
        <v>Клемні затискачи ЗНИ-4</v>
      </c>
      <c r="C98" s="3" t="str">
        <f>VLOOKUP(A98,[1]Sheet!B$3:G$2921,3,0)</f>
        <v>1000шт</v>
      </c>
      <c r="D98" s="4">
        <v>0.05</v>
      </c>
      <c r="E98" s="5" t="e">
        <f>VLOOKUP(A98,N$3:S$1271,4,FALSE)</f>
        <v>#N/A</v>
      </c>
      <c r="F98" s="6">
        <f t="shared" si="4"/>
        <v>0.05</v>
      </c>
      <c r="G98" s="7">
        <f>VLOOKUP(A98,[1]Sheet!B$3:G$2921,5,0)</f>
        <v>9498.2999999999993</v>
      </c>
      <c r="H98" s="5" t="e">
        <f>VLOOKUP(A98,N$3:S$1271,5,FALSE)</f>
        <v>#N/A</v>
      </c>
      <c r="I98" s="6">
        <f t="shared" si="5"/>
        <v>9498.2999999999993</v>
      </c>
      <c r="J98" s="7">
        <f>VLOOKUP(A98,[1]Sheet!B$3:G$2921,6,0)</f>
        <v>379.93</v>
      </c>
      <c r="K98" s="8" t="e">
        <f t="shared" si="6"/>
        <v>#N/A</v>
      </c>
      <c r="L98" s="6">
        <f t="shared" si="7"/>
        <v>379.93</v>
      </c>
    </row>
    <row r="99" spans="1:12" x14ac:dyDescent="0.25">
      <c r="A99" s="9" t="s">
        <v>98</v>
      </c>
      <c r="B99" s="2" t="str">
        <f>VLOOKUP(A99,[1]Sheet!B$3:G$2921,2,0)</f>
        <v>Розетка штепсельна 2-х полюсна з третім
заземлювальним контактом, 10 А, 220 В,
прихований монтаж, ІР 20, подвійна</v>
      </c>
      <c r="C99" s="3" t="str">
        <f>VLOOKUP(A99,[1]Sheet!B$3:G$2921,3,0)</f>
        <v>шт</v>
      </c>
      <c r="D99" s="4">
        <v>48</v>
      </c>
      <c r="E99" s="5" t="e">
        <f>VLOOKUP(A99,N$3:S$1271,4,FALSE)</f>
        <v>#N/A</v>
      </c>
      <c r="F99" s="6">
        <f t="shared" si="4"/>
        <v>48</v>
      </c>
      <c r="G99" s="7">
        <f>VLOOKUP(A99,[1]Sheet!B$3:G$2921,5,0)</f>
        <v>67.52</v>
      </c>
      <c r="H99" s="5" t="e">
        <f>VLOOKUP(A99,N$3:S$1271,5,FALSE)</f>
        <v>#N/A</v>
      </c>
      <c r="I99" s="6">
        <f t="shared" si="5"/>
        <v>67.52</v>
      </c>
      <c r="J99" s="7">
        <f>VLOOKUP(A99,[1]Sheet!B$3:G$2921,6,0)</f>
        <v>3173.44</v>
      </c>
      <c r="K99" s="8" t="e">
        <f t="shared" si="6"/>
        <v>#N/A</v>
      </c>
      <c r="L99" s="6">
        <f t="shared" si="7"/>
        <v>3173.44</v>
      </c>
    </row>
    <row r="100" spans="1:12" x14ac:dyDescent="0.25">
      <c r="A100" s="9" t="s">
        <v>99</v>
      </c>
      <c r="B100" s="2" t="str">
        <f>VLOOKUP(A100,[1]Sheet!B$3:G$2921,2,0)</f>
        <v>Вимикач незаглиблений для вiдкритої
проводки</v>
      </c>
      <c r="C100" s="3" t="str">
        <f>VLOOKUP(A100,[1]Sheet!B$3:G$2921,3,0)</f>
        <v>шт</v>
      </c>
      <c r="D100" s="4">
        <v>2</v>
      </c>
      <c r="E100" s="5" t="e">
        <f>VLOOKUP(A100,N$3:S$1271,4,FALSE)</f>
        <v>#N/A</v>
      </c>
      <c r="F100" s="6">
        <f t="shared" si="4"/>
        <v>2</v>
      </c>
      <c r="G100" s="7">
        <f>VLOOKUP(A100,[1]Sheet!B$3:G$2921,5,0)</f>
        <v>73.34</v>
      </c>
      <c r="H100" s="5" t="e">
        <f>VLOOKUP(A100,N$3:S$1271,5,FALSE)</f>
        <v>#N/A</v>
      </c>
      <c r="I100" s="6">
        <f t="shared" si="5"/>
        <v>73.34</v>
      </c>
      <c r="J100" s="7">
        <f>VLOOKUP(A100,[1]Sheet!B$3:G$2921,6,0)</f>
        <v>146.68</v>
      </c>
      <c r="K100" s="8" t="e">
        <f t="shared" si="6"/>
        <v>#N/A</v>
      </c>
      <c r="L100" s="6">
        <f t="shared" si="7"/>
        <v>146.68</v>
      </c>
    </row>
    <row r="101" spans="1:12" x14ac:dyDescent="0.25">
      <c r="A101" s="9" t="s">
        <v>100</v>
      </c>
      <c r="B101" s="2" t="str">
        <f>VLOOKUP(A101,[1]Sheet!B$3:G$2921,2,0)</f>
        <v>Вимикач одноклавішний, 6 А, 220 В,
прихований монтаж, ІР 20</v>
      </c>
      <c r="C101" s="3" t="str">
        <f>VLOOKUP(A101,[1]Sheet!B$3:G$2921,3,0)</f>
        <v>шт</v>
      </c>
      <c r="D101" s="4">
        <v>53</v>
      </c>
      <c r="E101" s="5" t="e">
        <f>VLOOKUP(A101,N$3:S$1271,4,FALSE)</f>
        <v>#N/A</v>
      </c>
      <c r="F101" s="6">
        <f t="shared" si="4"/>
        <v>53</v>
      </c>
      <c r="G101" s="7">
        <f>VLOOKUP(A101,[1]Sheet!B$3:G$2921,5,0)</f>
        <v>60.54</v>
      </c>
      <c r="H101" s="5" t="e">
        <f>VLOOKUP(A101,N$3:S$1271,5,FALSE)</f>
        <v>#N/A</v>
      </c>
      <c r="I101" s="6">
        <f t="shared" si="5"/>
        <v>60.54</v>
      </c>
      <c r="J101" s="7">
        <f>VLOOKUP(A101,[1]Sheet!B$3:G$2921,6,0)</f>
        <v>1876.74</v>
      </c>
      <c r="K101" s="8" t="e">
        <f t="shared" si="6"/>
        <v>#N/A</v>
      </c>
      <c r="L101" s="6">
        <f t="shared" si="7"/>
        <v>1876.74</v>
      </c>
    </row>
    <row r="102" spans="1:12" x14ac:dyDescent="0.25">
      <c r="A102" s="9" t="s">
        <v>101</v>
      </c>
      <c r="B102" s="2" t="str">
        <f>VLOOKUP(A102,[1]Sheet!B$3:G$2921,2,0)</f>
        <v>Розроблення ґрунту у вiдвал екскаваторами
"драглайн" або "зворотна лопата" з ковшом
мiсткiстю 0,25 м3, група ґрунтiв 1</v>
      </c>
      <c r="C102" s="3" t="str">
        <f>VLOOKUP(A102,[1]Sheet!B$3:G$2921,3,0)</f>
        <v>1000м3</v>
      </c>
      <c r="D102" s="4">
        <v>4.385E-2</v>
      </c>
      <c r="E102" s="5" t="e">
        <f>VLOOKUP(A102,N$3:S$1271,4,FALSE)</f>
        <v>#N/A</v>
      </c>
      <c r="F102" s="6">
        <f t="shared" si="4"/>
        <v>4.385E-2</v>
      </c>
      <c r="G102" s="7">
        <f>VLOOKUP(A102,[1]Sheet!B$3:G$2921,5,0)</f>
        <v>69349.41</v>
      </c>
      <c r="H102" s="5" t="e">
        <f>VLOOKUP(A102,N$3:S$1271,5,FALSE)</f>
        <v>#N/A</v>
      </c>
      <c r="I102" s="6">
        <f t="shared" si="5"/>
        <v>69349.41</v>
      </c>
      <c r="J102" s="7">
        <f>VLOOKUP(A102,[1]Sheet!B$3:G$2921,6,0)</f>
        <v>561.73</v>
      </c>
      <c r="K102" s="8" t="e">
        <f t="shared" si="6"/>
        <v>#N/A</v>
      </c>
      <c r="L102" s="6">
        <f t="shared" si="7"/>
        <v>561.73</v>
      </c>
    </row>
    <row r="103" spans="1:12" x14ac:dyDescent="0.25">
      <c r="A103" s="9" t="s">
        <v>102</v>
      </c>
      <c r="B103" s="2" t="str">
        <f>VLOOKUP(A103,[1]Sheet!B$3:G$2921,2,0)</f>
        <v>Ущiльнення ґрунту пневматичними
трамбiвками, група ґрунтiв 1, 2</v>
      </c>
      <c r="C103" s="3" t="str">
        <f>VLOOKUP(A103,[1]Sheet!B$3:G$2921,3,0)</f>
        <v>100м3</v>
      </c>
      <c r="D103" s="4">
        <v>0.95810000000000006</v>
      </c>
      <c r="E103" s="5" t="e">
        <f>VLOOKUP(A103,N$3:S$1271,4,FALSE)</f>
        <v>#N/A</v>
      </c>
      <c r="F103" s="6">
        <f t="shared" si="4"/>
        <v>0.95810000000000006</v>
      </c>
      <c r="G103" s="7">
        <f>VLOOKUP(A103,[1]Sheet!B$3:G$2921,5,0)</f>
        <v>2440.91</v>
      </c>
      <c r="H103" s="5" t="e">
        <f>VLOOKUP(A103,N$3:S$1271,5,FALSE)</f>
        <v>#N/A</v>
      </c>
      <c r="I103" s="6">
        <f t="shared" si="5"/>
        <v>2440.91</v>
      </c>
      <c r="J103" s="7">
        <f>VLOOKUP(A103,[1]Sheet!B$3:G$2921,6,0)</f>
        <v>659.05</v>
      </c>
      <c r="K103" s="8" t="e">
        <f t="shared" si="6"/>
        <v>#N/A</v>
      </c>
      <c r="L103" s="6">
        <f t="shared" si="7"/>
        <v>659.05</v>
      </c>
    </row>
    <row r="104" spans="1:12" x14ac:dyDescent="0.25">
      <c r="A104" s="9" t="s">
        <v>103</v>
      </c>
      <c r="B104" s="2" t="str">
        <f>VLOOKUP(A104,[1]Sheet!B$3:G$2921,2,0)</f>
        <v>Розроблення ґрунту у вiдвал екскаваторами
"драглайн" або "зворотна лопата" з ковшом
мiсткiстю 0,25 м3, група ґрунтiв 2</v>
      </c>
      <c r="C104" s="3" t="str">
        <f>VLOOKUP(A104,[1]Sheet!B$3:G$2921,3,0)</f>
        <v>1000м3</v>
      </c>
      <c r="D104" s="4">
        <v>4.3920000000000001E-2</v>
      </c>
      <c r="E104" s="5" t="e">
        <f>VLOOKUP(A104,N$3:S$1271,4,FALSE)</f>
        <v>#N/A</v>
      </c>
      <c r="F104" s="6">
        <f t="shared" si="4"/>
        <v>4.3920000000000001E-2</v>
      </c>
      <c r="G104" s="7">
        <f>VLOOKUP(A104,[1]Sheet!B$3:G$2921,5,0)</f>
        <v>89242.51</v>
      </c>
      <c r="H104" s="5" t="e">
        <f>VLOOKUP(A104,N$3:S$1271,5,FALSE)</f>
        <v>#N/A</v>
      </c>
      <c r="I104" s="6">
        <f t="shared" si="5"/>
        <v>89242.51</v>
      </c>
      <c r="J104" s="7">
        <f>VLOOKUP(A104,[1]Sheet!B$3:G$2921,6,0)</f>
        <v>1642.06</v>
      </c>
      <c r="K104" s="8" t="e">
        <f t="shared" si="6"/>
        <v>#N/A</v>
      </c>
      <c r="L104" s="6">
        <f t="shared" si="7"/>
        <v>1642.06</v>
      </c>
    </row>
    <row r="105" spans="1:12" x14ac:dyDescent="0.25">
      <c r="A105" s="9" t="s">
        <v>104</v>
      </c>
      <c r="B105" s="2" t="str">
        <f>VLOOKUP(A105,[1]Sheet!B$3:G$2921,2,0)</f>
        <v>Розробка грунту вручну з крiпленням у
траншеях шириною до 2 м, глибиною до 2 м,
група грунтiв 1 /з вертикальними стiнками
без крiплень /</v>
      </c>
      <c r="C105" s="3" t="str">
        <f>VLOOKUP(A105,[1]Sheet!B$3:G$2921,3,0)</f>
        <v>100м3</v>
      </c>
      <c r="D105" s="4">
        <v>0.19650000000000001</v>
      </c>
      <c r="E105" s="5" t="e">
        <f>VLOOKUP(A105,N$3:S$1271,4,FALSE)</f>
        <v>#N/A</v>
      </c>
      <c r="F105" s="6">
        <f t="shared" si="4"/>
        <v>0.19650000000000001</v>
      </c>
      <c r="G105" s="7">
        <f>VLOOKUP(A105,[1]Sheet!B$3:G$2921,5,0)</f>
        <v>11373.34</v>
      </c>
      <c r="H105" s="5" t="e">
        <f>VLOOKUP(A105,N$3:S$1271,5,FALSE)</f>
        <v>#N/A</v>
      </c>
      <c r="I105" s="6">
        <f t="shared" si="5"/>
        <v>11373.34</v>
      </c>
      <c r="J105" s="7">
        <f>VLOOKUP(A105,[1]Sheet!B$3:G$2921,6,0)</f>
        <v>1406.88</v>
      </c>
      <c r="K105" s="8" t="e">
        <f t="shared" si="6"/>
        <v>#N/A</v>
      </c>
      <c r="L105" s="6">
        <f t="shared" si="7"/>
        <v>1406.88</v>
      </c>
    </row>
    <row r="106" spans="1:12" x14ac:dyDescent="0.25">
      <c r="A106" s="9" t="s">
        <v>105</v>
      </c>
      <c r="B106" s="2" t="str">
        <f>VLOOKUP(A106,[1]Sheet!B$3:G$2921,2,0)</f>
        <v>Розробка ґрунту вручну з крiпленням у
траншеях шириною до 2 м, глибиною до 3 м,
група ґрунтiв 1</v>
      </c>
      <c r="C106" s="3" t="str">
        <f>VLOOKUP(A106,[1]Sheet!B$3:G$2921,3,0)</f>
        <v>100м3</v>
      </c>
      <c r="D106" s="4">
        <v>1.9500000000000002</v>
      </c>
      <c r="E106" s="5" t="e">
        <f>VLOOKUP(A106,N$3:S$1271,4,FALSE)</f>
        <v>#N/A</v>
      </c>
      <c r="F106" s="6">
        <f t="shared" si="4"/>
        <v>1.9500000000000002</v>
      </c>
      <c r="G106" s="7">
        <f>VLOOKUP(A106,[1]Sheet!B$3:G$2921,5,0)</f>
        <v>22291.75</v>
      </c>
      <c r="H106" s="5" t="e">
        <f>VLOOKUP(A106,N$3:S$1271,5,FALSE)</f>
        <v>#N/A</v>
      </c>
      <c r="I106" s="6">
        <f t="shared" si="5"/>
        <v>22291.75</v>
      </c>
      <c r="J106" s="7">
        <f>VLOOKUP(A106,[1]Sheet!B$3:G$2921,6,0)</f>
        <v>43468.91</v>
      </c>
      <c r="K106" s="8" t="e">
        <f t="shared" si="6"/>
        <v>#N/A</v>
      </c>
      <c r="L106" s="6">
        <f t="shared" si="7"/>
        <v>43468.91</v>
      </c>
    </row>
    <row r="107" spans="1:12" x14ac:dyDescent="0.25">
      <c r="A107" s="9" t="s">
        <v>106</v>
      </c>
      <c r="B107" s="2" t="str">
        <f>VLOOKUP(A107,[1]Sheet!B$3:G$2921,2,0)</f>
        <v>Розробка ґрунту вручну в траншеях
шириною понад 2 м i котлованах площею
перерiзу до 5 м2 з крiпленнями при глибинi
траншей i котлованiв до 3 м, група ґрунтiв 2</v>
      </c>
      <c r="C107" s="3" t="str">
        <f>VLOOKUP(A107,[1]Sheet!B$3:G$2921,3,0)</f>
        <v>100м3</v>
      </c>
      <c r="D107" s="4">
        <v>1.6E-2</v>
      </c>
      <c r="E107" s="5" t="e">
        <f>VLOOKUP(A107,N$3:S$1271,4,FALSE)</f>
        <v>#N/A</v>
      </c>
      <c r="F107" s="6">
        <f t="shared" si="4"/>
        <v>1.6E-2</v>
      </c>
      <c r="G107" s="7">
        <f>VLOOKUP(A107,[1]Sheet!B$3:G$2921,5,0)</f>
        <v>30046.07</v>
      </c>
      <c r="H107" s="5" t="e">
        <f>VLOOKUP(A107,N$3:S$1271,5,FALSE)</f>
        <v>#N/A</v>
      </c>
      <c r="I107" s="6">
        <f t="shared" si="5"/>
        <v>30046.07</v>
      </c>
      <c r="J107" s="7">
        <f>VLOOKUP(A107,[1]Sheet!B$3:G$2921,6,0)</f>
        <v>480.74</v>
      </c>
      <c r="K107" s="8" t="e">
        <f t="shared" si="6"/>
        <v>#N/A</v>
      </c>
      <c r="L107" s="6">
        <f t="shared" si="7"/>
        <v>480.74</v>
      </c>
    </row>
    <row r="108" spans="1:12" x14ac:dyDescent="0.25">
      <c r="A108" s="9" t="s">
        <v>107</v>
      </c>
      <c r="B108" s="2" t="str">
        <f>VLOOKUP(A108,[1]Sheet!B$3:G$2921,2,0)</f>
        <v>Розробка ґрунту вручну в траншеях
глибиною до 2 м без крiплень з укосами,
група ґрунтiв 1</v>
      </c>
      <c r="C108" s="3" t="str">
        <f>VLOOKUP(A108,[1]Sheet!B$3:G$2921,3,0)</f>
        <v>100м3</v>
      </c>
      <c r="D108" s="4">
        <v>0.13300000000000001</v>
      </c>
      <c r="E108" s="5" t="e">
        <f>VLOOKUP(A108,N$3:S$1271,4,FALSE)</f>
        <v>#N/A</v>
      </c>
      <c r="F108" s="6">
        <f t="shared" si="4"/>
        <v>0.13300000000000001</v>
      </c>
      <c r="G108" s="7">
        <f>VLOOKUP(A108,[1]Sheet!B$3:G$2921,5,0)</f>
        <v>12279.73</v>
      </c>
      <c r="H108" s="5" t="e">
        <f>VLOOKUP(A108,N$3:S$1271,5,FALSE)</f>
        <v>#N/A</v>
      </c>
      <c r="I108" s="6">
        <f t="shared" si="5"/>
        <v>12279.73</v>
      </c>
      <c r="J108" s="7">
        <f>VLOOKUP(A108,[1]Sheet!B$3:G$2921,6,0)</f>
        <v>1633.2</v>
      </c>
      <c r="K108" s="8" t="e">
        <f t="shared" si="6"/>
        <v>#N/A</v>
      </c>
      <c r="L108" s="6">
        <f t="shared" si="7"/>
        <v>1633.2</v>
      </c>
    </row>
    <row r="109" spans="1:12" x14ac:dyDescent="0.25">
      <c r="A109" s="9" t="s">
        <v>108</v>
      </c>
      <c r="B109" s="2" t="str">
        <f>VLOOKUP(A109,[1]Sheet!B$3:G$2921,2,0)</f>
        <v>Доробка вручну, зачищення дна i стiнок
вручну з викидом грунту в котлованах i
траншеях, розроблених механiзованим
способом</v>
      </c>
      <c r="C109" s="3" t="str">
        <f>VLOOKUP(A109,[1]Sheet!B$3:G$2921,3,0)</f>
        <v>100м3</v>
      </c>
      <c r="D109" s="4">
        <v>2.98E-2</v>
      </c>
      <c r="E109" s="5" t="e">
        <f>VLOOKUP(A109,N$3:S$1271,4,FALSE)</f>
        <v>#N/A</v>
      </c>
      <c r="F109" s="6">
        <f t="shared" si="4"/>
        <v>2.98E-2</v>
      </c>
      <c r="G109" s="7">
        <f>VLOOKUP(A109,[1]Sheet!B$3:G$2921,5,0)</f>
        <v>13396.07</v>
      </c>
      <c r="H109" s="5" t="e">
        <f>VLOOKUP(A109,N$3:S$1271,5,FALSE)</f>
        <v>#N/A</v>
      </c>
      <c r="I109" s="6">
        <f t="shared" si="5"/>
        <v>13396.07</v>
      </c>
      <c r="J109" s="7">
        <f>VLOOKUP(A109,[1]Sheet!B$3:G$2921,6,0)</f>
        <v>238.45</v>
      </c>
      <c r="K109" s="8" t="e">
        <f t="shared" si="6"/>
        <v>#N/A</v>
      </c>
      <c r="L109" s="6">
        <f t="shared" si="7"/>
        <v>238.45</v>
      </c>
    </row>
    <row r="110" spans="1:12" x14ac:dyDescent="0.25">
      <c r="A110" s="9" t="s">
        <v>109</v>
      </c>
      <c r="B110" s="2" t="str">
        <f>VLOOKUP(A110,[1]Sheet!B$3:G$2921,2,0)</f>
        <v>Розробка ґрунту вручну в траншеях
глибиною до 2 м без крiплень з укосами,
група ґрунтiв 2</v>
      </c>
      <c r="C110" s="3" t="str">
        <f>VLOOKUP(A110,[1]Sheet!B$3:G$2921,3,0)</f>
        <v>100м3</v>
      </c>
      <c r="D110" s="4">
        <v>0.39680000000000004</v>
      </c>
      <c r="E110" s="5" t="e">
        <f>VLOOKUP(A110,N$3:S$1271,4,FALSE)</f>
        <v>#N/A</v>
      </c>
      <c r="F110" s="6">
        <f t="shared" si="4"/>
        <v>0.39680000000000004</v>
      </c>
      <c r="G110" s="7">
        <f>VLOOKUP(A110,[1]Sheet!B$3:G$2921,5,0)</f>
        <v>14569.17</v>
      </c>
      <c r="H110" s="5" t="e">
        <f>VLOOKUP(A110,N$3:S$1271,5,FALSE)</f>
        <v>#N/A</v>
      </c>
      <c r="I110" s="6">
        <f t="shared" si="5"/>
        <v>14569.17</v>
      </c>
      <c r="J110" s="7">
        <f>VLOOKUP(A110,[1]Sheet!B$3:G$2921,6,0)</f>
        <v>524.49</v>
      </c>
      <c r="K110" s="8" t="e">
        <f t="shared" si="6"/>
        <v>#N/A</v>
      </c>
      <c r="L110" s="6">
        <f t="shared" si="7"/>
        <v>524.49</v>
      </c>
    </row>
    <row r="111" spans="1:12" x14ac:dyDescent="0.25">
      <c r="A111" s="9" t="s">
        <v>110</v>
      </c>
      <c r="B111" s="2" t="str">
        <f>VLOOKUP(A111,[1]Sheet!B$3:G$2921,2,0)</f>
        <v>Засипка вручну траншей, пазух котлованiв i
ям, група ґрунтiв 1</v>
      </c>
      <c r="C111" s="3" t="str">
        <f>VLOOKUP(A111,[1]Sheet!B$3:G$2921,3,0)</f>
        <v>100м3</v>
      </c>
      <c r="D111" s="4">
        <v>0.96775</v>
      </c>
      <c r="E111" s="5" t="e">
        <f>VLOOKUP(A111,N$3:S$1271,4,FALSE)</f>
        <v>#N/A</v>
      </c>
      <c r="F111" s="6">
        <f t="shared" si="4"/>
        <v>0.96775</v>
      </c>
      <c r="G111" s="7">
        <f>VLOOKUP(A111,[1]Sheet!B$3:G$2921,5,0)</f>
        <v>8246.16</v>
      </c>
      <c r="H111" s="5" t="e">
        <f>VLOOKUP(A111,N$3:S$1271,5,FALSE)</f>
        <v>#N/A</v>
      </c>
      <c r="I111" s="6">
        <f t="shared" si="5"/>
        <v>8246.16</v>
      </c>
      <c r="J111" s="7">
        <f>VLOOKUP(A111,[1]Sheet!B$3:G$2921,6,0)</f>
        <v>296.86</v>
      </c>
      <c r="K111" s="8" t="e">
        <f t="shared" si="6"/>
        <v>#N/A</v>
      </c>
      <c r="L111" s="6">
        <f t="shared" si="7"/>
        <v>296.86</v>
      </c>
    </row>
    <row r="112" spans="1:12" x14ac:dyDescent="0.25">
      <c r="A112" s="9" t="s">
        <v>111</v>
      </c>
      <c r="B112" s="2" t="str">
        <f>VLOOKUP(A112,[1]Sheet!B$3:G$2921,2,0)</f>
        <v>Крiплення iнвентарними щитами стiнок
траншей шириною до 2 м у ґрунтах
стiйких</v>
      </c>
      <c r="C112" s="3" t="str">
        <f>VLOOKUP(A112,[1]Sheet!B$3:G$2921,3,0)</f>
        <v>100м2</v>
      </c>
      <c r="D112" s="4">
        <v>2.3452000000000002</v>
      </c>
      <c r="E112" s="5" t="e">
        <f>VLOOKUP(A112,N$3:S$1271,4,FALSE)</f>
        <v>#N/A</v>
      </c>
      <c r="F112" s="6">
        <f t="shared" si="4"/>
        <v>2.3452000000000002</v>
      </c>
      <c r="G112" s="7">
        <f>VLOOKUP(A112,[1]Sheet!B$3:G$2921,5,0)</f>
        <v>12181.63</v>
      </c>
      <c r="H112" s="5" t="e">
        <f>VLOOKUP(A112,N$3:S$1271,5,FALSE)</f>
        <v>#N/A</v>
      </c>
      <c r="I112" s="6">
        <f t="shared" si="5"/>
        <v>12181.63</v>
      </c>
      <c r="J112" s="7">
        <f>VLOOKUP(A112,[1]Sheet!B$3:G$2921,6,0)</f>
        <v>15860.48</v>
      </c>
      <c r="K112" s="8" t="e">
        <f t="shared" si="6"/>
        <v>#N/A</v>
      </c>
      <c r="L112" s="6">
        <f t="shared" si="7"/>
        <v>15860.48</v>
      </c>
    </row>
    <row r="113" spans="1:12" x14ac:dyDescent="0.25">
      <c r="A113" s="9" t="s">
        <v>112</v>
      </c>
      <c r="B113" s="2" t="str">
        <f>VLOOKUP(A113,[1]Sheet!B$3:G$2921,2,0)</f>
        <v>Крiплення дошками стiнок котлованiв i
траншей шириною понад 2 м, глибиною
понад 3 м, у ґрунтах нестiйких</v>
      </c>
      <c r="C113" s="3" t="str">
        <f>VLOOKUP(A113,[1]Sheet!B$3:G$2921,3,0)</f>
        <v>100м2</v>
      </c>
      <c r="D113" s="4">
        <v>0.38400000000000001</v>
      </c>
      <c r="E113" s="5" t="e">
        <f>VLOOKUP(A113,N$3:S$1271,4,FALSE)</f>
        <v>#N/A</v>
      </c>
      <c r="F113" s="6">
        <f t="shared" si="4"/>
        <v>0.38400000000000001</v>
      </c>
      <c r="G113" s="7">
        <f>VLOOKUP(A113,[1]Sheet!B$3:G$2921,5,0)</f>
        <v>12738.78</v>
      </c>
      <c r="H113" s="5" t="e">
        <f>VLOOKUP(A113,N$3:S$1271,5,FALSE)</f>
        <v>#N/A</v>
      </c>
      <c r="I113" s="6">
        <f t="shared" si="5"/>
        <v>12738.78</v>
      </c>
      <c r="J113" s="7">
        <f>VLOOKUP(A113,[1]Sheet!B$3:G$2921,6,0)</f>
        <v>4891.6899999999996</v>
      </c>
      <c r="K113" s="8" t="e">
        <f t="shared" si="6"/>
        <v>#N/A</v>
      </c>
      <c r="L113" s="6">
        <f t="shared" si="7"/>
        <v>4891.6899999999996</v>
      </c>
    </row>
    <row r="114" spans="1:12" x14ac:dyDescent="0.25">
      <c r="A114" s="9" t="s">
        <v>113</v>
      </c>
      <c r="B114" s="2" t="str">
        <f>VLOOKUP(A114,[1]Sheet!B$3:G$2921,2,0)</f>
        <v>Навантаження грунту на автомобiлi-
самоскиди екскаваторами одноковшовими
дизельними на гусеничному ходу з ковшом
мiсткiстю 0,4 м3, група грунтiв 1</v>
      </c>
      <c r="C114" s="3" t="str">
        <f>VLOOKUP(A114,[1]Sheet!B$3:G$2921,3,0)</f>
        <v>1000м3</v>
      </c>
      <c r="D114" s="4">
        <v>9.8999999999999999E-4</v>
      </c>
      <c r="E114" s="5" t="e">
        <f>VLOOKUP(A114,N$3:S$1271,4,FALSE)</f>
        <v>#N/A</v>
      </c>
      <c r="F114" s="6">
        <f t="shared" si="4"/>
        <v>9.8999999999999999E-4</v>
      </c>
      <c r="G114" s="7">
        <f>VLOOKUP(A114,[1]Sheet!B$3:G$2921,5,0)</f>
        <v>79914.05</v>
      </c>
      <c r="H114" s="5" t="e">
        <f>VLOOKUP(A114,N$3:S$1271,5,FALSE)</f>
        <v>#N/A</v>
      </c>
      <c r="I114" s="6">
        <f t="shared" si="5"/>
        <v>79914.05</v>
      </c>
      <c r="J114" s="7">
        <f>VLOOKUP(A114,[1]Sheet!B$3:G$2921,6,0)</f>
        <v>79.11</v>
      </c>
      <c r="K114" s="8" t="e">
        <f t="shared" si="6"/>
        <v>#N/A</v>
      </c>
      <c r="L114" s="6">
        <f t="shared" si="7"/>
        <v>79.11</v>
      </c>
    </row>
    <row r="115" spans="1:12" x14ac:dyDescent="0.25">
      <c r="A115" s="9" t="s">
        <v>114</v>
      </c>
      <c r="B115" s="2" t="str">
        <f>VLOOKUP(A115,[1]Sheet!B$3:G$2921,2,0)</f>
        <v>Розроблення грунту з навантаженням на
автомобiлi-самоскиди екскаваторами
одноковшовими дизельними на
пневмоколісному ходу з ковшом мiсткiстю
0,25 м3, група грунтiв 1 (навантаження
грунту)</v>
      </c>
      <c r="C115" s="3" t="str">
        <f>VLOOKUP(A115,[1]Sheet!B$3:G$2921,3,0)</f>
        <v>1000м3</v>
      </c>
      <c r="D115" s="4">
        <v>1.4353500000000001</v>
      </c>
      <c r="E115" s="5" t="e">
        <f>VLOOKUP(A115,N$3:S$1271,4,FALSE)</f>
        <v>#N/A</v>
      </c>
      <c r="F115" s="6">
        <f t="shared" si="4"/>
        <v>1.4353500000000001</v>
      </c>
      <c r="G115" s="7">
        <f>VLOOKUP(A115,[1]Sheet!B$3:G$2921,5,0)</f>
        <v>95585.01</v>
      </c>
      <c r="H115" s="5" t="e">
        <f>VLOOKUP(A115,N$3:S$1271,5,FALSE)</f>
        <v>#N/A</v>
      </c>
      <c r="I115" s="6">
        <f t="shared" si="5"/>
        <v>95585.01</v>
      </c>
      <c r="J115" s="7">
        <f>VLOOKUP(A115,[1]Sheet!B$3:G$2921,6,0)</f>
        <v>106428.17</v>
      </c>
      <c r="K115" s="8" t="e">
        <f t="shared" si="6"/>
        <v>#N/A</v>
      </c>
      <c r="L115" s="6">
        <f t="shared" si="7"/>
        <v>106428.17</v>
      </c>
    </row>
    <row r="116" spans="1:12" x14ac:dyDescent="0.25">
      <c r="A116" s="9" t="s">
        <v>115</v>
      </c>
      <c r="B116" s="2" t="str">
        <f>VLOOKUP(A116,[1]Sheet!B$3:G$2921,2,0)</f>
        <v>Улаштування дрiбних покриттiв
[брандмауери, парапети, звiси i т.п.] iз
листової оцинкованої сталi</v>
      </c>
      <c r="C116" s="3" t="str">
        <f>VLOOKUP(A116,[1]Sheet!B$3:G$2921,3,0)</f>
        <v>100м2</v>
      </c>
      <c r="D116" s="4">
        <v>3.0086299999999997</v>
      </c>
      <c r="E116" s="5" t="e">
        <f>VLOOKUP(A116,N$3:S$1271,4,FALSE)</f>
        <v>#N/A</v>
      </c>
      <c r="F116" s="6">
        <f t="shared" si="4"/>
        <v>3.0086299999999997</v>
      </c>
      <c r="G116" s="7">
        <f>VLOOKUP(A116,[1]Sheet!B$3:G$2921,5,0)</f>
        <v>8300</v>
      </c>
      <c r="H116" s="5" t="e">
        <f>VLOOKUP(A116,N$3:S$1271,5,FALSE)</f>
        <v>#N/A</v>
      </c>
      <c r="I116" s="6">
        <f t="shared" si="5"/>
        <v>8300</v>
      </c>
      <c r="J116" s="7">
        <f>VLOOKUP(A116,[1]Sheet!B$3:G$2921,6,0)</f>
        <v>1490.51</v>
      </c>
      <c r="K116" s="8" t="e">
        <f t="shared" si="6"/>
        <v>#N/A</v>
      </c>
      <c r="L116" s="6">
        <f t="shared" si="7"/>
        <v>1490.51</v>
      </c>
    </row>
    <row r="117" spans="1:12" x14ac:dyDescent="0.25">
      <c r="A117" s="9" t="s">
        <v>116</v>
      </c>
      <c r="B117" s="2" t="str">
        <f>VLOOKUP(A117,[1]Sheet!B$3:G$2921,2,0)</f>
        <v>Улаштування покрiвель скатних iз
наплавлюваних матерiалiв у два шари</v>
      </c>
      <c r="C117" s="3" t="str">
        <f>VLOOKUP(A117,[1]Sheet!B$3:G$2921,3,0)</f>
        <v>100м2</v>
      </c>
      <c r="D117" s="4">
        <v>8.65</v>
      </c>
      <c r="E117" s="5" t="e">
        <f>VLOOKUP(A117,N$3:S$1271,4,FALSE)</f>
        <v>#N/A</v>
      </c>
      <c r="F117" s="6">
        <f t="shared" si="4"/>
        <v>8.65</v>
      </c>
      <c r="G117" s="7">
        <f>VLOOKUP(A117,[1]Sheet!B$3:G$2921,5,0)</f>
        <v>2959.76</v>
      </c>
      <c r="H117" s="5" t="e">
        <f>VLOOKUP(A117,N$3:S$1271,5,FALSE)</f>
        <v>#N/A</v>
      </c>
      <c r="I117" s="6">
        <f t="shared" si="5"/>
        <v>2959.76</v>
      </c>
      <c r="J117" s="7">
        <f>VLOOKUP(A117,[1]Sheet!B$3:G$2921,6,0)</f>
        <v>10211.17</v>
      </c>
      <c r="K117" s="8" t="e">
        <f t="shared" si="6"/>
        <v>#N/A</v>
      </c>
      <c r="L117" s="6">
        <f t="shared" si="7"/>
        <v>10211.17</v>
      </c>
    </row>
    <row r="118" spans="1:12" x14ac:dyDescent="0.25">
      <c r="A118" s="9" t="s">
        <v>117</v>
      </c>
      <c r="B118" s="2" t="str">
        <f>VLOOKUP(A118,[1]Sheet!B$3:G$2921,2,0)</f>
        <v>Улаштування додаткового шару
покрiвельних рулонних наплавлюваних
матерiалiв</v>
      </c>
      <c r="C118" s="3" t="str">
        <f>VLOOKUP(A118,[1]Sheet!B$3:G$2921,3,0)</f>
        <v>100м2</v>
      </c>
      <c r="D118" s="4">
        <v>0.77965000000000007</v>
      </c>
      <c r="E118" s="5" t="e">
        <f>VLOOKUP(A118,N$3:S$1271,4,FALSE)</f>
        <v>#N/A</v>
      </c>
      <c r="F118" s="6">
        <f t="shared" si="4"/>
        <v>0.77965000000000007</v>
      </c>
      <c r="G118" s="7">
        <f>VLOOKUP(A118,[1]Sheet!B$3:G$2921,5,0)</f>
        <v>1271.99</v>
      </c>
      <c r="H118" s="5" t="e">
        <f>VLOOKUP(A118,N$3:S$1271,5,FALSE)</f>
        <v>#N/A</v>
      </c>
      <c r="I118" s="6">
        <f t="shared" si="5"/>
        <v>1271.99</v>
      </c>
      <c r="J118" s="7">
        <f>VLOOKUP(A118,[1]Sheet!B$3:G$2921,6,0)</f>
        <v>61.18</v>
      </c>
      <c r="K118" s="8" t="e">
        <f t="shared" si="6"/>
        <v>#N/A</v>
      </c>
      <c r="L118" s="6">
        <f t="shared" si="7"/>
        <v>61.18</v>
      </c>
    </row>
    <row r="119" spans="1:12" x14ac:dyDescent="0.25">
      <c r="A119" s="9" t="s">
        <v>118</v>
      </c>
      <c r="B119" s="2" t="str">
        <f>VLOOKUP(A119,[1]Sheet!B$3:G$2921,2,0)</f>
        <v>Утеплення покриттiв плитами з
мiнеральної вати або перлiту на бiтумнiй
мастицi в один шар</v>
      </c>
      <c r="C119" s="3" t="str">
        <f>VLOOKUP(A119,[1]Sheet!B$3:G$2921,3,0)</f>
        <v>100м2</v>
      </c>
      <c r="D119" s="4">
        <v>23.182000000000002</v>
      </c>
      <c r="E119" s="5" t="e">
        <f>VLOOKUP(A119,N$3:S$1271,4,FALSE)</f>
        <v>#N/A</v>
      </c>
      <c r="F119" s="6">
        <f t="shared" si="4"/>
        <v>23.182000000000002</v>
      </c>
      <c r="G119" s="7">
        <f>VLOOKUP(A119,[1]Sheet!B$3:G$2921,5,0)</f>
        <v>5872.58</v>
      </c>
      <c r="H119" s="5" t="e">
        <f>VLOOKUP(A119,N$3:S$1271,5,FALSE)</f>
        <v>#N/A</v>
      </c>
      <c r="I119" s="6">
        <f t="shared" si="5"/>
        <v>5872.58</v>
      </c>
      <c r="J119" s="7">
        <f>VLOOKUP(A119,[1]Sheet!B$3:G$2921,6,0)</f>
        <v>83246.759999999995</v>
      </c>
      <c r="K119" s="8" t="e">
        <f t="shared" si="6"/>
        <v>#N/A</v>
      </c>
      <c r="L119" s="6">
        <f t="shared" si="7"/>
        <v>83246.759999999995</v>
      </c>
    </row>
    <row r="120" spans="1:12" x14ac:dyDescent="0.25">
      <c r="A120" s="9" t="s">
        <v>119</v>
      </c>
      <c r="B120" s="2" t="str">
        <f>VLOOKUP(A120,[1]Sheet!B$3:G$2921,2,0)</f>
        <v>Утеплення покриттiв плитами з
мiнеральної вати або перлiту на бiтумнiй
мастицi на кожний наступний шар</v>
      </c>
      <c r="C120" s="3" t="str">
        <f>VLOOKUP(A120,[1]Sheet!B$3:G$2921,3,0)</f>
        <v>100м2</v>
      </c>
      <c r="D120" s="4">
        <v>20.305</v>
      </c>
      <c r="E120" s="5" t="e">
        <f>VLOOKUP(A120,N$3:S$1271,4,FALSE)</f>
        <v>#N/A</v>
      </c>
      <c r="F120" s="6">
        <f t="shared" si="4"/>
        <v>20.305</v>
      </c>
      <c r="G120" s="7">
        <f>VLOOKUP(A120,[1]Sheet!B$3:G$2921,5,0)</f>
        <v>12115.83</v>
      </c>
      <c r="H120" s="5" t="e">
        <f>VLOOKUP(A120,N$3:S$1271,5,FALSE)</f>
        <v>#N/A</v>
      </c>
      <c r="I120" s="6">
        <f t="shared" si="5"/>
        <v>12115.83</v>
      </c>
      <c r="J120" s="7">
        <f>VLOOKUP(A120,[1]Sheet!B$3:G$2921,6,0)</f>
        <v>171747.95</v>
      </c>
      <c r="K120" s="8" t="e">
        <f t="shared" si="6"/>
        <v>#N/A</v>
      </c>
      <c r="L120" s="6">
        <f t="shared" si="7"/>
        <v>171747.95</v>
      </c>
    </row>
    <row r="121" spans="1:12" x14ac:dyDescent="0.25">
      <c r="A121" s="9" t="s">
        <v>120</v>
      </c>
      <c r="B121" s="2" t="str">
        <f>VLOOKUP(A121,[1]Sheet!B$3:G$2921,2,0)</f>
        <v>Утеплення покриттiв плитами з легких
[нiздрюватих] бетонiв або фiбролiту
насухо</v>
      </c>
      <c r="C121" s="3" t="str">
        <f>VLOOKUP(A121,[1]Sheet!B$3:G$2921,3,0)</f>
        <v>100м2</v>
      </c>
      <c r="D121" s="4">
        <v>23.182000000000002</v>
      </c>
      <c r="E121" s="5" t="e">
        <f>VLOOKUP(A121,N$3:S$1271,4,FALSE)</f>
        <v>#N/A</v>
      </c>
      <c r="F121" s="6">
        <f t="shared" si="4"/>
        <v>23.182000000000002</v>
      </c>
      <c r="G121" s="7">
        <f>VLOOKUP(A121,[1]Sheet!B$3:G$2921,5,0)</f>
        <v>3677.92</v>
      </c>
      <c r="H121" s="5" t="e">
        <f>VLOOKUP(A121,N$3:S$1271,5,FALSE)</f>
        <v>#N/A</v>
      </c>
      <c r="I121" s="6">
        <f t="shared" si="5"/>
        <v>3677.92</v>
      </c>
      <c r="J121" s="7">
        <f>VLOOKUP(A121,[1]Sheet!B$3:G$2921,6,0)</f>
        <v>52136.35</v>
      </c>
      <c r="K121" s="8" t="e">
        <f t="shared" si="6"/>
        <v>#N/A</v>
      </c>
      <c r="L121" s="6">
        <f t="shared" si="7"/>
        <v>52136.35</v>
      </c>
    </row>
    <row r="122" spans="1:12" x14ac:dyDescent="0.25">
      <c r="A122" s="9" t="s">
        <v>121</v>
      </c>
      <c r="B122" s="2" t="str">
        <f>VLOOKUP(A122,[1]Sheet!B$3:G$2921,2,0)</f>
        <v>Утеплення покриттiв дрибною крошкою
газобетону</v>
      </c>
      <c r="C122" s="3" t="str">
        <f>VLOOKUP(A122,[1]Sheet!B$3:G$2921,3,0)</f>
        <v>м3</v>
      </c>
      <c r="D122" s="4">
        <v>134.6</v>
      </c>
      <c r="E122" s="5" t="e">
        <f>VLOOKUP(A122,N$3:S$1271,4,FALSE)</f>
        <v>#N/A</v>
      </c>
      <c r="F122" s="6">
        <f t="shared" si="4"/>
        <v>134.6</v>
      </c>
      <c r="G122" s="7">
        <f>VLOOKUP(A122,[1]Sheet!B$3:G$2921,5,0)</f>
        <v>492.95</v>
      </c>
      <c r="H122" s="5" t="e">
        <f>VLOOKUP(A122,N$3:S$1271,5,FALSE)</f>
        <v>#N/A</v>
      </c>
      <c r="I122" s="6">
        <f t="shared" si="5"/>
        <v>492.95</v>
      </c>
      <c r="J122" s="7">
        <f>VLOOKUP(A122,[1]Sheet!B$3:G$2921,6,0)</f>
        <v>58956.82</v>
      </c>
      <c r="K122" s="8" t="e">
        <f t="shared" si="6"/>
        <v>#N/A</v>
      </c>
      <c r="L122" s="6">
        <f t="shared" si="7"/>
        <v>58956.82</v>
      </c>
    </row>
    <row r="123" spans="1:12" x14ac:dyDescent="0.25">
      <c r="A123" s="9" t="s">
        <v>122</v>
      </c>
      <c r="B123" s="2" t="str">
        <f>VLOOKUP(A123,[1]Sheet!B$3:G$2921,2,0)</f>
        <v>Улаштування пароiзоляцiї прокладної в
один шар</v>
      </c>
      <c r="C123" s="3" t="str">
        <f>VLOOKUP(A123,[1]Sheet!B$3:G$2921,3,0)</f>
        <v>100м2</v>
      </c>
      <c r="D123" s="4">
        <v>60.39220000000001</v>
      </c>
      <c r="E123" s="5" t="e">
        <f>VLOOKUP(A123,N$3:S$1271,4,FALSE)</f>
        <v>#N/A</v>
      </c>
      <c r="F123" s="6">
        <f t="shared" si="4"/>
        <v>60.39220000000001</v>
      </c>
      <c r="G123" s="7">
        <f>VLOOKUP(A123,[1]Sheet!B$3:G$2921,5,0)</f>
        <v>2868.25</v>
      </c>
      <c r="H123" s="5" t="e">
        <f>VLOOKUP(A123,N$3:S$1271,5,FALSE)</f>
        <v>#N/A</v>
      </c>
      <c r="I123" s="6">
        <f t="shared" si="5"/>
        <v>2868.25</v>
      </c>
      <c r="J123" s="7">
        <f>VLOOKUP(A123,[1]Sheet!B$3:G$2921,6,0)</f>
        <v>40658.879999999997</v>
      </c>
      <c r="K123" s="8" t="e">
        <f t="shared" si="6"/>
        <v>#N/A</v>
      </c>
      <c r="L123" s="6">
        <f t="shared" si="7"/>
        <v>40658.879999999997</v>
      </c>
    </row>
    <row r="124" spans="1:12" x14ac:dyDescent="0.25">
      <c r="A124" s="9" t="s">
        <v>123</v>
      </c>
      <c r="B124" s="2" t="str">
        <f>VLOOKUP(A124,[1]Sheet!B$3:G$2921,2,0)</f>
        <v>ґрунтування основ iз бетону або розчину
пiд водоiзоляцiйний покрiвельний килим</v>
      </c>
      <c r="C124" s="3" t="str">
        <f>VLOOKUP(A124,[1]Sheet!B$3:G$2921,3,0)</f>
        <v>100м2</v>
      </c>
      <c r="D124" s="4">
        <v>10.3956</v>
      </c>
      <c r="E124" s="5" t="e">
        <f>VLOOKUP(A124,N$3:S$1271,4,FALSE)</f>
        <v>#N/A</v>
      </c>
      <c r="F124" s="6">
        <f t="shared" si="4"/>
        <v>10.3956</v>
      </c>
      <c r="G124" s="7">
        <f>VLOOKUP(A124,[1]Sheet!B$3:G$2921,5,0)</f>
        <v>497.41</v>
      </c>
      <c r="H124" s="5" t="e">
        <f>VLOOKUP(A124,N$3:S$1271,5,FALSE)</f>
        <v>#N/A</v>
      </c>
      <c r="I124" s="6">
        <f t="shared" si="5"/>
        <v>497.41</v>
      </c>
      <c r="J124" s="7">
        <f>VLOOKUP(A124,[1]Sheet!B$3:G$2921,6,0)</f>
        <v>1716.06</v>
      </c>
      <c r="K124" s="8" t="e">
        <f t="shared" si="6"/>
        <v>#N/A</v>
      </c>
      <c r="L124" s="6">
        <f t="shared" si="7"/>
        <v>1716.06</v>
      </c>
    </row>
    <row r="125" spans="1:12" x14ac:dyDescent="0.25">
      <c r="A125" s="9" t="s">
        <v>124</v>
      </c>
      <c r="B125" s="2" t="str">
        <f>VLOOKUP(A125,[1]Sheet!B$3:G$2921,2,0)</f>
        <v>Улаштування вирiвнюючих стяжок
цементно-пiщаних товщиною 15 мм iз
розчину для мурування важкого
цементного, марки М 50</v>
      </c>
      <c r="C125" s="3" t="str">
        <f>VLOOKUP(A125,[1]Sheet!B$3:G$2921,3,0)</f>
        <v>100м2</v>
      </c>
      <c r="D125" s="4">
        <v>6.0999999999999999E-2</v>
      </c>
      <c r="E125" s="5" t="e">
        <f>VLOOKUP(A125,N$3:S$1271,4,FALSE)</f>
        <v>#N/A</v>
      </c>
      <c r="F125" s="6">
        <f t="shared" si="4"/>
        <v>6.0999999999999999E-2</v>
      </c>
      <c r="G125" s="7">
        <f>VLOOKUP(A125,[1]Sheet!B$3:G$2921,5,0)</f>
        <v>6803.96</v>
      </c>
      <c r="H125" s="5" t="e">
        <f>VLOOKUP(A125,N$3:S$1271,5,FALSE)</f>
        <v>#N/A</v>
      </c>
      <c r="I125" s="6">
        <f t="shared" si="5"/>
        <v>6803.96</v>
      </c>
      <c r="J125" s="7">
        <f>VLOOKUP(A125,[1]Sheet!B$3:G$2921,6,0)</f>
        <v>415.04</v>
      </c>
      <c r="K125" s="8" t="e">
        <f t="shared" si="6"/>
        <v>#N/A</v>
      </c>
      <c r="L125" s="6">
        <f t="shared" si="7"/>
        <v>415.04</v>
      </c>
    </row>
    <row r="126" spans="1:12" x14ac:dyDescent="0.25">
      <c r="A126" s="9" t="s">
        <v>125</v>
      </c>
      <c r="B126" s="2" t="str">
        <f>VLOOKUP(A126,[1]Sheet!B$3:G$2921,2,0)</f>
        <v>Улаштування вирiвнюючих стяжок збiрних
iз плоских азбестоцементних листiв</v>
      </c>
      <c r="C126" s="3" t="str">
        <f>VLOOKUP(A126,[1]Sheet!B$3:G$2921,3,0)</f>
        <v>100м2</v>
      </c>
      <c r="D126" s="4">
        <v>6.8000000000000005E-2</v>
      </c>
      <c r="E126" s="5" t="e">
        <f>VLOOKUP(A126,N$3:S$1271,4,FALSE)</f>
        <v>#N/A</v>
      </c>
      <c r="F126" s="6">
        <f t="shared" si="4"/>
        <v>6.8000000000000005E-2</v>
      </c>
      <c r="G126" s="7">
        <f>VLOOKUP(A126,[1]Sheet!B$3:G$2921,5,0)</f>
        <v>2482.66</v>
      </c>
      <c r="H126" s="5" t="e">
        <f>VLOOKUP(A126,N$3:S$1271,5,FALSE)</f>
        <v>#N/A</v>
      </c>
      <c r="I126" s="6">
        <f t="shared" si="5"/>
        <v>2482.66</v>
      </c>
      <c r="J126" s="7">
        <f>VLOOKUP(A126,[1]Sheet!B$3:G$2921,6,0)</f>
        <v>168.82</v>
      </c>
      <c r="K126" s="8" t="e">
        <f t="shared" si="6"/>
        <v>#N/A</v>
      </c>
      <c r="L126" s="6">
        <f t="shared" si="7"/>
        <v>168.82</v>
      </c>
    </row>
    <row r="127" spans="1:12" x14ac:dyDescent="0.25">
      <c r="A127" s="9" t="s">
        <v>126</v>
      </c>
      <c r="B127" s="2" t="str">
        <f>VLOOKUP(A127,[1]Sheet!B$3:G$2921,2,0)</f>
        <v>Улаштування примикань рулонних i
мастичних покрiвель до стiн i парапетiв
висотою до 600 мм без фартухiв</v>
      </c>
      <c r="C127" s="3" t="str">
        <f>VLOOKUP(A127,[1]Sheet!B$3:G$2921,3,0)</f>
        <v>100м</v>
      </c>
      <c r="D127" s="4">
        <v>0.01</v>
      </c>
      <c r="E127" s="5" t="e">
        <f>VLOOKUP(A127,N$3:S$1271,4,FALSE)</f>
        <v>#N/A</v>
      </c>
      <c r="F127" s="6">
        <f t="shared" si="4"/>
        <v>0.01</v>
      </c>
      <c r="G127" s="7">
        <f>VLOOKUP(A127,[1]Sheet!B$3:G$2921,5,0)</f>
        <v>2704.1</v>
      </c>
      <c r="H127" s="5" t="e">
        <f>VLOOKUP(A127,N$3:S$1271,5,FALSE)</f>
        <v>#N/A</v>
      </c>
      <c r="I127" s="6">
        <f t="shared" si="5"/>
        <v>2704.1</v>
      </c>
      <c r="J127" s="7">
        <f>VLOOKUP(A127,[1]Sheet!B$3:G$2921,6,0)</f>
        <v>27.04</v>
      </c>
      <c r="K127" s="8" t="e">
        <f t="shared" si="6"/>
        <v>#N/A</v>
      </c>
      <c r="L127" s="6">
        <f t="shared" si="7"/>
        <v>27.04</v>
      </c>
    </row>
    <row r="128" spans="1:12" x14ac:dyDescent="0.25">
      <c r="A128" s="9" t="s">
        <v>127</v>
      </c>
      <c r="B128" s="2" t="str">
        <f>VLOOKUP(A128,[1]Sheet!B$3:G$2921,2,0)</f>
        <v>Засипка траншей i котлованiв
бульдозерами потужнiстю 59 кВт [80 к.с.]
з перемiщенням ґрунту до 5 м, група
ґрунтiв 1</v>
      </c>
      <c r="C128" s="3" t="str">
        <f>VLOOKUP(A128,[1]Sheet!B$3:G$2921,3,0)</f>
        <v>1000м3</v>
      </c>
      <c r="D128" s="4">
        <v>5.7830000000000006E-2</v>
      </c>
      <c r="E128" s="5" t="e">
        <f>VLOOKUP(A128,N$3:S$1271,4,FALSE)</f>
        <v>#N/A</v>
      </c>
      <c r="F128" s="6">
        <f t="shared" si="4"/>
        <v>5.7830000000000006E-2</v>
      </c>
      <c r="G128" s="7">
        <f>VLOOKUP(A128,[1]Sheet!B$3:G$2921,5,0)</f>
        <v>4132.5</v>
      </c>
      <c r="H128" s="5" t="e">
        <f>VLOOKUP(A128,N$3:S$1271,5,FALSE)</f>
        <v>#N/A</v>
      </c>
      <c r="I128" s="6">
        <f t="shared" si="5"/>
        <v>4132.5</v>
      </c>
      <c r="J128" s="7">
        <f>VLOOKUP(A128,[1]Sheet!B$3:G$2921,6,0)</f>
        <v>238.98</v>
      </c>
      <c r="K128" s="8" t="e">
        <f t="shared" si="6"/>
        <v>#N/A</v>
      </c>
      <c r="L128" s="6">
        <f t="shared" si="7"/>
        <v>238.98</v>
      </c>
    </row>
    <row r="129" spans="1:12" x14ac:dyDescent="0.25">
      <c r="A129" s="9" t="s">
        <v>128</v>
      </c>
      <c r="B129" s="2" t="str">
        <f>VLOOKUP(A129,[1]Sheet!B$3:G$2921,2,0)</f>
        <v>Засипка траншей i котлованiв
бульдозерами потужнiстю 59 кВт [80 к.с.]
з перемiщенням ґрунту до 5 м, група
ґрунтiв 2</v>
      </c>
      <c r="C129" s="3" t="str">
        <f>VLOOKUP(A129,[1]Sheet!B$3:G$2921,3,0)</f>
        <v>1000м3</v>
      </c>
      <c r="D129" s="4">
        <v>2.7E-2</v>
      </c>
      <c r="E129" s="5" t="e">
        <f>VLOOKUP(A129,N$3:S$1271,4,FALSE)</f>
        <v>#N/A</v>
      </c>
      <c r="F129" s="6">
        <f t="shared" si="4"/>
        <v>2.7E-2</v>
      </c>
      <c r="G129" s="7">
        <f>VLOOKUP(A129,[1]Sheet!B$3:G$2921,5,0)</f>
        <v>4779.38</v>
      </c>
      <c r="H129" s="5" t="e">
        <f>VLOOKUP(A129,N$3:S$1271,5,FALSE)</f>
        <v>#N/A</v>
      </c>
      <c r="I129" s="6">
        <f t="shared" si="5"/>
        <v>4779.38</v>
      </c>
      <c r="J129" s="7">
        <f>VLOOKUP(A129,[1]Sheet!B$3:G$2921,6,0)</f>
        <v>129.04</v>
      </c>
      <c r="K129" s="8" t="e">
        <f t="shared" si="6"/>
        <v>#N/A</v>
      </c>
      <c r="L129" s="6">
        <f t="shared" si="7"/>
        <v>129.04</v>
      </c>
    </row>
    <row r="130" spans="1:12" x14ac:dyDescent="0.25">
      <c r="A130" s="9" t="s">
        <v>129</v>
      </c>
      <c r="B130" s="2" t="str">
        <f>VLOOKUP(A130,[1]Sheet!B$3:G$2921,2,0)</f>
        <v>Улаштування деформацiйних швiв</v>
      </c>
      <c r="C130" s="3" t="str">
        <f>VLOOKUP(A130,[1]Sheet!B$3:G$2921,3,0)</f>
        <v>100м</v>
      </c>
      <c r="D130" s="4">
        <v>0.24399999999999999</v>
      </c>
      <c r="E130" s="5" t="e">
        <f>VLOOKUP(A130,N$3:S$1271,4,FALSE)</f>
        <v>#N/A</v>
      </c>
      <c r="F130" s="6">
        <f t="shared" ref="F130:F193" si="8">IFERROR(D130-E130,D130)</f>
        <v>0.24399999999999999</v>
      </c>
      <c r="G130" s="7">
        <f>VLOOKUP(A130,[1]Sheet!B$3:G$2921,5,0)</f>
        <v>65904.02</v>
      </c>
      <c r="H130" s="5" t="e">
        <f>VLOOKUP(A130,N$3:S$1271,5,FALSE)</f>
        <v>#N/A</v>
      </c>
      <c r="I130" s="6">
        <f t="shared" ref="I130:I193" si="9">IFERROR(G130-H130,G130)</f>
        <v>65904.02</v>
      </c>
      <c r="J130" s="7">
        <f>VLOOKUP(A130,[1]Sheet!B$3:G$2921,6,0)</f>
        <v>8040.29</v>
      </c>
      <c r="K130" s="8" t="e">
        <f t="shared" ref="K130:K193" si="10">VLOOKUP(A130,N$3:S$1271,6,FALSE)</f>
        <v>#N/A</v>
      </c>
      <c r="L130" s="6">
        <f t="shared" ref="L130:L193" si="11">IFERROR(J130-K130,J130)</f>
        <v>8040.29</v>
      </c>
    </row>
    <row r="131" spans="1:12" x14ac:dyDescent="0.25">
      <c r="A131" s="9" t="s">
        <v>130</v>
      </c>
      <c r="B131" s="2" t="str">
        <f>VLOOKUP(A131,[1]Sheet!B$3:G$2921,2,0)</f>
        <v>Планування площ бульдозерами
потужнiстю 79 кВт [108 к.с.] за 1 прохiд</v>
      </c>
      <c r="C131" s="3" t="str">
        <f>VLOOKUP(A131,[1]Sheet!B$3:G$2921,3,0)</f>
        <v>1000м2</v>
      </c>
      <c r="D131" s="4">
        <v>0.40800000000000003</v>
      </c>
      <c r="E131" s="5" t="e">
        <f>VLOOKUP(A131,N$3:S$1271,4,FALSE)</f>
        <v>#N/A</v>
      </c>
      <c r="F131" s="6">
        <f t="shared" si="8"/>
        <v>0.40800000000000003</v>
      </c>
      <c r="G131" s="7">
        <f>VLOOKUP(A131,[1]Sheet!B$3:G$2921,5,0)</f>
        <v>178.13</v>
      </c>
      <c r="H131" s="5" t="e">
        <f>VLOOKUP(A131,N$3:S$1271,5,FALSE)</f>
        <v>#N/A</v>
      </c>
      <c r="I131" s="6">
        <f t="shared" si="9"/>
        <v>178.13</v>
      </c>
      <c r="J131" s="7">
        <f>VLOOKUP(A131,[1]Sheet!B$3:G$2921,6,0)</f>
        <v>72.680000000000007</v>
      </c>
      <c r="K131" s="8" t="e">
        <f t="shared" si="10"/>
        <v>#N/A</v>
      </c>
      <c r="L131" s="6">
        <f t="shared" si="11"/>
        <v>72.680000000000007</v>
      </c>
    </row>
    <row r="132" spans="1:12" x14ac:dyDescent="0.25">
      <c r="A132" s="9" t="s">
        <v>131</v>
      </c>
      <c r="B132" s="2" t="str">
        <f>VLOOKUP(A132,[1]Sheet!B$3:G$2921,2,0)</f>
        <v>Грунтування металевих поверхонь за
один раз грунтовкою ГФ-021 (БП1, БЛ1,
БЛ2, БП2, Кс1, Кс2 )</v>
      </c>
      <c r="C132" s="3" t="str">
        <f>VLOOKUP(A132,[1]Sheet!B$3:G$2921,3,0)</f>
        <v>100м2</v>
      </c>
      <c r="D132" s="4">
        <v>1.3599000000000001</v>
      </c>
      <c r="E132" s="5" t="e">
        <f>VLOOKUP(A132,N$3:S$1271,4,FALSE)</f>
        <v>#N/A</v>
      </c>
      <c r="F132" s="6">
        <f t="shared" si="8"/>
        <v>1.3599000000000001</v>
      </c>
      <c r="G132" s="7">
        <f>VLOOKUP(A132,[1]Sheet!B$3:G$2921,5,0)</f>
        <v>1018.58</v>
      </c>
      <c r="H132" s="5" t="e">
        <f>VLOOKUP(A132,N$3:S$1271,5,FALSE)</f>
        <v>#N/A</v>
      </c>
      <c r="I132" s="6">
        <f t="shared" si="9"/>
        <v>1018.58</v>
      </c>
      <c r="J132" s="7">
        <f>VLOOKUP(A132,[1]Sheet!B$3:G$2921,6,0)</f>
        <v>296.3</v>
      </c>
      <c r="K132" s="8" t="e">
        <f t="shared" si="10"/>
        <v>#N/A</v>
      </c>
      <c r="L132" s="6">
        <f t="shared" si="11"/>
        <v>296.3</v>
      </c>
    </row>
    <row r="133" spans="1:12" x14ac:dyDescent="0.25">
      <c r="A133" s="9" t="s">
        <v>132</v>
      </c>
      <c r="B133" s="2" t="str">
        <f>VLOOKUP(A133,[1]Sheet!B$3:G$2921,2,0)</f>
        <v>Фарбування металевих поґрунтованих
поверхонь емаллю ПФ-115</v>
      </c>
      <c r="C133" s="3" t="str">
        <f>VLOOKUP(A133,[1]Sheet!B$3:G$2921,3,0)</f>
        <v>100м2</v>
      </c>
      <c r="D133" s="4">
        <v>21.380000000000003</v>
      </c>
      <c r="E133" s="5" t="e">
        <f>VLOOKUP(A133,N$3:S$1271,4,FALSE)</f>
        <v>#N/A</v>
      </c>
      <c r="F133" s="6">
        <f t="shared" si="8"/>
        <v>21.380000000000003</v>
      </c>
      <c r="G133" s="7">
        <f>VLOOKUP(A133,[1]Sheet!B$3:G$2921,5,0)</f>
        <v>722.02</v>
      </c>
      <c r="H133" s="5" t="e">
        <f>VLOOKUP(A133,N$3:S$1271,5,FALSE)</f>
        <v>#N/A</v>
      </c>
      <c r="I133" s="6">
        <f t="shared" si="9"/>
        <v>722.02</v>
      </c>
      <c r="J133" s="7">
        <f>VLOOKUP(A133,[1]Sheet!B$3:G$2921,6,0)</f>
        <v>56.14</v>
      </c>
      <c r="K133" s="8" t="e">
        <f t="shared" si="10"/>
        <v>#N/A</v>
      </c>
      <c r="L133" s="6">
        <f t="shared" si="11"/>
        <v>56.14</v>
      </c>
    </row>
    <row r="134" spans="1:12" x14ac:dyDescent="0.25">
      <c r="A134" s="9" t="s">
        <v>133</v>
      </c>
      <c r="B134" s="2" t="str">
        <f>VLOOKUP(A134,[1]Sheet!B$3:G$2921,2,0)</f>
        <v>Обклеювання металевої поверхнi листами
системи Брандізол, в один шар на клеї</v>
      </c>
      <c r="C134" s="3" t="str">
        <f>VLOOKUP(A134,[1]Sheet!B$3:G$2921,3,0)</f>
        <v>м2</v>
      </c>
      <c r="D134" s="4">
        <v>57.73</v>
      </c>
      <c r="E134" s="5" t="e">
        <f>VLOOKUP(A134,N$3:S$1271,4,FALSE)</f>
        <v>#N/A</v>
      </c>
      <c r="F134" s="6">
        <f t="shared" si="8"/>
        <v>57.73</v>
      </c>
      <c r="G134" s="7">
        <f>VLOOKUP(A134,[1]Sheet!B$3:G$2921,5,0)</f>
        <v>147.63999999999999</v>
      </c>
      <c r="H134" s="5" t="e">
        <f>VLOOKUP(A134,N$3:S$1271,5,FALSE)</f>
        <v>#N/A</v>
      </c>
      <c r="I134" s="6">
        <f t="shared" si="9"/>
        <v>147.63999999999999</v>
      </c>
      <c r="J134" s="7">
        <f>VLOOKUP(A134,[1]Sheet!B$3:G$2921,6,0)</f>
        <v>8523.26</v>
      </c>
      <c r="K134" s="8" t="e">
        <f t="shared" si="10"/>
        <v>#N/A</v>
      </c>
      <c r="L134" s="6">
        <f t="shared" si="11"/>
        <v>8523.26</v>
      </c>
    </row>
    <row r="135" spans="1:12" x14ac:dyDescent="0.25">
      <c r="A135" s="9" t="s">
        <v>134</v>
      </c>
      <c r="B135" s="2" t="str">
        <f>VLOOKUP(A135,[1]Sheet!B$3:G$2921,2,0)</f>
        <v>Обклеювання склосіткою, доп. шар</v>
      </c>
      <c r="C135" s="3" t="str">
        <f>VLOOKUP(A135,[1]Sheet!B$3:G$2921,3,0)</f>
        <v>м2</v>
      </c>
      <c r="D135" s="4">
        <v>36.299999999999997</v>
      </c>
      <c r="E135" s="5" t="e">
        <f>VLOOKUP(A135,N$3:S$1271,4,FALSE)</f>
        <v>#N/A</v>
      </c>
      <c r="F135" s="6">
        <f t="shared" si="8"/>
        <v>36.299999999999997</v>
      </c>
      <c r="G135" s="7">
        <f>VLOOKUP(A135,[1]Sheet!B$3:G$2921,5,0)</f>
        <v>48.73</v>
      </c>
      <c r="H135" s="5" t="e">
        <f>VLOOKUP(A135,N$3:S$1271,5,FALSE)</f>
        <v>#N/A</v>
      </c>
      <c r="I135" s="6">
        <f t="shared" si="9"/>
        <v>48.73</v>
      </c>
      <c r="J135" s="7">
        <f>VLOOKUP(A135,[1]Sheet!B$3:G$2921,6,0)</f>
        <v>1768.9</v>
      </c>
      <c r="K135" s="8" t="e">
        <f t="shared" si="10"/>
        <v>#N/A</v>
      </c>
      <c r="L135" s="6">
        <f t="shared" si="11"/>
        <v>1768.9</v>
      </c>
    </row>
    <row r="136" spans="1:12" x14ac:dyDescent="0.25">
      <c r="A136" s="9" t="s">
        <v>135</v>
      </c>
      <c r="B136" s="2" t="str">
        <f>VLOOKUP(A136,[1]Sheet!B$3:G$2921,2,0)</f>
        <v>Знежирювання поверхонь апаратiв i
трубопроводiв дiаметром бiльше 500 мм
уайт-спиритом /при роботi з риштувань,
пiдвiсних помостiв, колисок на висотi
бiльше 4 м/</v>
      </c>
      <c r="C136" s="3" t="str">
        <f>VLOOKUP(A136,[1]Sheet!B$3:G$2921,3,0)</f>
        <v>100м2</v>
      </c>
      <c r="D136" s="4">
        <v>0.57730000000000004</v>
      </c>
      <c r="E136" s="5" t="e">
        <f>VLOOKUP(A136,N$3:S$1271,4,FALSE)</f>
        <v>#N/A</v>
      </c>
      <c r="F136" s="6">
        <f t="shared" si="8"/>
        <v>0.57730000000000004</v>
      </c>
      <c r="G136" s="7">
        <f>VLOOKUP(A136,[1]Sheet!B$3:G$2921,5,0)</f>
        <v>2451.9899999999998</v>
      </c>
      <c r="H136" s="5" t="e">
        <f>VLOOKUP(A136,N$3:S$1271,5,FALSE)</f>
        <v>#N/A</v>
      </c>
      <c r="I136" s="6">
        <f t="shared" si="9"/>
        <v>2451.9899999999998</v>
      </c>
      <c r="J136" s="7">
        <f>VLOOKUP(A136,[1]Sheet!B$3:G$2921,6,0)</f>
        <v>1415.53</v>
      </c>
      <c r="K136" s="8" t="e">
        <f t="shared" si="10"/>
        <v>#N/A</v>
      </c>
      <c r="L136" s="6">
        <f t="shared" si="11"/>
        <v>1415.53</v>
      </c>
    </row>
    <row r="137" spans="1:12" x14ac:dyDescent="0.25">
      <c r="A137" s="9" t="s">
        <v>136</v>
      </c>
      <c r="B137" s="2" t="str">
        <f>VLOOKUP(A137,[1]Sheet!B$3:G$2921,2,0)</f>
        <v>Улаштування i розбирання засобiв
пiдмощування для фарбування
металоконструкцiй покриттiв будiвель i
споруд</v>
      </c>
      <c r="C137" s="3" t="str">
        <f>VLOOKUP(A137,[1]Sheet!B$3:G$2921,3,0)</f>
        <v>т</v>
      </c>
      <c r="D137" s="4">
        <v>40.36</v>
      </c>
      <c r="E137" s="5" t="e">
        <f>VLOOKUP(A137,N$3:S$1271,4,FALSE)</f>
        <v>#N/A</v>
      </c>
      <c r="F137" s="6">
        <f t="shared" si="8"/>
        <v>40.36</v>
      </c>
      <c r="G137" s="7">
        <f>VLOOKUP(A137,[1]Sheet!B$3:G$2921,5,0)</f>
        <v>407.99</v>
      </c>
      <c r="H137" s="5" t="e">
        <f>VLOOKUP(A137,N$3:S$1271,5,FALSE)</f>
        <v>#N/A</v>
      </c>
      <c r="I137" s="6">
        <f t="shared" si="9"/>
        <v>407.99</v>
      </c>
      <c r="J137" s="7">
        <f>VLOOKUP(A137,[1]Sheet!B$3:G$2921,6,0)</f>
        <v>16466.48</v>
      </c>
      <c r="K137" s="8" t="e">
        <f t="shared" si="10"/>
        <v>#N/A</v>
      </c>
      <c r="L137" s="6">
        <f t="shared" si="11"/>
        <v>16466.48</v>
      </c>
    </row>
    <row r="138" spans="1:12" x14ac:dyDescent="0.25">
      <c r="A138" s="9" t="s">
        <v>137</v>
      </c>
      <c r="B138" s="2" t="str">
        <f>VLOOKUP(A138,[1]Sheet!B$3:G$2921,2,0)</f>
        <v>Улаштування i розбирання засобiв
пiдмощування для фарбування
металоконструкцiй колон, з'єднань, балок,
фахверкiв та iнших елементiв будiвель i
споруд</v>
      </c>
      <c r="C138" s="3" t="str">
        <f>VLOOKUP(A138,[1]Sheet!B$3:G$2921,3,0)</f>
        <v>т</v>
      </c>
      <c r="D138" s="4">
        <v>75.69</v>
      </c>
      <c r="E138" s="5" t="e">
        <f>VLOOKUP(A138,N$3:S$1271,4,FALSE)</f>
        <v>#N/A</v>
      </c>
      <c r="F138" s="6">
        <f t="shared" si="8"/>
        <v>75.69</v>
      </c>
      <c r="G138" s="7">
        <f>VLOOKUP(A138,[1]Sheet!B$3:G$2921,5,0)</f>
        <v>224.09</v>
      </c>
      <c r="H138" s="5" t="e">
        <f>VLOOKUP(A138,N$3:S$1271,5,FALSE)</f>
        <v>#N/A</v>
      </c>
      <c r="I138" s="6">
        <f t="shared" si="9"/>
        <v>224.09</v>
      </c>
      <c r="J138" s="7">
        <f>VLOOKUP(A138,[1]Sheet!B$3:G$2921,6,0)</f>
        <v>16961.37</v>
      </c>
      <c r="K138" s="8" t="e">
        <f t="shared" si="10"/>
        <v>#N/A</v>
      </c>
      <c r="L138" s="6">
        <f t="shared" si="11"/>
        <v>16961.37</v>
      </c>
    </row>
    <row r="139" spans="1:12" x14ac:dyDescent="0.25">
      <c r="A139" s="9" t="s">
        <v>138</v>
      </c>
      <c r="B139" s="2" t="str">
        <f>VLOOKUP(A139,[1]Sheet!B$3:G$2921,2,0)</f>
        <v>На кожний наступний шар нанесення
механiзованим способом покриття з
вогнезахисного матерiалу "АК-121
Defender M Solvent" додавати до норми 13-
74-5 /при роботi з риштувань,пiдвiсних
помостiв, колисок на висотi бiльше 4 м/</v>
      </c>
      <c r="C139" s="3" t="str">
        <f>VLOOKUP(A139,[1]Sheet!B$3:G$2921,3,0)</f>
        <v>100м2</v>
      </c>
      <c r="D139" s="4">
        <v>25.881799999999998</v>
      </c>
      <c r="E139" s="5" t="e">
        <f>VLOOKUP(A139,N$3:S$1271,4,FALSE)</f>
        <v>#N/A</v>
      </c>
      <c r="F139" s="6">
        <f t="shared" si="8"/>
        <v>25.881799999999998</v>
      </c>
      <c r="G139" s="7">
        <f>VLOOKUP(A139,[1]Sheet!B$3:G$2921,5,0)</f>
        <v>4471.97</v>
      </c>
      <c r="H139" s="5" t="e">
        <f>VLOOKUP(A139,N$3:S$1271,5,FALSE)</f>
        <v>#N/A</v>
      </c>
      <c r="I139" s="6">
        <f t="shared" si="9"/>
        <v>4471.97</v>
      </c>
      <c r="J139" s="7">
        <f>VLOOKUP(A139,[1]Sheet!B$3:G$2921,6,0)</f>
        <v>115742.63</v>
      </c>
      <c r="K139" s="8" t="e">
        <f t="shared" si="10"/>
        <v>#N/A</v>
      </c>
      <c r="L139" s="6">
        <f t="shared" si="11"/>
        <v>115742.63</v>
      </c>
    </row>
    <row r="140" spans="1:12" x14ac:dyDescent="0.25">
      <c r="A140" s="9" t="s">
        <v>139</v>
      </c>
      <c r="B140" s="2" t="str">
        <f>VLOOKUP(A140,[1]Sheet!B$3:G$2921,2,0)</f>
        <v>Прокладання трубопроводiв опалення i
водопостачання зi стальних
електрозварних труб дiаметром до 40 мм</v>
      </c>
      <c r="C140" s="3" t="str">
        <f>VLOOKUP(A140,[1]Sheet!B$3:G$2921,3,0)</f>
        <v>100м</v>
      </c>
      <c r="D140" s="4">
        <v>0.23500000000000001</v>
      </c>
      <c r="E140" s="5" t="e">
        <f>VLOOKUP(A140,N$3:S$1271,4,FALSE)</f>
        <v>#N/A</v>
      </c>
      <c r="F140" s="6">
        <f t="shared" si="8"/>
        <v>0.23500000000000001</v>
      </c>
      <c r="G140" s="7">
        <f>VLOOKUP(A140,[1]Sheet!B$3:G$2921,5,0)</f>
        <v>7778.62</v>
      </c>
      <c r="H140" s="5" t="e">
        <f>VLOOKUP(A140,N$3:S$1271,5,FALSE)</f>
        <v>#N/A</v>
      </c>
      <c r="I140" s="6">
        <f t="shared" si="9"/>
        <v>7778.62</v>
      </c>
      <c r="J140" s="7">
        <f>VLOOKUP(A140,[1]Sheet!B$3:G$2921,6,0)</f>
        <v>1827.98</v>
      </c>
      <c r="K140" s="8" t="e">
        <f t="shared" si="10"/>
        <v>#N/A</v>
      </c>
      <c r="L140" s="6">
        <f t="shared" si="11"/>
        <v>1827.98</v>
      </c>
    </row>
    <row r="141" spans="1:12" x14ac:dyDescent="0.25">
      <c r="A141" s="9" t="s">
        <v>140</v>
      </c>
      <c r="B141" s="2" t="str">
        <f>VLOOKUP(A141,[1]Sheet!B$3:G$2921,2,0)</f>
        <v>Прокладання трубопроводiв опалення i
водопостачання зi стальних
електрозварних труб дiаметром 50 мм</v>
      </c>
      <c r="C141" s="3" t="str">
        <f>VLOOKUP(A141,[1]Sheet!B$3:G$2921,3,0)</f>
        <v>100м</v>
      </c>
      <c r="D141" s="4">
        <v>0.95</v>
      </c>
      <c r="E141" s="5" t="e">
        <f>VLOOKUP(A141,N$3:S$1271,4,FALSE)</f>
        <v>#N/A</v>
      </c>
      <c r="F141" s="6">
        <f t="shared" si="8"/>
        <v>0.95</v>
      </c>
      <c r="G141" s="7">
        <f>VLOOKUP(A141,[1]Sheet!B$3:G$2921,5,0)</f>
        <v>48123.92</v>
      </c>
      <c r="H141" s="5" t="e">
        <f>VLOOKUP(A141,N$3:S$1271,5,FALSE)</f>
        <v>#N/A</v>
      </c>
      <c r="I141" s="6">
        <f t="shared" si="9"/>
        <v>48123.92</v>
      </c>
      <c r="J141" s="7">
        <f>VLOOKUP(A141,[1]Sheet!B$3:G$2921,6,0)</f>
        <v>45236.480000000003</v>
      </c>
      <c r="K141" s="8" t="e">
        <f t="shared" si="10"/>
        <v>#N/A</v>
      </c>
      <c r="L141" s="6">
        <f t="shared" si="11"/>
        <v>45236.480000000003</v>
      </c>
    </row>
    <row r="142" spans="1:12" x14ac:dyDescent="0.25">
      <c r="A142" s="9" t="s">
        <v>141</v>
      </c>
      <c r="B142" s="2" t="str">
        <f>VLOOKUP(A142,[1]Sheet!B$3:G$2921,2,0)</f>
        <v>Демонтування трубопроводiв опалення i
водопостачання зi стальних
електрозварних труб дiаметром 50 мм</v>
      </c>
      <c r="C142" s="3" t="str">
        <f>VLOOKUP(A142,[1]Sheet!B$3:G$2921,3,0)</f>
        <v>100м</v>
      </c>
      <c r="D142" s="4">
        <v>0.04</v>
      </c>
      <c r="E142" s="5" t="e">
        <f>VLOOKUP(A142,N$3:S$1271,4,FALSE)</f>
        <v>#N/A</v>
      </c>
      <c r="F142" s="6">
        <f t="shared" si="8"/>
        <v>0.04</v>
      </c>
      <c r="G142" s="7">
        <f>VLOOKUP(A142,[1]Sheet!B$3:G$2921,5,0)</f>
        <v>3094.2</v>
      </c>
      <c r="H142" s="5" t="e">
        <f>VLOOKUP(A142,N$3:S$1271,5,FALSE)</f>
        <v>#N/A</v>
      </c>
      <c r="I142" s="6">
        <f t="shared" si="9"/>
        <v>3094.2</v>
      </c>
      <c r="J142" s="7">
        <f>VLOOKUP(A142,[1]Sheet!B$3:G$2921,6,0)</f>
        <v>123.77</v>
      </c>
      <c r="K142" s="8" t="e">
        <f t="shared" si="10"/>
        <v>#N/A</v>
      </c>
      <c r="L142" s="6">
        <f t="shared" si="11"/>
        <v>123.77</v>
      </c>
    </row>
    <row r="143" spans="1:12" x14ac:dyDescent="0.25">
      <c r="A143" s="9" t="s">
        <v>142</v>
      </c>
      <c r="B143" s="2" t="str">
        <f>VLOOKUP(A143,[1]Sheet!B$3:G$2921,2,0)</f>
        <v>Прокладання трубопроводiв опалення i
водопостачання зi стальних
електрозварних труб дiаметром 65 мм</v>
      </c>
      <c r="C143" s="3" t="str">
        <f>VLOOKUP(A143,[1]Sheet!B$3:G$2921,3,0)</f>
        <v>100м</v>
      </c>
      <c r="D143" s="4">
        <v>0.26</v>
      </c>
      <c r="E143" s="5" t="e">
        <f>VLOOKUP(A143,N$3:S$1271,4,FALSE)</f>
        <v>#N/A</v>
      </c>
      <c r="F143" s="6">
        <f t="shared" si="8"/>
        <v>0.26</v>
      </c>
      <c r="G143" s="7">
        <f>VLOOKUP(A143,[1]Sheet!B$3:G$2921,5,0)</f>
        <v>8860.89</v>
      </c>
      <c r="H143" s="5" t="e">
        <f>VLOOKUP(A143,N$3:S$1271,5,FALSE)</f>
        <v>#N/A</v>
      </c>
      <c r="I143" s="6">
        <f t="shared" si="9"/>
        <v>8860.89</v>
      </c>
      <c r="J143" s="7">
        <f>VLOOKUP(A143,[1]Sheet!B$3:G$2921,6,0)</f>
        <v>2303.83</v>
      </c>
      <c r="K143" s="8" t="e">
        <f t="shared" si="10"/>
        <v>#N/A</v>
      </c>
      <c r="L143" s="6">
        <f t="shared" si="11"/>
        <v>2303.83</v>
      </c>
    </row>
    <row r="144" spans="1:12" x14ac:dyDescent="0.25">
      <c r="A144" s="9" t="s">
        <v>143</v>
      </c>
      <c r="B144" s="2" t="str">
        <f>VLOOKUP(A144,[1]Sheet!B$3:G$2921,2,0)</f>
        <v>Демонтування трубопроводiв опалення i
водопостачання зi стальних
електрозварних труб дiаметром 65 мм</v>
      </c>
      <c r="C144" s="3" t="str">
        <f>VLOOKUP(A144,[1]Sheet!B$3:G$2921,3,0)</f>
        <v>100м</v>
      </c>
      <c r="D144" s="4">
        <v>0.96</v>
      </c>
      <c r="E144" s="5" t="e">
        <f>VLOOKUP(A144,N$3:S$1271,4,FALSE)</f>
        <v>#N/A</v>
      </c>
      <c r="F144" s="6">
        <f t="shared" si="8"/>
        <v>0.96</v>
      </c>
      <c r="G144" s="7">
        <f>VLOOKUP(A144,[1]Sheet!B$3:G$2921,5,0)</f>
        <v>3498.88</v>
      </c>
      <c r="H144" s="5" t="e">
        <f>VLOOKUP(A144,N$3:S$1271,5,FALSE)</f>
        <v>#N/A</v>
      </c>
      <c r="I144" s="6">
        <f t="shared" si="9"/>
        <v>3498.88</v>
      </c>
      <c r="J144" s="7">
        <f>VLOOKUP(A144,[1]Sheet!B$3:G$2921,6,0)</f>
        <v>3358.92</v>
      </c>
      <c r="K144" s="8" t="e">
        <f t="shared" si="10"/>
        <v>#N/A</v>
      </c>
      <c r="L144" s="6">
        <f t="shared" si="11"/>
        <v>3358.92</v>
      </c>
    </row>
    <row r="145" spans="1:12" x14ac:dyDescent="0.25">
      <c r="A145" s="9" t="s">
        <v>144</v>
      </c>
      <c r="B145" s="2" t="str">
        <f>VLOOKUP(A145,[1]Sheet!B$3:G$2921,2,0)</f>
        <v>Прокладання трубопроводiв опалення i
водопостачання зi стальних
електрозварних труб дiаметром 80 мм</v>
      </c>
      <c r="C145" s="3" t="str">
        <f>VLOOKUP(A145,[1]Sheet!B$3:G$2921,3,0)</f>
        <v>100м</v>
      </c>
      <c r="D145" s="4">
        <v>1</v>
      </c>
      <c r="E145" s="5" t="e">
        <f>VLOOKUP(A145,N$3:S$1271,4,FALSE)</f>
        <v>#N/A</v>
      </c>
      <c r="F145" s="6">
        <f t="shared" si="8"/>
        <v>1</v>
      </c>
      <c r="G145" s="7">
        <f>VLOOKUP(A145,[1]Sheet!B$3:G$2921,5,0)</f>
        <v>10113.549999999999</v>
      </c>
      <c r="H145" s="5" t="e">
        <f>VLOOKUP(A145,N$3:S$1271,5,FALSE)</f>
        <v>#N/A</v>
      </c>
      <c r="I145" s="6">
        <f t="shared" si="9"/>
        <v>10113.549999999999</v>
      </c>
      <c r="J145" s="7">
        <f>VLOOKUP(A145,[1]Sheet!B$3:G$2921,6,0)</f>
        <v>10113.549999999999</v>
      </c>
      <c r="K145" s="8" t="e">
        <f t="shared" si="10"/>
        <v>#N/A</v>
      </c>
      <c r="L145" s="6">
        <f t="shared" si="11"/>
        <v>10113.549999999999</v>
      </c>
    </row>
    <row r="146" spans="1:12" x14ac:dyDescent="0.25">
      <c r="A146" s="9" t="s">
        <v>145</v>
      </c>
      <c r="B146" s="2" t="str">
        <f>VLOOKUP(A146,[1]Sheet!B$3:G$2921,2,0)</f>
        <v>Прокладання трубопроводiв опалення i
водопостачання зi стальних
електрозварних труб дiаметром 100 мм</v>
      </c>
      <c r="C146" s="3" t="str">
        <f>VLOOKUP(A146,[1]Sheet!B$3:G$2921,3,0)</f>
        <v>100м</v>
      </c>
      <c r="D146" s="4">
        <v>0.12</v>
      </c>
      <c r="E146" s="5" t="e">
        <f>VLOOKUP(A146,N$3:S$1271,4,FALSE)</f>
        <v>#N/A</v>
      </c>
      <c r="F146" s="6">
        <f t="shared" si="8"/>
        <v>0.12</v>
      </c>
      <c r="G146" s="7">
        <f>VLOOKUP(A146,[1]Sheet!B$3:G$2921,5,0)</f>
        <v>89112.6</v>
      </c>
      <c r="H146" s="5" t="e">
        <f>VLOOKUP(A146,N$3:S$1271,5,FALSE)</f>
        <v>#N/A</v>
      </c>
      <c r="I146" s="6">
        <f t="shared" si="9"/>
        <v>89112.6</v>
      </c>
      <c r="J146" s="7">
        <f>VLOOKUP(A146,[1]Sheet!B$3:G$2921,6,0)</f>
        <v>10693.51</v>
      </c>
      <c r="K146" s="8" t="e">
        <f t="shared" si="10"/>
        <v>#N/A</v>
      </c>
      <c r="L146" s="6">
        <f t="shared" si="11"/>
        <v>10693.51</v>
      </c>
    </row>
    <row r="147" spans="1:12" x14ac:dyDescent="0.25">
      <c r="A147" s="9" t="s">
        <v>146</v>
      </c>
      <c r="B147" s="2" t="str">
        <f>VLOOKUP(A147,[1]Sheet!B$3:G$2921,2,0)</f>
        <v>Прокладання трубопроводiв опалення i
водопостачання зi стальних
електрозварних труб дiаметром 150 мм</v>
      </c>
      <c r="C147" s="3" t="str">
        <f>VLOOKUP(A147,[1]Sheet!B$3:G$2921,3,0)</f>
        <v>100м</v>
      </c>
      <c r="D147" s="4">
        <v>0.05</v>
      </c>
      <c r="E147" s="5" t="e">
        <f>VLOOKUP(A147,N$3:S$1271,4,FALSE)</f>
        <v>#N/A</v>
      </c>
      <c r="F147" s="6">
        <f t="shared" si="8"/>
        <v>0.05</v>
      </c>
      <c r="G147" s="7">
        <f>VLOOKUP(A147,[1]Sheet!B$3:G$2921,5,0)</f>
        <v>131219.79999999999</v>
      </c>
      <c r="H147" s="5" t="e">
        <f>VLOOKUP(A147,N$3:S$1271,5,FALSE)</f>
        <v>#N/A</v>
      </c>
      <c r="I147" s="6">
        <f t="shared" si="9"/>
        <v>131219.79999999999</v>
      </c>
      <c r="J147" s="7">
        <f>VLOOKUP(A147,[1]Sheet!B$3:G$2921,6,0)</f>
        <v>6560.99</v>
      </c>
      <c r="K147" s="8" t="e">
        <f t="shared" si="10"/>
        <v>#N/A</v>
      </c>
      <c r="L147" s="6">
        <f t="shared" si="11"/>
        <v>6560.99</v>
      </c>
    </row>
    <row r="148" spans="1:12" x14ac:dyDescent="0.25">
      <c r="A148" s="9" t="s">
        <v>147</v>
      </c>
      <c r="B148" s="2" t="str">
        <f>VLOOKUP(A148,[1]Sheet!B$3:G$2921,2,0)</f>
        <v>Прокладання трубопроводiв опалення i
водопостачання зi стальних
електрозварних труб дiаметром 200 мм</v>
      </c>
      <c r="C148" s="3" t="str">
        <f>VLOOKUP(A148,[1]Sheet!B$3:G$2921,3,0)</f>
        <v>100м</v>
      </c>
      <c r="D148" s="4">
        <v>0.4</v>
      </c>
      <c r="E148" s="5" t="e">
        <f>VLOOKUP(A148,N$3:S$1271,4,FALSE)</f>
        <v>#N/A</v>
      </c>
      <c r="F148" s="6">
        <f t="shared" si="8"/>
        <v>0.4</v>
      </c>
      <c r="G148" s="7">
        <f>VLOOKUP(A148,[1]Sheet!B$3:G$2921,5,0)</f>
        <v>135807.82</v>
      </c>
      <c r="H148" s="5" t="e">
        <f>VLOOKUP(A148,N$3:S$1271,5,FALSE)</f>
        <v>#N/A</v>
      </c>
      <c r="I148" s="6">
        <f t="shared" si="9"/>
        <v>135807.82</v>
      </c>
      <c r="J148" s="7">
        <f>VLOOKUP(A148,[1]Sheet!B$3:G$2921,6,0)</f>
        <v>54323.13</v>
      </c>
      <c r="K148" s="8" t="e">
        <f t="shared" si="10"/>
        <v>#N/A</v>
      </c>
      <c r="L148" s="6">
        <f t="shared" si="11"/>
        <v>54323.13</v>
      </c>
    </row>
    <row r="149" spans="1:12" x14ac:dyDescent="0.25">
      <c r="A149" s="9" t="s">
        <v>148</v>
      </c>
      <c r="B149" s="2" t="str">
        <f>VLOOKUP(A149,[1]Sheet!B$3:G$2921,2,0)</f>
        <v>Демонтаж трубопровода водопостачання
зi стальних труб дiаметром 219 мм</v>
      </c>
      <c r="C149" s="3" t="str">
        <f>VLOOKUP(A149,[1]Sheet!B$3:G$2921,3,0)</f>
        <v>100м</v>
      </c>
      <c r="D149" s="4">
        <v>0.31</v>
      </c>
      <c r="E149" s="5" t="e">
        <f>VLOOKUP(A149,N$3:S$1271,4,FALSE)</f>
        <v>#N/A</v>
      </c>
      <c r="F149" s="6">
        <f t="shared" si="8"/>
        <v>0.31</v>
      </c>
      <c r="G149" s="7">
        <f>VLOOKUP(A149,[1]Sheet!B$3:G$2921,5,0)</f>
        <v>10222.68</v>
      </c>
      <c r="H149" s="5" t="e">
        <f>VLOOKUP(A149,N$3:S$1271,5,FALSE)</f>
        <v>#N/A</v>
      </c>
      <c r="I149" s="6">
        <f t="shared" si="9"/>
        <v>10222.68</v>
      </c>
      <c r="J149" s="7">
        <f>VLOOKUP(A149,[1]Sheet!B$3:G$2921,6,0)</f>
        <v>3169.03</v>
      </c>
      <c r="K149" s="8" t="e">
        <f t="shared" si="10"/>
        <v>#N/A</v>
      </c>
      <c r="L149" s="6">
        <f t="shared" si="11"/>
        <v>3169.03</v>
      </c>
    </row>
    <row r="150" spans="1:12" x14ac:dyDescent="0.25">
      <c r="A150" s="9" t="s">
        <v>149</v>
      </c>
      <c r="B150" s="2" t="str">
        <f>VLOOKUP(A150,[1]Sheet!B$3:G$2921,2,0)</f>
        <v>Установлення фланцевих з'єднань на
стальних трубопроводах дiаметром 150
мм</v>
      </c>
      <c r="C150" s="3" t="str">
        <f>VLOOKUP(A150,[1]Sheet!B$3:G$2921,3,0)</f>
        <v>шт</v>
      </c>
      <c r="D150" s="4">
        <v>3</v>
      </c>
      <c r="E150" s="5" t="e">
        <f>VLOOKUP(A150,N$3:S$1271,4,FALSE)</f>
        <v>#N/A</v>
      </c>
      <c r="F150" s="6">
        <f t="shared" si="8"/>
        <v>3</v>
      </c>
      <c r="G150" s="7">
        <f>VLOOKUP(A150,[1]Sheet!B$3:G$2921,5,0)</f>
        <v>1909.73</v>
      </c>
      <c r="H150" s="5" t="e">
        <f>VLOOKUP(A150,N$3:S$1271,5,FALSE)</f>
        <v>#N/A</v>
      </c>
      <c r="I150" s="6">
        <f t="shared" si="9"/>
        <v>1909.73</v>
      </c>
      <c r="J150" s="7">
        <f>VLOOKUP(A150,[1]Sheet!B$3:G$2921,6,0)</f>
        <v>5729.19</v>
      </c>
      <c r="K150" s="8" t="e">
        <f t="shared" si="10"/>
        <v>#N/A</v>
      </c>
      <c r="L150" s="6">
        <f t="shared" si="11"/>
        <v>5729.19</v>
      </c>
    </row>
    <row r="151" spans="1:12" x14ac:dyDescent="0.25">
      <c r="A151" s="9" t="s">
        <v>150</v>
      </c>
      <c r="B151" s="2" t="str">
        <f>VLOOKUP(A151,[1]Sheet!B$3:G$2921,2,0)</f>
        <v>Установлення фланцевих з'єднань на
стальних трубопроводах дiаметром 200
мм</v>
      </c>
      <c r="C151" s="3" t="str">
        <f>VLOOKUP(A151,[1]Sheet!B$3:G$2921,3,0)</f>
        <v>шт</v>
      </c>
      <c r="D151" s="4">
        <v>4</v>
      </c>
      <c r="E151" s="5" t="e">
        <f>VLOOKUP(A151,N$3:S$1271,4,FALSE)</f>
        <v>#N/A</v>
      </c>
      <c r="F151" s="6">
        <f t="shared" si="8"/>
        <v>4</v>
      </c>
      <c r="G151" s="7">
        <f>VLOOKUP(A151,[1]Sheet!B$3:G$2921,5,0)</f>
        <v>2660.81</v>
      </c>
      <c r="H151" s="5" t="e">
        <f>VLOOKUP(A151,N$3:S$1271,5,FALSE)</f>
        <v>#N/A</v>
      </c>
      <c r="I151" s="6">
        <f t="shared" si="9"/>
        <v>2660.81</v>
      </c>
      <c r="J151" s="7">
        <f>VLOOKUP(A151,[1]Sheet!B$3:G$2921,6,0)</f>
        <v>10643.24</v>
      </c>
      <c r="K151" s="8" t="e">
        <f t="shared" si="10"/>
        <v>#N/A</v>
      </c>
      <c r="L151" s="6">
        <f t="shared" si="11"/>
        <v>10643.24</v>
      </c>
    </row>
    <row r="152" spans="1:12" x14ac:dyDescent="0.25">
      <c r="A152" s="9" t="s">
        <v>151</v>
      </c>
      <c r="B152" s="2" t="str">
        <f>VLOOKUP(A152,[1]Sheet!B$3:G$2921,2,0)</f>
        <v>Прокладання трубопроводiв каналiзацiї з
полiетиленових труб низького тиску
дiаметром 50 мм</v>
      </c>
      <c r="C152" s="3" t="str">
        <f>VLOOKUP(A152,[1]Sheet!B$3:G$2921,3,0)</f>
        <v>100м</v>
      </c>
      <c r="D152" s="4">
        <v>0.19</v>
      </c>
      <c r="E152" s="5" t="e">
        <f>VLOOKUP(A152,N$3:S$1271,4,FALSE)</f>
        <v>#N/A</v>
      </c>
      <c r="F152" s="6">
        <f t="shared" si="8"/>
        <v>0.19</v>
      </c>
      <c r="G152" s="7">
        <f>VLOOKUP(A152,[1]Sheet!B$3:G$2921,5,0)</f>
        <v>7069.98</v>
      </c>
      <c r="H152" s="5" t="e">
        <f>VLOOKUP(A152,N$3:S$1271,5,FALSE)</f>
        <v>#N/A</v>
      </c>
      <c r="I152" s="6">
        <f t="shared" si="9"/>
        <v>7069.98</v>
      </c>
      <c r="J152" s="7">
        <f>VLOOKUP(A152,[1]Sheet!B$3:G$2921,6,0)</f>
        <v>1343.3</v>
      </c>
      <c r="K152" s="8" t="e">
        <f t="shared" si="10"/>
        <v>#N/A</v>
      </c>
      <c r="L152" s="6">
        <f t="shared" si="11"/>
        <v>1343.3</v>
      </c>
    </row>
    <row r="153" spans="1:12" x14ac:dyDescent="0.25">
      <c r="A153" s="9" t="s">
        <v>152</v>
      </c>
      <c r="B153" s="2" t="str">
        <f>VLOOKUP(A153,[1]Sheet!B$3:G$2921,2,0)</f>
        <v>Прокладання трубопроводiв каналiзацiї з
полiетиленових труб низького тиску
дiаметром 100 мм</v>
      </c>
      <c r="C153" s="3" t="str">
        <f>VLOOKUP(A153,[1]Sheet!B$3:G$2921,3,0)</f>
        <v>100м</v>
      </c>
      <c r="D153" s="4">
        <v>2.1850000000000001</v>
      </c>
      <c r="E153" s="5" t="e">
        <f>VLOOKUP(A153,N$3:S$1271,4,FALSE)</f>
        <v>#N/A</v>
      </c>
      <c r="F153" s="6">
        <f t="shared" si="8"/>
        <v>2.1850000000000001</v>
      </c>
      <c r="G153" s="7">
        <f>VLOOKUP(A153,[1]Sheet!B$3:G$2921,5,0)</f>
        <v>6917.42</v>
      </c>
      <c r="H153" s="5" t="e">
        <f>VLOOKUP(A153,N$3:S$1271,5,FALSE)</f>
        <v>#N/A</v>
      </c>
      <c r="I153" s="6">
        <f t="shared" si="9"/>
        <v>6917.42</v>
      </c>
      <c r="J153" s="7">
        <f>VLOOKUP(A153,[1]Sheet!B$3:G$2921,6,0)</f>
        <v>6917.42</v>
      </c>
      <c r="K153" s="8" t="e">
        <f t="shared" si="10"/>
        <v>#N/A</v>
      </c>
      <c r="L153" s="6">
        <f t="shared" si="11"/>
        <v>6917.42</v>
      </c>
    </row>
    <row r="154" spans="1:12" x14ac:dyDescent="0.25">
      <c r="A154" s="9" t="s">
        <v>153</v>
      </c>
      <c r="B154" s="2" t="str">
        <f>VLOOKUP(A154,[1]Sheet!B$3:G$2921,2,0)</f>
        <v>Демонтаж трубопроводiв каналiзацiї з
полiетиленових труб низького тиску
дiаметром 100 мм</v>
      </c>
      <c r="C154" s="3" t="str">
        <f>VLOOKUP(A154,[1]Sheet!B$3:G$2921,3,0)</f>
        <v>100м</v>
      </c>
      <c r="D154" s="4">
        <v>0.51</v>
      </c>
      <c r="E154" s="5" t="e">
        <f>VLOOKUP(A154,N$3:S$1271,4,FALSE)</f>
        <v>#N/A</v>
      </c>
      <c r="F154" s="6">
        <f t="shared" si="8"/>
        <v>0.51</v>
      </c>
      <c r="G154" s="7">
        <f>VLOOKUP(A154,[1]Sheet!B$3:G$2921,5,0)</f>
        <v>2671.81</v>
      </c>
      <c r="H154" s="5" t="e">
        <f>VLOOKUP(A154,N$3:S$1271,5,FALSE)</f>
        <v>#N/A</v>
      </c>
      <c r="I154" s="6">
        <f t="shared" si="9"/>
        <v>2671.81</v>
      </c>
      <c r="J154" s="7">
        <f>VLOOKUP(A154,[1]Sheet!B$3:G$2921,6,0)</f>
        <v>240.46</v>
      </c>
      <c r="K154" s="8" t="e">
        <f t="shared" si="10"/>
        <v>#N/A</v>
      </c>
      <c r="L154" s="6">
        <f t="shared" si="11"/>
        <v>240.46</v>
      </c>
    </row>
    <row r="155" spans="1:12" x14ac:dyDescent="0.25">
      <c r="A155" s="9" t="s">
        <v>154</v>
      </c>
      <c r="B155" s="2" t="str">
        <f>VLOOKUP(A155,[1]Sheet!B$3:G$2921,2,0)</f>
        <v>Прокладання трубопроводiв
водопостачання з напiрних
полiетиленових труб високого тиску
зовнiшнiм дiаметром 20 мм зі з'єднанням
терморезисторним зварюванням</v>
      </c>
      <c r="C155" s="3" t="str">
        <f>VLOOKUP(A155,[1]Sheet!B$3:G$2921,3,0)</f>
        <v>100м</v>
      </c>
      <c r="D155" s="4">
        <v>5.8999999999999995</v>
      </c>
      <c r="E155" s="5" t="e">
        <f>VLOOKUP(A155,N$3:S$1271,4,FALSE)</f>
        <v>#N/A</v>
      </c>
      <c r="F155" s="6">
        <f t="shared" si="8"/>
        <v>5.8999999999999995</v>
      </c>
      <c r="G155" s="7">
        <f>VLOOKUP(A155,[1]Sheet!B$3:G$2921,5,0)</f>
        <v>8749.2099999999991</v>
      </c>
      <c r="H155" s="5" t="e">
        <f>VLOOKUP(A155,N$3:S$1271,5,FALSE)</f>
        <v>#N/A</v>
      </c>
      <c r="I155" s="6">
        <f t="shared" si="9"/>
        <v>8749.2099999999991</v>
      </c>
      <c r="J155" s="7">
        <f>VLOOKUP(A155,[1]Sheet!B$3:G$2921,6,0)</f>
        <v>4812.07</v>
      </c>
      <c r="K155" s="8" t="e">
        <f t="shared" si="10"/>
        <v>#N/A</v>
      </c>
      <c r="L155" s="6">
        <f t="shared" si="11"/>
        <v>4812.07</v>
      </c>
    </row>
    <row r="156" spans="1:12" x14ac:dyDescent="0.25">
      <c r="A156" s="9" t="s">
        <v>155</v>
      </c>
      <c r="B156" s="2" t="str">
        <f>VLOOKUP(A156,[1]Sheet!B$3:G$2921,2,0)</f>
        <v>Прокладання трубопроводiв
водопостачання з напiрних
полiетиленових труб високого тиску
зовнiшнiм дiаметром 25 мм зі з'єднанням
терморезисторним зварюванням</v>
      </c>
      <c r="C156" s="3" t="str">
        <f>VLOOKUP(A156,[1]Sheet!B$3:G$2921,3,0)</f>
        <v>100м</v>
      </c>
      <c r="D156" s="4">
        <v>1.67</v>
      </c>
      <c r="E156" s="5" t="e">
        <f>VLOOKUP(A156,N$3:S$1271,4,FALSE)</f>
        <v>#N/A</v>
      </c>
      <c r="F156" s="6">
        <f t="shared" si="8"/>
        <v>1.67</v>
      </c>
      <c r="G156" s="7">
        <f>VLOOKUP(A156,[1]Sheet!B$3:G$2921,5,0)</f>
        <v>8078.09</v>
      </c>
      <c r="H156" s="5" t="e">
        <f>VLOOKUP(A156,N$3:S$1271,5,FALSE)</f>
        <v>#N/A</v>
      </c>
      <c r="I156" s="6">
        <f t="shared" si="9"/>
        <v>8078.09</v>
      </c>
      <c r="J156" s="7">
        <f>VLOOKUP(A156,[1]Sheet!B$3:G$2921,6,0)</f>
        <v>9693.7099999999991</v>
      </c>
      <c r="K156" s="8" t="e">
        <f t="shared" si="10"/>
        <v>#N/A</v>
      </c>
      <c r="L156" s="6">
        <f t="shared" si="11"/>
        <v>9693.7099999999991</v>
      </c>
    </row>
    <row r="157" spans="1:12" x14ac:dyDescent="0.25">
      <c r="A157" s="9" t="s">
        <v>156</v>
      </c>
      <c r="B157" s="2" t="str">
        <f>VLOOKUP(A157,[1]Sheet!B$3:G$2921,2,0)</f>
        <v>Прокладання трубопроводiв
водопостачання з напiрних
полiетиленових труб високого тиску
зовнiшнiм дiаметром 32 мм зі з'єднанням
терморезисторним зварюванням</v>
      </c>
      <c r="C157" s="3" t="str">
        <f>VLOOKUP(A157,[1]Sheet!B$3:G$2921,3,0)</f>
        <v>100м</v>
      </c>
      <c r="D157" s="4">
        <v>1.33</v>
      </c>
      <c r="E157" s="5" t="e">
        <f>VLOOKUP(A157,N$3:S$1271,4,FALSE)</f>
        <v>#N/A</v>
      </c>
      <c r="F157" s="6">
        <f t="shared" si="8"/>
        <v>1.33</v>
      </c>
      <c r="G157" s="7">
        <f>VLOOKUP(A157,[1]Sheet!B$3:G$2921,5,0)</f>
        <v>8498.68</v>
      </c>
      <c r="H157" s="5" t="e">
        <f>VLOOKUP(A157,N$3:S$1271,5,FALSE)</f>
        <v>#N/A</v>
      </c>
      <c r="I157" s="6">
        <f t="shared" si="9"/>
        <v>8498.68</v>
      </c>
      <c r="J157" s="7">
        <f>VLOOKUP(A157,[1]Sheet!B$3:G$2921,6,0)</f>
        <v>2209.66</v>
      </c>
      <c r="K157" s="8" t="e">
        <f t="shared" si="10"/>
        <v>#N/A</v>
      </c>
      <c r="L157" s="6">
        <f t="shared" si="11"/>
        <v>2209.66</v>
      </c>
    </row>
    <row r="158" spans="1:12" x14ac:dyDescent="0.25">
      <c r="A158" s="9" t="s">
        <v>157</v>
      </c>
      <c r="B158" s="2" t="str">
        <f>VLOOKUP(A158,[1]Sheet!B$3:G$2921,2,0)</f>
        <v>Прокладання трубопроводiв
водопостачання з напiрних
полiетиленових труб високого тиску
зовнiшнiм дiаметром 40 мм зі з'єднанням
терморезисторним зварюванням</v>
      </c>
      <c r="C158" s="3" t="str">
        <f>VLOOKUP(A158,[1]Sheet!B$3:G$2921,3,0)</f>
        <v>100м</v>
      </c>
      <c r="D158" s="4">
        <v>1.35</v>
      </c>
      <c r="E158" s="5" t="e">
        <f>VLOOKUP(A158,N$3:S$1271,4,FALSE)</f>
        <v>#N/A</v>
      </c>
      <c r="F158" s="6">
        <f t="shared" si="8"/>
        <v>1.35</v>
      </c>
      <c r="G158" s="7">
        <f>VLOOKUP(A158,[1]Sheet!B$3:G$2921,5,0)</f>
        <v>9357.65</v>
      </c>
      <c r="H158" s="5" t="e">
        <f>VLOOKUP(A158,N$3:S$1271,5,FALSE)</f>
        <v>#N/A</v>
      </c>
      <c r="I158" s="6">
        <f t="shared" si="9"/>
        <v>9357.65</v>
      </c>
      <c r="J158" s="7">
        <f>VLOOKUP(A158,[1]Sheet!B$3:G$2921,6,0)</f>
        <v>1403.65</v>
      </c>
      <c r="K158" s="8" t="e">
        <f t="shared" si="10"/>
        <v>#N/A</v>
      </c>
      <c r="L158" s="6">
        <f t="shared" si="11"/>
        <v>1403.65</v>
      </c>
    </row>
    <row r="159" spans="1:12" x14ac:dyDescent="0.25">
      <c r="A159" s="9" t="s">
        <v>158</v>
      </c>
      <c r="B159" s="2" t="str">
        <f>VLOOKUP(A159,[1]Sheet!B$3:G$2921,2,0)</f>
        <v>Прокладання трубопроводiв
водопостачання з напiрних
полiетиленових труб високого тиску
зовнiшнiм дiаметром 50 мм зі з'єднанням
терморезисторним зварюванням</v>
      </c>
      <c r="C159" s="3" t="str">
        <f>VLOOKUP(A159,[1]Sheet!B$3:G$2921,3,0)</f>
        <v>100м</v>
      </c>
      <c r="D159" s="4">
        <v>1.9</v>
      </c>
      <c r="E159" s="5" t="e">
        <f>VLOOKUP(A159,N$3:S$1271,4,FALSE)</f>
        <v>#N/A</v>
      </c>
      <c r="F159" s="6">
        <f t="shared" si="8"/>
        <v>1.9</v>
      </c>
      <c r="G159" s="7">
        <f>VLOOKUP(A159,[1]Sheet!B$3:G$2921,5,0)</f>
        <v>10675.82</v>
      </c>
      <c r="H159" s="5" t="e">
        <f>VLOOKUP(A159,N$3:S$1271,5,FALSE)</f>
        <v>#N/A</v>
      </c>
      <c r="I159" s="6">
        <f t="shared" si="9"/>
        <v>10675.82</v>
      </c>
      <c r="J159" s="7">
        <f>VLOOKUP(A159,[1]Sheet!B$3:G$2921,6,0)</f>
        <v>3736.54</v>
      </c>
      <c r="K159" s="8" t="e">
        <f t="shared" si="10"/>
        <v>#N/A</v>
      </c>
      <c r="L159" s="6">
        <f t="shared" si="11"/>
        <v>3736.54</v>
      </c>
    </row>
    <row r="160" spans="1:12" x14ac:dyDescent="0.25">
      <c r="A160" s="9" t="s">
        <v>159</v>
      </c>
      <c r="B160" s="2" t="str">
        <f>VLOOKUP(A160,[1]Sheet!B$3:G$2921,2,0)</f>
        <v>Прокладання трубопроводiв
водопостачання з напiрних
полiетиленових труб високого тиску
зовнiшнiм дiаметром 63 мм зі з'єднанням
терморезисторним зварюванням</v>
      </c>
      <c r="C160" s="3" t="str">
        <f>VLOOKUP(A160,[1]Sheet!B$3:G$2921,3,0)</f>
        <v>100м</v>
      </c>
      <c r="D160" s="4">
        <v>0.43</v>
      </c>
      <c r="E160" s="5" t="e">
        <f>VLOOKUP(A160,N$3:S$1271,4,FALSE)</f>
        <v>#N/A</v>
      </c>
      <c r="F160" s="6">
        <f t="shared" si="8"/>
        <v>0.43</v>
      </c>
      <c r="G160" s="7">
        <f>VLOOKUP(A160,[1]Sheet!B$3:G$2921,5,0)</f>
        <v>11255.19</v>
      </c>
      <c r="H160" s="5" t="e">
        <f>VLOOKUP(A160,N$3:S$1271,5,FALSE)</f>
        <v>#N/A</v>
      </c>
      <c r="I160" s="6">
        <f t="shared" si="9"/>
        <v>11255.19</v>
      </c>
      <c r="J160" s="7">
        <f>VLOOKUP(A160,[1]Sheet!B$3:G$2921,6,0)</f>
        <v>4839.7299999999996</v>
      </c>
      <c r="K160" s="8" t="e">
        <f t="shared" si="10"/>
        <v>#N/A</v>
      </c>
      <c r="L160" s="6">
        <f t="shared" si="11"/>
        <v>4839.7299999999996</v>
      </c>
    </row>
    <row r="161" spans="1:12" x14ac:dyDescent="0.25">
      <c r="A161" s="9" t="s">
        <v>160</v>
      </c>
      <c r="B161" s="2" t="str">
        <f>VLOOKUP(A161,[1]Sheet!B$3:G$2921,2,0)</f>
        <v>Прокладання трубопроводiв
водопостачання з напiрних
полiетиленових труб високого тиску
зовнiшнiм дiаметром 110 мм зі з'єднанням
терморезисторним зварюванням</v>
      </c>
      <c r="C161" s="3" t="str">
        <f>VLOOKUP(A161,[1]Sheet!B$3:G$2921,3,0)</f>
        <v>100м</v>
      </c>
      <c r="D161" s="4">
        <v>0.32</v>
      </c>
      <c r="E161" s="5" t="e">
        <f>VLOOKUP(A161,N$3:S$1271,4,FALSE)</f>
        <v>#N/A</v>
      </c>
      <c r="F161" s="6">
        <f t="shared" si="8"/>
        <v>0.32</v>
      </c>
      <c r="G161" s="7">
        <f>VLOOKUP(A161,[1]Sheet!B$3:G$2921,5,0)</f>
        <v>14417.65</v>
      </c>
      <c r="H161" s="5" t="e">
        <f>VLOOKUP(A161,N$3:S$1271,5,FALSE)</f>
        <v>#N/A</v>
      </c>
      <c r="I161" s="6">
        <f t="shared" si="9"/>
        <v>14417.65</v>
      </c>
      <c r="J161" s="7">
        <f>VLOOKUP(A161,[1]Sheet!B$3:G$2921,6,0)</f>
        <v>4613.6499999999996</v>
      </c>
      <c r="K161" s="8" t="e">
        <f t="shared" si="10"/>
        <v>#N/A</v>
      </c>
      <c r="L161" s="6">
        <f t="shared" si="11"/>
        <v>4613.6499999999996</v>
      </c>
    </row>
    <row r="162" spans="1:12" x14ac:dyDescent="0.25">
      <c r="A162" s="9" t="s">
        <v>161</v>
      </c>
      <c r="B162" s="2" t="str">
        <f>VLOOKUP(A162,[1]Sheet!B$3:G$2921,2,0)</f>
        <v>Прокладання трубопроводiв
водопостачання з напiрних
полiетиленових труб високого тиску
зовнiшнiм дiаметром 160 мм зі з'єднанням
терморезисторним зварюванням</v>
      </c>
      <c r="C162" s="3" t="str">
        <f>VLOOKUP(A162,[1]Sheet!B$3:G$2921,3,0)</f>
        <v>100м</v>
      </c>
      <c r="D162" s="4">
        <v>0.7</v>
      </c>
      <c r="E162" s="5" t="e">
        <f>VLOOKUP(A162,N$3:S$1271,4,FALSE)</f>
        <v>#N/A</v>
      </c>
      <c r="F162" s="6">
        <f t="shared" si="8"/>
        <v>0.7</v>
      </c>
      <c r="G162" s="7">
        <f>VLOOKUP(A162,[1]Sheet!B$3:G$2921,5,0)</f>
        <v>13946.3</v>
      </c>
      <c r="H162" s="5" t="e">
        <f>VLOOKUP(A162,N$3:S$1271,5,FALSE)</f>
        <v>#N/A</v>
      </c>
      <c r="I162" s="6">
        <f t="shared" si="9"/>
        <v>13946.3</v>
      </c>
      <c r="J162" s="7">
        <f>VLOOKUP(A162,[1]Sheet!B$3:G$2921,6,0)</f>
        <v>3068.19</v>
      </c>
      <c r="K162" s="8" t="e">
        <f t="shared" si="10"/>
        <v>#N/A</v>
      </c>
      <c r="L162" s="6">
        <f t="shared" si="11"/>
        <v>3068.19</v>
      </c>
    </row>
    <row r="163" spans="1:12" x14ac:dyDescent="0.25">
      <c r="A163" s="9" t="s">
        <v>162</v>
      </c>
      <c r="B163" s="2" t="str">
        <f>VLOOKUP(A163,[1]Sheet!B$3:G$2921,2,0)</f>
        <v>Демонтаж трубопроводiв з труб ПВХ
дiаметром 160 мм</v>
      </c>
      <c r="C163" s="3" t="str">
        <f>VLOOKUP(A163,[1]Sheet!B$3:G$2921,3,0)</f>
        <v>100м</v>
      </c>
      <c r="D163" s="4">
        <v>0.09</v>
      </c>
      <c r="E163" s="5" t="e">
        <f>VLOOKUP(A163,N$3:S$1271,4,FALSE)</f>
        <v>#N/A</v>
      </c>
      <c r="F163" s="6">
        <f t="shared" si="8"/>
        <v>0.09</v>
      </c>
      <c r="G163" s="7">
        <f>VLOOKUP(A163,[1]Sheet!B$3:G$2921,5,0)</f>
        <v>5414.95</v>
      </c>
      <c r="H163" s="5" t="e">
        <f>VLOOKUP(A163,N$3:S$1271,5,FALSE)</f>
        <v>#N/A</v>
      </c>
      <c r="I163" s="6">
        <f t="shared" si="9"/>
        <v>5414.95</v>
      </c>
      <c r="J163" s="7">
        <f>VLOOKUP(A163,[1]Sheet!B$3:G$2921,6,0)</f>
        <v>487.35</v>
      </c>
      <c r="K163" s="8" t="e">
        <f t="shared" si="10"/>
        <v>#N/A</v>
      </c>
      <c r="L163" s="6">
        <f t="shared" si="11"/>
        <v>487.35</v>
      </c>
    </row>
    <row r="164" spans="1:12" x14ac:dyDescent="0.25">
      <c r="A164" s="9" t="s">
        <v>163</v>
      </c>
      <c r="B164" s="2" t="str">
        <f>VLOOKUP(A164,[1]Sheet!B$3:G$2921,2,0)</f>
        <v>Прокладання трубопроводiв
водопостачання з напiрних
полiетиленових труб високого тиску
зовнiшнiм дiаметром 160 мм зі з'єднанням
терморезисторним зварюванням</v>
      </c>
      <c r="C164" s="3" t="str">
        <f>VLOOKUP(A164,[1]Sheet!B$3:G$2921,3,0)</f>
        <v>100м</v>
      </c>
      <c r="D164" s="4">
        <v>0.19</v>
      </c>
      <c r="E164" s="5" t="e">
        <f>VLOOKUP(A164,N$3:S$1271,4,FALSE)</f>
        <v>#N/A</v>
      </c>
      <c r="F164" s="6">
        <f t="shared" si="8"/>
        <v>0.19</v>
      </c>
      <c r="G164" s="7">
        <f>VLOOKUP(A164,[1]Sheet!B$3:G$2921,5,0)</f>
        <v>13946.3</v>
      </c>
      <c r="H164" s="5" t="e">
        <f>VLOOKUP(A164,N$3:S$1271,5,FALSE)</f>
        <v>#N/A</v>
      </c>
      <c r="I164" s="6">
        <f t="shared" si="9"/>
        <v>13946.3</v>
      </c>
      <c r="J164" s="7">
        <f>VLOOKUP(A164,[1]Sheet!B$3:G$2921,6,0)</f>
        <v>2649.8</v>
      </c>
      <c r="K164" s="8" t="e">
        <f t="shared" si="10"/>
        <v>#N/A</v>
      </c>
      <c r="L164" s="6">
        <f t="shared" si="11"/>
        <v>2649.8</v>
      </c>
    </row>
    <row r="165" spans="1:12" x14ac:dyDescent="0.25">
      <c r="A165" s="9" t="s">
        <v>164</v>
      </c>
      <c r="B165" s="2" t="str">
        <f>VLOOKUP(A165,[1]Sheet!B$3:G$2921,2,0)</f>
        <v>Прокладання трубопроводiв
водопостачання з напiрних вініпластових
труб зовнiшнiм дiаметром 32 мм зі
з'єднанням на клеї</v>
      </c>
      <c r="C165" s="3" t="str">
        <f>VLOOKUP(A165,[1]Sheet!B$3:G$2921,3,0)</f>
        <v>100м</v>
      </c>
      <c r="D165" s="4">
        <v>7.0000000000000021E-2</v>
      </c>
      <c r="E165" s="5" t="e">
        <f>VLOOKUP(A165,N$3:S$1271,4,FALSE)</f>
        <v>#N/A</v>
      </c>
      <c r="F165" s="6">
        <f t="shared" si="8"/>
        <v>7.0000000000000021E-2</v>
      </c>
      <c r="G165" s="7">
        <f>VLOOKUP(A165,[1]Sheet!B$3:G$2921,5,0)</f>
        <v>12492.22</v>
      </c>
      <c r="H165" s="5" t="e">
        <f>VLOOKUP(A165,N$3:S$1271,5,FALSE)</f>
        <v>#N/A</v>
      </c>
      <c r="I165" s="6">
        <f t="shared" si="9"/>
        <v>12492.22</v>
      </c>
      <c r="J165" s="7">
        <f>VLOOKUP(A165,[1]Sheet!B$3:G$2921,6,0)</f>
        <v>874.46</v>
      </c>
      <c r="K165" s="8" t="e">
        <f t="shared" si="10"/>
        <v>#N/A</v>
      </c>
      <c r="L165" s="6">
        <f t="shared" si="11"/>
        <v>874.46</v>
      </c>
    </row>
    <row r="166" spans="1:12" x14ac:dyDescent="0.25">
      <c r="A166" s="9" t="s">
        <v>165</v>
      </c>
      <c r="B166" s="2" t="str">
        <f>VLOOKUP(A166,[1]Sheet!B$3:G$2921,2,0)</f>
        <v>Демонтаж труби поліетиленової д= 32х2,4
мм</v>
      </c>
      <c r="C166" s="3" t="str">
        <f>VLOOKUP(A166,[1]Sheet!B$3:G$2921,3,0)</f>
        <v>100м</v>
      </c>
      <c r="D166" s="4">
        <v>0.05</v>
      </c>
      <c r="E166" s="5" t="e">
        <f>VLOOKUP(A166,N$3:S$1271,4,FALSE)</f>
        <v>#N/A</v>
      </c>
      <c r="F166" s="6">
        <f t="shared" si="8"/>
        <v>0.05</v>
      </c>
      <c r="G166" s="7">
        <f>VLOOKUP(A166,[1]Sheet!B$3:G$2921,5,0)</f>
        <v>4975</v>
      </c>
      <c r="H166" s="5" t="e">
        <f>VLOOKUP(A166,N$3:S$1271,5,FALSE)</f>
        <v>#N/A</v>
      </c>
      <c r="I166" s="6">
        <f t="shared" si="9"/>
        <v>4975</v>
      </c>
      <c r="J166" s="7">
        <f>VLOOKUP(A166,[1]Sheet!B$3:G$2921,6,0)</f>
        <v>248.75</v>
      </c>
      <c r="K166" s="8" t="e">
        <f t="shared" si="10"/>
        <v>#N/A</v>
      </c>
      <c r="L166" s="6">
        <f t="shared" si="11"/>
        <v>248.75</v>
      </c>
    </row>
    <row r="167" spans="1:12" x14ac:dyDescent="0.25">
      <c r="A167" s="9" t="s">
        <v>166</v>
      </c>
      <c r="B167" s="2" t="str">
        <f>VLOOKUP(A167,[1]Sheet!B$3:G$2921,2,0)</f>
        <v>Прокладання трубопроводiв
водопостачання з напiрних вініпластових
труб зовнiшнiм дiаметром 50 мм зі
з'єднанням на клеї</v>
      </c>
      <c r="C167" s="3" t="str">
        <f>VLOOKUP(A167,[1]Sheet!B$3:G$2921,3,0)</f>
        <v>100м</v>
      </c>
      <c r="D167" s="4">
        <v>0.05</v>
      </c>
      <c r="E167" s="5" t="e">
        <f>VLOOKUP(A167,N$3:S$1271,4,FALSE)</f>
        <v>#N/A</v>
      </c>
      <c r="F167" s="6">
        <f t="shared" si="8"/>
        <v>0.05</v>
      </c>
      <c r="G167" s="7">
        <f>VLOOKUP(A167,[1]Sheet!B$3:G$2921,5,0)</f>
        <v>14360.96</v>
      </c>
      <c r="H167" s="5" t="e">
        <f>VLOOKUP(A167,N$3:S$1271,5,FALSE)</f>
        <v>#N/A</v>
      </c>
      <c r="I167" s="6">
        <f t="shared" si="9"/>
        <v>14360.96</v>
      </c>
      <c r="J167" s="7">
        <f>VLOOKUP(A167,[1]Sheet!B$3:G$2921,6,0)</f>
        <v>718.05</v>
      </c>
      <c r="K167" s="8" t="e">
        <f t="shared" si="10"/>
        <v>#N/A</v>
      </c>
      <c r="L167" s="6">
        <f t="shared" si="11"/>
        <v>718.05</v>
      </c>
    </row>
    <row r="168" spans="1:12" x14ac:dyDescent="0.25">
      <c r="A168" s="9" t="s">
        <v>167</v>
      </c>
      <c r="B168" s="2" t="str">
        <f>VLOOKUP(A168,[1]Sheet!B$3:G$2921,2,0)</f>
        <v>Прокладання трубопроводiв
водопостачання з напiрних вініпластових
труб зовнiшнiм дiаметром 63 мм зі
з'єднанням на клеї</v>
      </c>
      <c r="C168" s="3" t="str">
        <f>VLOOKUP(A168,[1]Sheet!B$3:G$2921,3,0)</f>
        <v>100м</v>
      </c>
      <c r="D168" s="4">
        <v>0.05</v>
      </c>
      <c r="E168" s="5" t="e">
        <f>VLOOKUP(A168,N$3:S$1271,4,FALSE)</f>
        <v>#N/A</v>
      </c>
      <c r="F168" s="6">
        <f t="shared" si="8"/>
        <v>0.05</v>
      </c>
      <c r="G168" s="7">
        <f>VLOOKUP(A168,[1]Sheet!B$3:G$2921,5,0)</f>
        <v>14460.17</v>
      </c>
      <c r="H168" s="5" t="e">
        <f>VLOOKUP(A168,N$3:S$1271,5,FALSE)</f>
        <v>#N/A</v>
      </c>
      <c r="I168" s="6">
        <f t="shared" si="9"/>
        <v>14460.17</v>
      </c>
      <c r="J168" s="7">
        <f>VLOOKUP(A168,[1]Sheet!B$3:G$2921,6,0)</f>
        <v>723.01</v>
      </c>
      <c r="K168" s="8" t="e">
        <f t="shared" si="10"/>
        <v>#N/A</v>
      </c>
      <c r="L168" s="6">
        <f t="shared" si="11"/>
        <v>723.01</v>
      </c>
    </row>
    <row r="169" spans="1:12" x14ac:dyDescent="0.25">
      <c r="A169" s="9" t="s">
        <v>168</v>
      </c>
      <c r="B169" s="2" t="str">
        <f>VLOOKUP(A169,[1]Sheet!B$3:G$2921,2,0)</f>
        <v>Прокладання трубопроводiв
водопостачання з напiрних вініпластових
труб зовнiшнiм дiаметром 110 мм зі
з'єднанням на клеї</v>
      </c>
      <c r="C169" s="3" t="str">
        <f>VLOOKUP(A169,[1]Sheet!B$3:G$2921,3,0)</f>
        <v>100м</v>
      </c>
      <c r="D169" s="4">
        <v>0.65</v>
      </c>
      <c r="E169" s="5" t="e">
        <f>VLOOKUP(A169,N$3:S$1271,4,FALSE)</f>
        <v>#N/A</v>
      </c>
      <c r="F169" s="6">
        <f t="shared" si="8"/>
        <v>0.65</v>
      </c>
      <c r="G169" s="7">
        <f>VLOOKUP(A169,[1]Sheet!B$3:G$2921,5,0)</f>
        <v>13373.86</v>
      </c>
      <c r="H169" s="5" t="e">
        <f>VLOOKUP(A169,N$3:S$1271,5,FALSE)</f>
        <v>#N/A</v>
      </c>
      <c r="I169" s="6">
        <f t="shared" si="9"/>
        <v>13373.86</v>
      </c>
      <c r="J169" s="7">
        <f>VLOOKUP(A169,[1]Sheet!B$3:G$2921,6,0)</f>
        <v>8693.01</v>
      </c>
      <c r="K169" s="8" t="e">
        <f t="shared" si="10"/>
        <v>#N/A</v>
      </c>
      <c r="L169" s="6">
        <f t="shared" si="11"/>
        <v>8693.01</v>
      </c>
    </row>
    <row r="170" spans="1:12" x14ac:dyDescent="0.25">
      <c r="A170" s="9" t="s">
        <v>169</v>
      </c>
      <c r="B170" s="2" t="str">
        <f>VLOOKUP(A170,[1]Sheet!B$3:G$2921,2,0)</f>
        <v>Демонтаж труби поліетиленової
дiаметром 110 мм</v>
      </c>
      <c r="C170" s="3" t="str">
        <f>VLOOKUP(A170,[1]Sheet!B$3:G$2921,3,0)</f>
        <v>100м</v>
      </c>
      <c r="D170" s="4">
        <v>0.94</v>
      </c>
      <c r="E170" s="5" t="e">
        <f>VLOOKUP(A170,N$3:S$1271,4,FALSE)</f>
        <v>#N/A</v>
      </c>
      <c r="F170" s="6">
        <f t="shared" si="8"/>
        <v>0.94</v>
      </c>
      <c r="G170" s="7">
        <f>VLOOKUP(A170,[1]Sheet!B$3:G$2921,5,0)</f>
        <v>5080.37</v>
      </c>
      <c r="H170" s="5" t="e">
        <f>VLOOKUP(A170,N$3:S$1271,5,FALSE)</f>
        <v>#N/A</v>
      </c>
      <c r="I170" s="6">
        <f t="shared" si="9"/>
        <v>5080.37</v>
      </c>
      <c r="J170" s="7">
        <f>VLOOKUP(A170,[1]Sheet!B$3:G$2921,6,0)</f>
        <v>1625.72</v>
      </c>
      <c r="K170" s="8" t="e">
        <f t="shared" si="10"/>
        <v>#N/A</v>
      </c>
      <c r="L170" s="6">
        <f t="shared" si="11"/>
        <v>1625.72</v>
      </c>
    </row>
    <row r="171" spans="1:12" x14ac:dyDescent="0.25">
      <c r="A171" s="9" t="s">
        <v>170</v>
      </c>
      <c r="B171" s="2" t="str">
        <f>VLOOKUP(A171,[1]Sheet!B$3:G$2921,2,0)</f>
        <v>Установлення вентилiв, засувок, затворiв,
клапанiв зворотних, кранiв прохiдних на
трубопроводах iз стальних труб
дiаметром до 50 мм</v>
      </c>
      <c r="C171" s="3" t="str">
        <f>VLOOKUP(A171,[1]Sheet!B$3:G$2921,3,0)</f>
        <v>шт</v>
      </c>
      <c r="D171" s="4">
        <v>1</v>
      </c>
      <c r="E171" s="5" t="e">
        <f>VLOOKUP(A171,N$3:S$1271,4,FALSE)</f>
        <v>#N/A</v>
      </c>
      <c r="F171" s="6">
        <f t="shared" si="8"/>
        <v>1</v>
      </c>
      <c r="G171" s="7">
        <f>VLOOKUP(A171,[1]Sheet!B$3:G$2921,5,0)</f>
        <v>270.73</v>
      </c>
      <c r="H171" s="5" t="e">
        <f>VLOOKUP(A171,N$3:S$1271,5,FALSE)</f>
        <v>#N/A</v>
      </c>
      <c r="I171" s="6">
        <f t="shared" si="9"/>
        <v>270.73</v>
      </c>
      <c r="J171" s="7">
        <f>VLOOKUP(A171,[1]Sheet!B$3:G$2921,6,0)</f>
        <v>270.73</v>
      </c>
      <c r="K171" s="8" t="e">
        <f t="shared" si="10"/>
        <v>#N/A</v>
      </c>
      <c r="L171" s="6">
        <f t="shared" si="11"/>
        <v>270.73</v>
      </c>
    </row>
    <row r="172" spans="1:12" x14ac:dyDescent="0.25">
      <c r="A172" s="9" t="s">
        <v>171</v>
      </c>
      <c r="B172" s="2" t="str">
        <f>VLOOKUP(A172,[1]Sheet!B$3:G$2921,2,0)</f>
        <v>Установлення вентилiв, засувок, затворiв,
клапанiв зворотних, кранiв прохiдних на
трубопроводах iз стальних труб
дiаметром до 100 мм</v>
      </c>
      <c r="C172" s="3" t="str">
        <f>VLOOKUP(A172,[1]Sheet!B$3:G$2921,3,0)</f>
        <v>шт</v>
      </c>
      <c r="D172" s="4">
        <v>13</v>
      </c>
      <c r="E172" s="5" t="e">
        <f>VLOOKUP(A172,N$3:S$1271,4,FALSE)</f>
        <v>#N/A</v>
      </c>
      <c r="F172" s="6">
        <f t="shared" si="8"/>
        <v>13</v>
      </c>
      <c r="G172" s="7">
        <f>VLOOKUP(A172,[1]Sheet!B$3:G$2921,5,0)</f>
        <v>458.68</v>
      </c>
      <c r="H172" s="5" t="e">
        <f>VLOOKUP(A172,N$3:S$1271,5,FALSE)</f>
        <v>#N/A</v>
      </c>
      <c r="I172" s="6">
        <f t="shared" si="9"/>
        <v>458.68</v>
      </c>
      <c r="J172" s="7">
        <f>VLOOKUP(A172,[1]Sheet!B$3:G$2921,6,0)</f>
        <v>1376.04</v>
      </c>
      <c r="K172" s="8" t="e">
        <f t="shared" si="10"/>
        <v>#N/A</v>
      </c>
      <c r="L172" s="6">
        <f t="shared" si="11"/>
        <v>1376.04</v>
      </c>
    </row>
    <row r="173" spans="1:12" x14ac:dyDescent="0.25">
      <c r="A173" s="9" t="s">
        <v>172</v>
      </c>
      <c r="B173" s="2" t="str">
        <f>VLOOKUP(A173,[1]Sheet!B$3:G$2921,2,0)</f>
        <v>Демонтаж засувки чавунної дiаметром 100
мм</v>
      </c>
      <c r="C173" s="3" t="str">
        <f>VLOOKUP(A173,[1]Sheet!B$3:G$2921,3,0)</f>
        <v>шт</v>
      </c>
      <c r="D173" s="4">
        <v>1</v>
      </c>
      <c r="E173" s="5" t="e">
        <f>VLOOKUP(A173,N$3:S$1271,4,FALSE)</f>
        <v>#N/A</v>
      </c>
      <c r="F173" s="6">
        <f t="shared" si="8"/>
        <v>1</v>
      </c>
      <c r="G173" s="7">
        <f>VLOOKUP(A173,[1]Sheet!B$3:G$2921,5,0)</f>
        <v>116.11</v>
      </c>
      <c r="H173" s="5" t="e">
        <f>VLOOKUP(A173,N$3:S$1271,5,FALSE)</f>
        <v>#N/A</v>
      </c>
      <c r="I173" s="6">
        <f t="shared" si="9"/>
        <v>116.11</v>
      </c>
      <c r="J173" s="7">
        <f>VLOOKUP(A173,[1]Sheet!B$3:G$2921,6,0)</f>
        <v>116.11</v>
      </c>
      <c r="K173" s="8" t="e">
        <f t="shared" si="10"/>
        <v>#N/A</v>
      </c>
      <c r="L173" s="6">
        <f t="shared" si="11"/>
        <v>116.11</v>
      </c>
    </row>
    <row r="174" spans="1:12" x14ac:dyDescent="0.25">
      <c r="A174" s="9" t="s">
        <v>173</v>
      </c>
      <c r="B174" s="2" t="str">
        <f>VLOOKUP(A174,[1]Sheet!B$3:G$2921,2,0)</f>
        <v>Установлення вентилiв, засувок, затворiв,
клапанiв зворотних, кранiв прохiдних на
трубопроводах iз стальних труб
дiаметром до 150 мм</v>
      </c>
      <c r="C174" s="3" t="str">
        <f>VLOOKUP(A174,[1]Sheet!B$3:G$2921,3,0)</f>
        <v>шт</v>
      </c>
      <c r="D174" s="4">
        <v>4</v>
      </c>
      <c r="E174" s="5" t="e">
        <f>VLOOKUP(A174,N$3:S$1271,4,FALSE)</f>
        <v>#N/A</v>
      </c>
      <c r="F174" s="6">
        <f t="shared" si="8"/>
        <v>4</v>
      </c>
      <c r="G174" s="7">
        <f>VLOOKUP(A174,[1]Sheet!B$3:G$2921,5,0)</f>
        <v>1006</v>
      </c>
      <c r="H174" s="5" t="e">
        <f>VLOOKUP(A174,N$3:S$1271,5,FALSE)</f>
        <v>#N/A</v>
      </c>
      <c r="I174" s="6">
        <f t="shared" si="9"/>
        <v>1006</v>
      </c>
      <c r="J174" s="7">
        <f>VLOOKUP(A174,[1]Sheet!B$3:G$2921,6,0)</f>
        <v>4024</v>
      </c>
      <c r="K174" s="8" t="e">
        <f t="shared" si="10"/>
        <v>#N/A</v>
      </c>
      <c r="L174" s="6">
        <f t="shared" si="11"/>
        <v>4024</v>
      </c>
    </row>
    <row r="175" spans="1:12" x14ac:dyDescent="0.25">
      <c r="A175" s="9" t="s">
        <v>174</v>
      </c>
      <c r="B175" s="2" t="str">
        <f>VLOOKUP(A175,[1]Sheet!B$3:G$2921,2,0)</f>
        <v>Установлення кранiв пожежних дiаметром
50 мм</v>
      </c>
      <c r="C175" s="3" t="str">
        <f>VLOOKUP(A175,[1]Sheet!B$3:G$2921,3,0)</f>
        <v>шт</v>
      </c>
      <c r="D175" s="4">
        <v>5</v>
      </c>
      <c r="E175" s="5" t="e">
        <f>VLOOKUP(A175,N$3:S$1271,4,FALSE)</f>
        <v>#N/A</v>
      </c>
      <c r="F175" s="6">
        <f t="shared" si="8"/>
        <v>5</v>
      </c>
      <c r="G175" s="7">
        <f>VLOOKUP(A175,[1]Sheet!B$3:G$2921,5,0)</f>
        <v>105.67</v>
      </c>
      <c r="H175" s="5" t="e">
        <f>VLOOKUP(A175,N$3:S$1271,5,FALSE)</f>
        <v>#N/A</v>
      </c>
      <c r="I175" s="6">
        <f t="shared" si="9"/>
        <v>105.67</v>
      </c>
      <c r="J175" s="7">
        <f>VLOOKUP(A175,[1]Sheet!B$3:G$2921,6,0)</f>
        <v>528.35</v>
      </c>
      <c r="K175" s="8" t="e">
        <f t="shared" si="10"/>
        <v>#N/A</v>
      </c>
      <c r="L175" s="6">
        <f t="shared" si="11"/>
        <v>528.35</v>
      </c>
    </row>
    <row r="176" spans="1:12" x14ac:dyDescent="0.25">
      <c r="A176" s="9" t="s">
        <v>175</v>
      </c>
      <c r="B176" s="2" t="str">
        <f>VLOOKUP(A176,[1]Sheet!B$3:G$2921,2,0)</f>
        <v>Установлення кранiв поливальних
дiаметром 25 мм</v>
      </c>
      <c r="C176" s="3" t="str">
        <f>VLOOKUP(A176,[1]Sheet!B$3:G$2921,3,0)</f>
        <v>шт</v>
      </c>
      <c r="D176" s="4">
        <v>8</v>
      </c>
      <c r="E176" s="5" t="e">
        <f>VLOOKUP(A176,N$3:S$1271,4,FALSE)</f>
        <v>#N/A</v>
      </c>
      <c r="F176" s="6">
        <f t="shared" si="8"/>
        <v>8</v>
      </c>
      <c r="G176" s="7">
        <f>VLOOKUP(A176,[1]Sheet!B$3:G$2921,5,0)</f>
        <v>35.44</v>
      </c>
      <c r="H176" s="5" t="e">
        <f>VLOOKUP(A176,N$3:S$1271,5,FALSE)</f>
        <v>#N/A</v>
      </c>
      <c r="I176" s="6">
        <f t="shared" si="9"/>
        <v>35.44</v>
      </c>
      <c r="J176" s="7">
        <f>VLOOKUP(A176,[1]Sheet!B$3:G$2921,6,0)</f>
        <v>283.52</v>
      </c>
      <c r="K176" s="8" t="e">
        <f t="shared" si="10"/>
        <v>#N/A</v>
      </c>
      <c r="L176" s="6">
        <f t="shared" si="11"/>
        <v>283.52</v>
      </c>
    </row>
    <row r="177" spans="1:12" x14ac:dyDescent="0.25">
      <c r="A177" s="9" t="s">
        <v>176</v>
      </c>
      <c r="B177" s="2" t="str">
        <f>VLOOKUP(A177,[1]Sheet!B$3:G$2921,2,0)</f>
        <v>Установлення воронок водостiчних</v>
      </c>
      <c r="C177" s="3" t="str">
        <f>VLOOKUP(A177,[1]Sheet!B$3:G$2921,3,0)</f>
        <v>шт</v>
      </c>
      <c r="D177" s="4">
        <v>6</v>
      </c>
      <c r="E177" s="5" t="e">
        <f>VLOOKUP(A177,N$3:S$1271,4,FALSE)</f>
        <v>#N/A</v>
      </c>
      <c r="F177" s="6">
        <f t="shared" si="8"/>
        <v>6</v>
      </c>
      <c r="G177" s="7">
        <f>VLOOKUP(A177,[1]Sheet!B$3:G$2921,5,0)</f>
        <v>498.12</v>
      </c>
      <c r="H177" s="5" t="e">
        <f>VLOOKUP(A177,N$3:S$1271,5,FALSE)</f>
        <v>#N/A</v>
      </c>
      <c r="I177" s="6">
        <f t="shared" si="9"/>
        <v>498.12</v>
      </c>
      <c r="J177" s="7">
        <f>VLOOKUP(A177,[1]Sheet!B$3:G$2921,6,0)</f>
        <v>2988.72</v>
      </c>
      <c r="K177" s="8" t="e">
        <f t="shared" si="10"/>
        <v>#N/A</v>
      </c>
      <c r="L177" s="6">
        <f t="shared" si="11"/>
        <v>2988.72</v>
      </c>
    </row>
    <row r="178" spans="1:12" x14ac:dyDescent="0.25">
      <c r="A178" s="9" t="s">
        <v>177</v>
      </c>
      <c r="B178" s="2" t="str">
        <f>VLOOKUP(A178,[1]Sheet!B$3:G$2921,2,0)</f>
        <v>Врiзування в дiючi внутрiшнi мережi
трубопроводу дiаметром 89х3,5 мм</v>
      </c>
      <c r="C178" s="3" t="str">
        <f>VLOOKUP(A178,[1]Sheet!B$3:G$2921,3,0)</f>
        <v>шт</v>
      </c>
      <c r="D178" s="4">
        <v>2</v>
      </c>
      <c r="E178" s="5" t="e">
        <f>VLOOKUP(A178,N$3:S$1271,4,FALSE)</f>
        <v>#N/A</v>
      </c>
      <c r="F178" s="6">
        <f t="shared" si="8"/>
        <v>2</v>
      </c>
      <c r="G178" s="7">
        <f>VLOOKUP(A178,[1]Sheet!B$3:G$2921,5,0)</f>
        <v>1003.18</v>
      </c>
      <c r="H178" s="5" t="e">
        <f>VLOOKUP(A178,N$3:S$1271,5,FALSE)</f>
        <v>#N/A</v>
      </c>
      <c r="I178" s="6">
        <f t="shared" si="9"/>
        <v>1003.18</v>
      </c>
      <c r="J178" s="7">
        <f>VLOOKUP(A178,[1]Sheet!B$3:G$2921,6,0)</f>
        <v>2006.36</v>
      </c>
      <c r="K178" s="8" t="e">
        <f t="shared" si="10"/>
        <v>#N/A</v>
      </c>
      <c r="L178" s="6">
        <f t="shared" si="11"/>
        <v>2006.36</v>
      </c>
    </row>
    <row r="179" spans="1:12" x14ac:dyDescent="0.25">
      <c r="A179" s="9" t="s">
        <v>178</v>
      </c>
      <c r="B179" s="2" t="str">
        <f>VLOOKUP(A179,[1]Sheet!B$3:G$2921,2,0)</f>
        <v>Гiдравлiчне випробування трубопроводiв
систем опалення, водопроводу i гарячого
водопостачання дiаметром до 50 мм</v>
      </c>
      <c r="C179" s="3" t="str">
        <f>VLOOKUP(A179,[1]Sheet!B$3:G$2921,3,0)</f>
        <v>100м</v>
      </c>
      <c r="D179" s="4">
        <v>1.5370000000000001</v>
      </c>
      <c r="E179" s="5" t="e">
        <f>VLOOKUP(A179,N$3:S$1271,4,FALSE)</f>
        <v>#N/A</v>
      </c>
      <c r="F179" s="6">
        <f t="shared" si="8"/>
        <v>1.5370000000000001</v>
      </c>
      <c r="G179" s="7">
        <f>VLOOKUP(A179,[1]Sheet!B$3:G$2921,5,0)</f>
        <v>753.69</v>
      </c>
      <c r="H179" s="5" t="e">
        <f>VLOOKUP(A179,N$3:S$1271,5,FALSE)</f>
        <v>#N/A</v>
      </c>
      <c r="I179" s="6">
        <f t="shared" si="9"/>
        <v>753.69</v>
      </c>
      <c r="J179" s="7">
        <f>VLOOKUP(A179,[1]Sheet!B$3:G$2921,6,0)</f>
        <v>981.3</v>
      </c>
      <c r="K179" s="8" t="e">
        <f t="shared" si="10"/>
        <v>#N/A</v>
      </c>
      <c r="L179" s="6">
        <f t="shared" si="11"/>
        <v>981.3</v>
      </c>
    </row>
    <row r="180" spans="1:12" x14ac:dyDescent="0.25">
      <c r="A180" s="9" t="s">
        <v>179</v>
      </c>
      <c r="B180" s="2" t="str">
        <f>VLOOKUP(A180,[1]Sheet!B$3:G$2921,2,0)</f>
        <v>Гiдравлiчне випробування трубопроводiв
систем опалення, водопроводу i гарячого
водопостачання дiаметром до 100 мм</v>
      </c>
      <c r="C180" s="3" t="str">
        <f>VLOOKUP(A180,[1]Sheet!B$3:G$2921,3,0)</f>
        <v>100м</v>
      </c>
      <c r="D180" s="4">
        <v>1.35</v>
      </c>
      <c r="E180" s="5" t="e">
        <f>VLOOKUP(A180,N$3:S$1271,4,FALSE)</f>
        <v>#N/A</v>
      </c>
      <c r="F180" s="6">
        <f t="shared" si="8"/>
        <v>1.35</v>
      </c>
      <c r="G180" s="7">
        <f>VLOOKUP(A180,[1]Sheet!B$3:G$2921,5,0)</f>
        <v>821.61</v>
      </c>
      <c r="H180" s="5" t="e">
        <f>VLOOKUP(A180,N$3:S$1271,5,FALSE)</f>
        <v>#N/A</v>
      </c>
      <c r="I180" s="6">
        <f t="shared" si="9"/>
        <v>821.61</v>
      </c>
      <c r="J180" s="7">
        <f>VLOOKUP(A180,[1]Sheet!B$3:G$2921,6,0)</f>
        <v>213.62</v>
      </c>
      <c r="K180" s="8" t="e">
        <f t="shared" si="10"/>
        <v>#N/A</v>
      </c>
      <c r="L180" s="6">
        <f t="shared" si="11"/>
        <v>213.62</v>
      </c>
    </row>
    <row r="181" spans="1:12" x14ac:dyDescent="0.25">
      <c r="A181" s="9" t="s">
        <v>180</v>
      </c>
      <c r="B181" s="2" t="str">
        <f>VLOOKUP(A181,[1]Sheet!B$3:G$2921,2,0)</f>
        <v>Прокладання по стiнах будiвель i в каналах
трубопроводiв iз чавунних каналiзацiйних
труб дiаметром до 100 мм</v>
      </c>
      <c r="C181" s="3" t="str">
        <f>VLOOKUP(A181,[1]Sheet!B$3:G$2921,3,0)</f>
        <v>100м</v>
      </c>
      <c r="D181" s="4">
        <v>1.4999999999999999E-2</v>
      </c>
      <c r="E181" s="5" t="e">
        <f>VLOOKUP(A181,N$3:S$1271,4,FALSE)</f>
        <v>#N/A</v>
      </c>
      <c r="F181" s="6">
        <f t="shared" si="8"/>
        <v>1.4999999999999999E-2</v>
      </c>
      <c r="G181" s="7">
        <f>VLOOKUP(A181,[1]Sheet!B$3:G$2921,5,0)</f>
        <v>10227.75</v>
      </c>
      <c r="H181" s="5" t="e">
        <f>VLOOKUP(A181,N$3:S$1271,5,FALSE)</f>
        <v>#N/A</v>
      </c>
      <c r="I181" s="6">
        <f t="shared" si="9"/>
        <v>10227.75</v>
      </c>
      <c r="J181" s="7">
        <f>VLOOKUP(A181,[1]Sheet!B$3:G$2921,6,0)</f>
        <v>153.41999999999999</v>
      </c>
      <c r="K181" s="8" t="e">
        <f t="shared" si="10"/>
        <v>#N/A</v>
      </c>
      <c r="L181" s="6">
        <f t="shared" si="11"/>
        <v>153.41999999999999</v>
      </c>
    </row>
    <row r="182" spans="1:12" x14ac:dyDescent="0.25">
      <c r="A182" s="9" t="s">
        <v>181</v>
      </c>
      <c r="B182" s="2" t="str">
        <f>VLOOKUP(A182,[1]Sheet!B$3:G$2921,2,0)</f>
        <v>Демонтаж трубопроводiв iз чавунних
каналiзацiйних труб дiаметром до 100 мм</v>
      </c>
      <c r="C182" s="3" t="str">
        <f>VLOOKUP(A182,[1]Sheet!B$3:G$2921,3,0)</f>
        <v>100м</v>
      </c>
      <c r="D182" s="4">
        <v>0.13</v>
      </c>
      <c r="E182" s="5" t="e">
        <f>VLOOKUP(A182,N$3:S$1271,4,FALSE)</f>
        <v>#N/A</v>
      </c>
      <c r="F182" s="6">
        <f t="shared" si="8"/>
        <v>0.13</v>
      </c>
      <c r="G182" s="7">
        <f>VLOOKUP(A182,[1]Sheet!B$3:G$2921,5,0)</f>
        <v>3726.78</v>
      </c>
      <c r="H182" s="5" t="e">
        <f>VLOOKUP(A182,N$3:S$1271,5,FALSE)</f>
        <v>#N/A</v>
      </c>
      <c r="I182" s="6">
        <f t="shared" si="9"/>
        <v>3726.78</v>
      </c>
      <c r="J182" s="7">
        <f>VLOOKUP(A182,[1]Sheet!B$3:G$2921,6,0)</f>
        <v>484.48</v>
      </c>
      <c r="K182" s="8" t="e">
        <f t="shared" si="10"/>
        <v>#N/A</v>
      </c>
      <c r="L182" s="6">
        <f t="shared" si="11"/>
        <v>484.48</v>
      </c>
    </row>
    <row r="183" spans="1:12" x14ac:dyDescent="0.25">
      <c r="A183" s="9" t="s">
        <v>182</v>
      </c>
      <c r="B183" s="2" t="str">
        <f>VLOOKUP(A183,[1]Sheet!B$3:G$2921,2,0)</f>
        <v>Прокладання трубопроводiв
водопостачання зi стальних
водогазопровiдних оцинкованих труб
дiаметром 20 мм</v>
      </c>
      <c r="C183" s="3" t="str">
        <f>VLOOKUP(A183,[1]Sheet!B$3:G$2921,3,0)</f>
        <v>100м</v>
      </c>
      <c r="D183" s="4">
        <v>0.54</v>
      </c>
      <c r="E183" s="5" t="e">
        <f>VLOOKUP(A183,N$3:S$1271,4,FALSE)</f>
        <v>#N/A</v>
      </c>
      <c r="F183" s="6">
        <f t="shared" si="8"/>
        <v>0.54</v>
      </c>
      <c r="G183" s="7">
        <f>VLOOKUP(A183,[1]Sheet!B$3:G$2921,5,0)</f>
        <v>33153.5</v>
      </c>
      <c r="H183" s="5" t="e">
        <f>VLOOKUP(A183,N$3:S$1271,5,FALSE)</f>
        <v>#N/A</v>
      </c>
      <c r="I183" s="6">
        <f t="shared" si="9"/>
        <v>33153.5</v>
      </c>
      <c r="J183" s="7">
        <f>VLOOKUP(A183,[1]Sheet!B$3:G$2921,6,0)</f>
        <v>10940.66</v>
      </c>
      <c r="K183" s="8" t="e">
        <f t="shared" si="10"/>
        <v>#N/A</v>
      </c>
      <c r="L183" s="6">
        <f t="shared" si="11"/>
        <v>10940.66</v>
      </c>
    </row>
    <row r="184" spans="1:12" x14ac:dyDescent="0.25">
      <c r="A184" s="9" t="s">
        <v>183</v>
      </c>
      <c r="B184" s="2" t="str">
        <f>VLOOKUP(A184,[1]Sheet!B$3:G$2921,2,0)</f>
        <v>Прокладання трубопроводiв
водопостачання зi стальних
водогазопровiдних оцинкованих труб
дiаметром 25 мм</v>
      </c>
      <c r="C184" s="3" t="str">
        <f>VLOOKUP(A184,[1]Sheet!B$3:G$2921,3,0)</f>
        <v>100м</v>
      </c>
      <c r="D184" s="4">
        <v>1.7000000000000001E-2</v>
      </c>
      <c r="E184" s="5" t="e">
        <f>VLOOKUP(A184,N$3:S$1271,4,FALSE)</f>
        <v>#N/A</v>
      </c>
      <c r="F184" s="6">
        <f t="shared" si="8"/>
        <v>1.7000000000000001E-2</v>
      </c>
      <c r="G184" s="7">
        <f>VLOOKUP(A184,[1]Sheet!B$3:G$2921,5,0)</f>
        <v>37048.559999999998</v>
      </c>
      <c r="H184" s="5" t="e">
        <f>VLOOKUP(A184,N$3:S$1271,5,FALSE)</f>
        <v>#N/A</v>
      </c>
      <c r="I184" s="6">
        <f t="shared" si="9"/>
        <v>37048.559999999998</v>
      </c>
      <c r="J184" s="7">
        <f>VLOOKUP(A184,[1]Sheet!B$3:G$2921,6,0)</f>
        <v>629.83000000000004</v>
      </c>
      <c r="K184" s="8" t="e">
        <f t="shared" si="10"/>
        <v>#N/A</v>
      </c>
      <c r="L184" s="6">
        <f t="shared" si="11"/>
        <v>629.83000000000004</v>
      </c>
    </row>
    <row r="185" spans="1:12" x14ac:dyDescent="0.25">
      <c r="A185" s="9" t="s">
        <v>184</v>
      </c>
      <c r="B185" s="2" t="str">
        <f>VLOOKUP(A185,[1]Sheet!B$3:G$2921,2,0)</f>
        <v>Прокладання трубопроводiв
водопостачання зi стальних
водогазопровiдних оцинкованих труб
дiаметром 32 мм</v>
      </c>
      <c r="C185" s="3" t="str">
        <f>VLOOKUP(A185,[1]Sheet!B$3:G$2921,3,0)</f>
        <v>100м</v>
      </c>
      <c r="D185" s="4">
        <v>1.4999999999999999E-2</v>
      </c>
      <c r="E185" s="5" t="e">
        <f>VLOOKUP(A185,N$3:S$1271,4,FALSE)</f>
        <v>#N/A</v>
      </c>
      <c r="F185" s="6">
        <f t="shared" si="8"/>
        <v>1.4999999999999999E-2</v>
      </c>
      <c r="G185" s="7">
        <f>VLOOKUP(A185,[1]Sheet!B$3:G$2921,5,0)</f>
        <v>40608.370000000003</v>
      </c>
      <c r="H185" s="5" t="e">
        <f>VLOOKUP(A185,N$3:S$1271,5,FALSE)</f>
        <v>#N/A</v>
      </c>
      <c r="I185" s="6">
        <f t="shared" si="9"/>
        <v>40608.370000000003</v>
      </c>
      <c r="J185" s="7">
        <f>VLOOKUP(A185,[1]Sheet!B$3:G$2921,6,0)</f>
        <v>609.13</v>
      </c>
      <c r="K185" s="8" t="e">
        <f t="shared" si="10"/>
        <v>#N/A</v>
      </c>
      <c r="L185" s="6">
        <f t="shared" si="11"/>
        <v>609.13</v>
      </c>
    </row>
    <row r="186" spans="1:12" x14ac:dyDescent="0.25">
      <c r="A186" s="9" t="s">
        <v>185</v>
      </c>
      <c r="B186" s="2" t="str">
        <f>VLOOKUP(A186,[1]Sheet!B$3:G$2921,2,0)</f>
        <v>Установлення трапiв дiаметром 50 мм</v>
      </c>
      <c r="C186" s="3" t="str">
        <f>VLOOKUP(A186,[1]Sheet!B$3:G$2921,3,0)</f>
        <v>10компл.</v>
      </c>
      <c r="D186" s="4">
        <v>0.2</v>
      </c>
      <c r="E186" s="5" t="e">
        <f>VLOOKUP(A186,N$3:S$1271,4,FALSE)</f>
        <v>#N/A</v>
      </c>
      <c r="F186" s="6">
        <f t="shared" si="8"/>
        <v>0.2</v>
      </c>
      <c r="G186" s="7">
        <f>VLOOKUP(A186,[1]Sheet!B$3:G$2921,5,0)</f>
        <v>615.49</v>
      </c>
      <c r="H186" s="5" t="e">
        <f>VLOOKUP(A186,N$3:S$1271,5,FALSE)</f>
        <v>#N/A</v>
      </c>
      <c r="I186" s="6">
        <f t="shared" si="9"/>
        <v>615.49</v>
      </c>
      <c r="J186" s="7">
        <f>VLOOKUP(A186,[1]Sheet!B$3:G$2921,6,0)</f>
        <v>123.1</v>
      </c>
      <c r="K186" s="8" t="e">
        <f t="shared" si="10"/>
        <v>#N/A</v>
      </c>
      <c r="L186" s="6">
        <f t="shared" si="11"/>
        <v>123.1</v>
      </c>
    </row>
    <row r="187" spans="1:12" x14ac:dyDescent="0.25">
      <c r="A187" s="9" t="s">
        <v>186</v>
      </c>
      <c r="B187" s="2" t="str">
        <f>VLOOKUP(A187,[1]Sheet!B$3:G$2921,2,0)</f>
        <v>Установлення трапiв дiаметром 100 мм</v>
      </c>
      <c r="C187" s="3" t="str">
        <f>VLOOKUP(A187,[1]Sheet!B$3:G$2921,3,0)</f>
        <v>10компл.</v>
      </c>
      <c r="D187" s="4">
        <v>0.6</v>
      </c>
      <c r="E187" s="5" t="e">
        <f>VLOOKUP(A187,N$3:S$1271,4,FALSE)</f>
        <v>#N/A</v>
      </c>
      <c r="F187" s="6">
        <f t="shared" si="8"/>
        <v>0.6</v>
      </c>
      <c r="G187" s="7">
        <f>VLOOKUP(A187,[1]Sheet!B$3:G$2921,5,0)</f>
        <v>1054.8399999999999</v>
      </c>
      <c r="H187" s="5" t="e">
        <f>VLOOKUP(A187,N$3:S$1271,5,FALSE)</f>
        <v>#N/A</v>
      </c>
      <c r="I187" s="6">
        <f t="shared" si="9"/>
        <v>1054.8399999999999</v>
      </c>
      <c r="J187" s="7">
        <f>VLOOKUP(A187,[1]Sheet!B$3:G$2921,6,0)</f>
        <v>527.41999999999996</v>
      </c>
      <c r="K187" s="8" t="e">
        <f t="shared" si="10"/>
        <v>#N/A</v>
      </c>
      <c r="L187" s="6">
        <f t="shared" si="11"/>
        <v>527.41999999999996</v>
      </c>
    </row>
    <row r="188" spans="1:12" x14ac:dyDescent="0.25">
      <c r="A188" s="9" t="s">
        <v>187</v>
      </c>
      <c r="B188" s="2" t="str">
        <f>VLOOKUP(A188,[1]Sheet!B$3:G$2921,2,0)</f>
        <v>Установлення умивальникiв одиночних з
пiдведеннямю холодної i гарячої води</v>
      </c>
      <c r="C188" s="3" t="str">
        <f>VLOOKUP(A188,[1]Sheet!B$3:G$2921,3,0)</f>
        <v>10компл.</v>
      </c>
      <c r="D188" s="4">
        <v>0.8</v>
      </c>
      <c r="E188" s="5" t="e">
        <f>VLOOKUP(A188,N$3:S$1271,4,FALSE)</f>
        <v>#N/A</v>
      </c>
      <c r="F188" s="6">
        <f t="shared" si="8"/>
        <v>0.8</v>
      </c>
      <c r="G188" s="7">
        <f>VLOOKUP(A188,[1]Sheet!B$3:G$2921,5,0)</f>
        <v>2565.38</v>
      </c>
      <c r="H188" s="5" t="e">
        <f>VLOOKUP(A188,N$3:S$1271,5,FALSE)</f>
        <v>#N/A</v>
      </c>
      <c r="I188" s="6">
        <f t="shared" si="9"/>
        <v>2565.38</v>
      </c>
      <c r="J188" s="7">
        <f>VLOOKUP(A188,[1]Sheet!B$3:G$2921,6,0)</f>
        <v>2052.3000000000002</v>
      </c>
      <c r="K188" s="8" t="e">
        <f t="shared" si="10"/>
        <v>#N/A</v>
      </c>
      <c r="L188" s="6">
        <f t="shared" si="11"/>
        <v>2052.3000000000002</v>
      </c>
    </row>
    <row r="189" spans="1:12" x14ac:dyDescent="0.25">
      <c r="A189" s="9" t="s">
        <v>188</v>
      </c>
      <c r="B189" s="2" t="str">
        <f>VLOOKUP(A189,[1]Sheet!B$3:G$2921,2,0)</f>
        <v>Установлення унiтазiв iз бачком
безпосередньо приєднаним</v>
      </c>
      <c r="C189" s="3" t="str">
        <f>VLOOKUP(A189,[1]Sheet!B$3:G$2921,3,0)</f>
        <v>10компл.</v>
      </c>
      <c r="D189" s="4">
        <v>0.60000000000000009</v>
      </c>
      <c r="E189" s="5" t="e">
        <f>VLOOKUP(A189,N$3:S$1271,4,FALSE)</f>
        <v>#N/A</v>
      </c>
      <c r="F189" s="6">
        <f t="shared" si="8"/>
        <v>0.60000000000000009</v>
      </c>
      <c r="G189" s="7">
        <f>VLOOKUP(A189,[1]Sheet!B$3:G$2921,5,0)</f>
        <v>4123.3900000000003</v>
      </c>
      <c r="H189" s="5" t="e">
        <f>VLOOKUP(A189,N$3:S$1271,5,FALSE)</f>
        <v>#N/A</v>
      </c>
      <c r="I189" s="6">
        <f t="shared" si="9"/>
        <v>4123.3900000000003</v>
      </c>
      <c r="J189" s="7">
        <f>VLOOKUP(A189,[1]Sheet!B$3:G$2921,6,0)</f>
        <v>2474.0300000000002</v>
      </c>
      <c r="K189" s="8" t="e">
        <f t="shared" si="10"/>
        <v>#N/A</v>
      </c>
      <c r="L189" s="6">
        <f t="shared" si="11"/>
        <v>2474.0300000000002</v>
      </c>
    </row>
    <row r="190" spans="1:12" x14ac:dyDescent="0.25">
      <c r="A190" s="9" t="s">
        <v>189</v>
      </c>
      <c r="B190" s="2" t="str">
        <f>VLOOKUP(A190,[1]Sheet!B$3:G$2921,2,0)</f>
        <v>Установлення бакiв розширювальних
круглих i прямокутних мiсткiстю 0,1 м3</v>
      </c>
      <c r="C190" s="3" t="str">
        <f>VLOOKUP(A190,[1]Sheet!B$3:G$2921,3,0)</f>
        <v>шт</v>
      </c>
      <c r="D190" s="4">
        <v>1</v>
      </c>
      <c r="E190" s="5" t="e">
        <f>VLOOKUP(A190,N$3:S$1271,4,FALSE)</f>
        <v>#N/A</v>
      </c>
      <c r="F190" s="6">
        <f t="shared" si="8"/>
        <v>1</v>
      </c>
      <c r="G190" s="7">
        <f>VLOOKUP(A190,[1]Sheet!B$3:G$2921,5,0)</f>
        <v>427.62</v>
      </c>
      <c r="H190" s="5" t="e">
        <f>VLOOKUP(A190,N$3:S$1271,5,FALSE)</f>
        <v>#N/A</v>
      </c>
      <c r="I190" s="6">
        <f t="shared" si="9"/>
        <v>427.62</v>
      </c>
      <c r="J190" s="7">
        <f>VLOOKUP(A190,[1]Sheet!B$3:G$2921,6,0)</f>
        <v>427.62</v>
      </c>
      <c r="K190" s="8" t="e">
        <f t="shared" si="10"/>
        <v>#N/A</v>
      </c>
      <c r="L190" s="6">
        <f t="shared" si="11"/>
        <v>427.62</v>
      </c>
    </row>
    <row r="191" spans="1:12" x14ac:dyDescent="0.25">
      <c r="A191" s="9" t="s">
        <v>190</v>
      </c>
      <c r="B191" s="2" t="str">
        <f>VLOOKUP(A191,[1]Sheet!B$3:G$2921,2,0)</f>
        <v>Установлення насосiв вiдцентрових з
електродвигуном, маса агрегату до 0,1 т</v>
      </c>
      <c r="C191" s="3" t="str">
        <f>VLOOKUP(A191,[1]Sheet!B$3:G$2921,3,0)</f>
        <v>шт</v>
      </c>
      <c r="D191" s="4">
        <v>8</v>
      </c>
      <c r="E191" s="5" t="e">
        <f>VLOOKUP(A191,N$3:S$1271,4,FALSE)</f>
        <v>#N/A</v>
      </c>
      <c r="F191" s="6">
        <f t="shared" si="8"/>
        <v>8</v>
      </c>
      <c r="G191" s="7">
        <f>VLOOKUP(A191,[1]Sheet!B$3:G$2921,5,0)</f>
        <v>2178.98</v>
      </c>
      <c r="H191" s="5" t="e">
        <f>VLOOKUP(A191,N$3:S$1271,5,FALSE)</f>
        <v>#N/A</v>
      </c>
      <c r="I191" s="6">
        <f t="shared" si="9"/>
        <v>2178.98</v>
      </c>
      <c r="J191" s="7">
        <f>VLOOKUP(A191,[1]Sheet!B$3:G$2921,6,0)</f>
        <v>13073.88</v>
      </c>
      <c r="K191" s="8" t="e">
        <f t="shared" si="10"/>
        <v>#N/A</v>
      </c>
      <c r="L191" s="6">
        <f t="shared" si="11"/>
        <v>13073.88</v>
      </c>
    </row>
    <row r="192" spans="1:12" x14ac:dyDescent="0.25">
      <c r="A192" s="9" t="s">
        <v>191</v>
      </c>
      <c r="B192" s="2" t="str">
        <f>VLOOKUP(A192,[1]Sheet!B$3:G$2921,2,0)</f>
        <v>Установлення гребiнок
пароводорозподiльних зi стальних труб,
зовнiшнiй дiаметр корпуса 108 мм</v>
      </c>
      <c r="C192" s="3" t="str">
        <f>VLOOKUP(A192,[1]Sheet!B$3:G$2921,3,0)</f>
        <v>шт</v>
      </c>
      <c r="D192" s="4">
        <v>2</v>
      </c>
      <c r="E192" s="5" t="e">
        <f>VLOOKUP(A192,N$3:S$1271,4,FALSE)</f>
        <v>#N/A</v>
      </c>
      <c r="F192" s="6">
        <f t="shared" si="8"/>
        <v>2</v>
      </c>
      <c r="G192" s="7">
        <f>VLOOKUP(A192,[1]Sheet!B$3:G$2921,5,0)</f>
        <v>3155.55</v>
      </c>
      <c r="H192" s="5" t="e">
        <f>VLOOKUP(A192,N$3:S$1271,5,FALSE)</f>
        <v>#N/A</v>
      </c>
      <c r="I192" s="6">
        <f t="shared" si="9"/>
        <v>3155.55</v>
      </c>
      <c r="J192" s="7">
        <f>VLOOKUP(A192,[1]Sheet!B$3:G$2921,6,0)</f>
        <v>6311.1</v>
      </c>
      <c r="K192" s="8" t="e">
        <f t="shared" si="10"/>
        <v>#N/A</v>
      </c>
      <c r="L192" s="6">
        <f t="shared" si="11"/>
        <v>6311.1</v>
      </c>
    </row>
    <row r="193" spans="1:12" x14ac:dyDescent="0.25">
      <c r="A193" s="9" t="s">
        <v>192</v>
      </c>
      <c r="B193" s="2" t="str">
        <f>VLOOKUP(A193,[1]Sheet!B$3:G$2921,2,0)</f>
        <v>Установлення повітровідвідників</v>
      </c>
      <c r="C193" s="3" t="str">
        <f>VLOOKUP(A193,[1]Sheet!B$3:G$2921,3,0)</f>
        <v>шт</v>
      </c>
      <c r="D193" s="4">
        <v>20</v>
      </c>
      <c r="E193" s="5" t="e">
        <f>VLOOKUP(A193,N$3:S$1271,4,FALSE)</f>
        <v>#N/A</v>
      </c>
      <c r="F193" s="6">
        <f t="shared" si="8"/>
        <v>20</v>
      </c>
      <c r="G193" s="7">
        <f>VLOOKUP(A193,[1]Sheet!B$3:G$2921,5,0)</f>
        <v>129.83000000000001</v>
      </c>
      <c r="H193" s="5" t="e">
        <f>VLOOKUP(A193,N$3:S$1271,5,FALSE)</f>
        <v>#N/A</v>
      </c>
      <c r="I193" s="6">
        <f t="shared" si="9"/>
        <v>129.83000000000001</v>
      </c>
      <c r="J193" s="7">
        <f>VLOOKUP(A193,[1]Sheet!B$3:G$2921,6,0)</f>
        <v>259.66000000000003</v>
      </c>
      <c r="K193" s="8" t="e">
        <f t="shared" si="10"/>
        <v>#N/A</v>
      </c>
      <c r="L193" s="6">
        <f t="shared" si="11"/>
        <v>259.66000000000003</v>
      </c>
    </row>
    <row r="194" spans="1:12" x14ac:dyDescent="0.25">
      <c r="A194" s="9" t="s">
        <v>193</v>
      </c>
      <c r="B194" s="2" t="str">
        <f>VLOOKUP(A194,[1]Sheet!B$3:G$2921,2,0)</f>
        <v>Установлення фiльтрiв для очищення
води у трубопроводах систем опалення
дiаметром 25 мм</v>
      </c>
      <c r="C194" s="3" t="str">
        <f>VLOOKUP(A194,[1]Sheet!B$3:G$2921,3,0)</f>
        <v>10шт</v>
      </c>
      <c r="D194" s="4">
        <v>0.2</v>
      </c>
      <c r="E194" s="5" t="e">
        <f>VLOOKUP(A194,N$3:S$1271,4,FALSE)</f>
        <v>#N/A</v>
      </c>
      <c r="F194" s="6">
        <f t="shared" ref="F194:F257" si="12">IFERROR(D194-E194,D194)</f>
        <v>0.2</v>
      </c>
      <c r="G194" s="7">
        <f>VLOOKUP(A194,[1]Sheet!B$3:G$2921,5,0)</f>
        <v>1028.44</v>
      </c>
      <c r="H194" s="5" t="e">
        <f>VLOOKUP(A194,N$3:S$1271,5,FALSE)</f>
        <v>#N/A</v>
      </c>
      <c r="I194" s="6">
        <f t="shared" ref="I194:I257" si="13">IFERROR(G194-H194,G194)</f>
        <v>1028.44</v>
      </c>
      <c r="J194" s="7">
        <f>VLOOKUP(A194,[1]Sheet!B$3:G$2921,6,0)</f>
        <v>205.69</v>
      </c>
      <c r="K194" s="8" t="e">
        <f t="shared" ref="K194:K257" si="14">VLOOKUP(A194,N$3:S$1271,6,FALSE)</f>
        <v>#N/A</v>
      </c>
      <c r="L194" s="6">
        <f t="shared" ref="L194:L257" si="15">IFERROR(J194-K194,J194)</f>
        <v>205.69</v>
      </c>
    </row>
    <row r="195" spans="1:12" x14ac:dyDescent="0.25">
      <c r="A195" s="9" t="s">
        <v>194</v>
      </c>
      <c r="B195" s="2" t="str">
        <f>VLOOKUP(A195,[1]Sheet!B$3:G$2921,2,0)</f>
        <v>Установлення фiльтрiв для очищення
води у трубопроводах систем опалення
дiаметром 32 мм</v>
      </c>
      <c r="C195" s="3" t="str">
        <f>VLOOKUP(A195,[1]Sheet!B$3:G$2921,3,0)</f>
        <v>10шт</v>
      </c>
      <c r="D195" s="4">
        <v>0.1</v>
      </c>
      <c r="E195" s="5" t="e">
        <f>VLOOKUP(A195,N$3:S$1271,4,FALSE)</f>
        <v>#N/A</v>
      </c>
      <c r="F195" s="6">
        <f t="shared" si="12"/>
        <v>0.1</v>
      </c>
      <c r="G195" s="7">
        <f>VLOOKUP(A195,[1]Sheet!B$3:G$2921,5,0)</f>
        <v>1057.71</v>
      </c>
      <c r="H195" s="5" t="e">
        <f>VLOOKUP(A195,N$3:S$1271,5,FALSE)</f>
        <v>#N/A</v>
      </c>
      <c r="I195" s="6">
        <f t="shared" si="13"/>
        <v>1057.71</v>
      </c>
      <c r="J195" s="7">
        <f>VLOOKUP(A195,[1]Sheet!B$3:G$2921,6,0)</f>
        <v>105.77</v>
      </c>
      <c r="K195" s="8" t="e">
        <f t="shared" si="14"/>
        <v>#N/A</v>
      </c>
      <c r="L195" s="6">
        <f t="shared" si="15"/>
        <v>105.77</v>
      </c>
    </row>
    <row r="196" spans="1:12" x14ac:dyDescent="0.25">
      <c r="A196" s="9" t="s">
        <v>195</v>
      </c>
      <c r="B196" s="2" t="str">
        <f>VLOOKUP(A196,[1]Sheet!B$3:G$2921,2,0)</f>
        <v>Установлення фiльтрiв для очищення
води у трубопроводах систем опалення
дiаметром 40 мм</v>
      </c>
      <c r="C196" s="3" t="str">
        <f>VLOOKUP(A196,[1]Sheet!B$3:G$2921,3,0)</f>
        <v>10шт</v>
      </c>
      <c r="D196" s="4">
        <v>0.2</v>
      </c>
      <c r="E196" s="5" t="e">
        <f>VLOOKUP(A196,N$3:S$1271,4,FALSE)</f>
        <v>#N/A</v>
      </c>
      <c r="F196" s="6">
        <f t="shared" si="12"/>
        <v>0.2</v>
      </c>
      <c r="G196" s="7">
        <f>VLOOKUP(A196,[1]Sheet!B$3:G$2921,5,0)</f>
        <v>1255.43</v>
      </c>
      <c r="H196" s="5" t="e">
        <f>VLOOKUP(A196,N$3:S$1271,5,FALSE)</f>
        <v>#N/A</v>
      </c>
      <c r="I196" s="6">
        <f t="shared" si="13"/>
        <v>1255.43</v>
      </c>
      <c r="J196" s="7">
        <f>VLOOKUP(A196,[1]Sheet!B$3:G$2921,6,0)</f>
        <v>251.09</v>
      </c>
      <c r="K196" s="8" t="e">
        <f t="shared" si="14"/>
        <v>#N/A</v>
      </c>
      <c r="L196" s="6">
        <f t="shared" si="15"/>
        <v>251.09</v>
      </c>
    </row>
    <row r="197" spans="1:12" x14ac:dyDescent="0.25">
      <c r="A197" s="9" t="s">
        <v>196</v>
      </c>
      <c r="B197" s="2" t="str">
        <f>VLOOKUP(A197,[1]Sheet!B$3:G$2921,2,0)</f>
        <v>Установлення фiльтрiв для очищення
води у трубопроводах систем опалення
дiаметром 65 мм</v>
      </c>
      <c r="C197" s="3" t="str">
        <f>VLOOKUP(A197,[1]Sheet!B$3:G$2921,3,0)</f>
        <v>10шт</v>
      </c>
      <c r="D197" s="4">
        <v>0.1</v>
      </c>
      <c r="E197" s="5" t="e">
        <f>VLOOKUP(A197,N$3:S$1271,4,FALSE)</f>
        <v>#N/A</v>
      </c>
      <c r="F197" s="6">
        <f t="shared" si="12"/>
        <v>0.1</v>
      </c>
      <c r="G197" s="7">
        <f>VLOOKUP(A197,[1]Sheet!B$3:G$2921,5,0)</f>
        <v>1525.33</v>
      </c>
      <c r="H197" s="5" t="e">
        <f>VLOOKUP(A197,N$3:S$1271,5,FALSE)</f>
        <v>#N/A</v>
      </c>
      <c r="I197" s="6">
        <f t="shared" si="13"/>
        <v>1525.33</v>
      </c>
      <c r="J197" s="7">
        <f>VLOOKUP(A197,[1]Sheet!B$3:G$2921,6,0)</f>
        <v>152.53</v>
      </c>
      <c r="K197" s="8" t="e">
        <f t="shared" si="14"/>
        <v>#N/A</v>
      </c>
      <c r="L197" s="6">
        <f t="shared" si="15"/>
        <v>152.53</v>
      </c>
    </row>
    <row r="198" spans="1:12" x14ac:dyDescent="0.25">
      <c r="A198" s="9" t="s">
        <v>197</v>
      </c>
      <c r="B198" s="2" t="str">
        <f>VLOOKUP(A198,[1]Sheet!B$3:G$2921,2,0)</f>
        <v>Демонтування фiльтрiв дiаметром 65 мм</v>
      </c>
      <c r="C198" s="3" t="str">
        <f>VLOOKUP(A198,[1]Sheet!B$3:G$2921,3,0)</f>
        <v>10шт</v>
      </c>
      <c r="D198" s="4">
        <v>0.1</v>
      </c>
      <c r="E198" s="5" t="e">
        <f>VLOOKUP(A198,N$3:S$1271,4,FALSE)</f>
        <v>#N/A</v>
      </c>
      <c r="F198" s="6">
        <f t="shared" si="12"/>
        <v>0.1</v>
      </c>
      <c r="G198" s="7">
        <f>VLOOKUP(A198,[1]Sheet!B$3:G$2921,5,0)</f>
        <v>610.13</v>
      </c>
      <c r="H198" s="5" t="e">
        <f>VLOOKUP(A198,N$3:S$1271,5,FALSE)</f>
        <v>#N/A</v>
      </c>
      <c r="I198" s="6">
        <f t="shared" si="13"/>
        <v>610.13</v>
      </c>
      <c r="J198" s="7">
        <f>VLOOKUP(A198,[1]Sheet!B$3:G$2921,6,0)</f>
        <v>61.01</v>
      </c>
      <c r="K198" s="8" t="e">
        <f t="shared" si="14"/>
        <v>#N/A</v>
      </c>
      <c r="L198" s="6">
        <f t="shared" si="15"/>
        <v>61.01</v>
      </c>
    </row>
    <row r="199" spans="1:12" x14ac:dyDescent="0.25">
      <c r="A199" s="9" t="s">
        <v>198</v>
      </c>
      <c r="B199" s="2" t="str">
        <f>VLOOKUP(A199,[1]Sheet!B$3:G$2921,2,0)</f>
        <v>Установлення фiльтрiв для очищення
води у трубопроводах систем опалення
дiаметром 80 мм</v>
      </c>
      <c r="C199" s="3" t="str">
        <f>VLOOKUP(A199,[1]Sheet!B$3:G$2921,3,0)</f>
        <v>10шт</v>
      </c>
      <c r="D199" s="4">
        <v>0.1</v>
      </c>
      <c r="E199" s="5" t="e">
        <f>VLOOKUP(A199,N$3:S$1271,4,FALSE)</f>
        <v>#N/A</v>
      </c>
      <c r="F199" s="6">
        <f t="shared" si="12"/>
        <v>0.1</v>
      </c>
      <c r="G199" s="7">
        <f>VLOOKUP(A199,[1]Sheet!B$3:G$2921,5,0)</f>
        <v>1908.25</v>
      </c>
      <c r="H199" s="5" t="e">
        <f>VLOOKUP(A199,N$3:S$1271,5,FALSE)</f>
        <v>#N/A</v>
      </c>
      <c r="I199" s="6">
        <f t="shared" si="13"/>
        <v>1908.25</v>
      </c>
      <c r="J199" s="7">
        <f>VLOOKUP(A199,[1]Sheet!B$3:G$2921,6,0)</f>
        <v>190.83</v>
      </c>
      <c r="K199" s="8" t="e">
        <f t="shared" si="14"/>
        <v>#N/A</v>
      </c>
      <c r="L199" s="6">
        <f t="shared" si="15"/>
        <v>190.83</v>
      </c>
    </row>
    <row r="200" spans="1:12" x14ac:dyDescent="0.25">
      <c r="A200" s="9" t="s">
        <v>199</v>
      </c>
      <c r="B200" s="2" t="str">
        <f>VLOOKUP(A200,[1]Sheet!B$3:G$2921,2,0)</f>
        <v>Установлення покажчикiв рiвня кранового
типу</v>
      </c>
      <c r="C200" s="3" t="str">
        <f>VLOOKUP(A200,[1]Sheet!B$3:G$2921,3,0)</f>
        <v>комплект</v>
      </c>
      <c r="D200" s="4">
        <v>38</v>
      </c>
      <c r="E200" s="5" t="e">
        <f>VLOOKUP(A200,N$3:S$1271,4,FALSE)</f>
        <v>#N/A</v>
      </c>
      <c r="F200" s="6">
        <f t="shared" si="12"/>
        <v>38</v>
      </c>
      <c r="G200" s="7">
        <f>VLOOKUP(A200,[1]Sheet!B$3:G$2921,5,0)</f>
        <v>106.38</v>
      </c>
      <c r="H200" s="5" t="e">
        <f>VLOOKUP(A200,N$3:S$1271,5,FALSE)</f>
        <v>#N/A</v>
      </c>
      <c r="I200" s="6">
        <f t="shared" si="13"/>
        <v>106.38</v>
      </c>
      <c r="J200" s="7">
        <f>VLOOKUP(A200,[1]Sheet!B$3:G$2921,6,0)</f>
        <v>4042.44</v>
      </c>
      <c r="K200" s="8" t="e">
        <f t="shared" si="14"/>
        <v>#N/A</v>
      </c>
      <c r="L200" s="6">
        <f t="shared" si="15"/>
        <v>4042.44</v>
      </c>
    </row>
    <row r="201" spans="1:12" x14ac:dyDescent="0.25">
      <c r="A201" s="9" t="s">
        <v>200</v>
      </c>
      <c r="B201" s="2" t="str">
        <f>VLOOKUP(A201,[1]Sheet!B$3:G$2921,2,0)</f>
        <v>Установлення кранiв повiтряних</v>
      </c>
      <c r="C201" s="3" t="str">
        <f>VLOOKUP(A201,[1]Sheet!B$3:G$2921,3,0)</f>
        <v>комплек
т</v>
      </c>
      <c r="D201" s="4">
        <v>19</v>
      </c>
      <c r="E201" s="5" t="e">
        <f>VLOOKUP(A201,N$3:S$1271,4,FALSE)</f>
        <v>#N/A</v>
      </c>
      <c r="F201" s="6">
        <f t="shared" si="12"/>
        <v>19</v>
      </c>
      <c r="G201" s="7">
        <f>VLOOKUP(A201,[1]Sheet!B$3:G$2921,5,0)</f>
        <v>17.97</v>
      </c>
      <c r="H201" s="5" t="e">
        <f>VLOOKUP(A201,N$3:S$1271,5,FALSE)</f>
        <v>#N/A</v>
      </c>
      <c r="I201" s="6">
        <f t="shared" si="13"/>
        <v>17.97</v>
      </c>
      <c r="J201" s="7">
        <f>VLOOKUP(A201,[1]Sheet!B$3:G$2921,6,0)</f>
        <v>341.43</v>
      </c>
      <c r="K201" s="8" t="e">
        <f t="shared" si="14"/>
        <v>#N/A</v>
      </c>
      <c r="L201" s="6">
        <f t="shared" si="15"/>
        <v>341.43</v>
      </c>
    </row>
    <row r="202" spans="1:12" x14ac:dyDescent="0.25">
      <c r="A202" s="9" t="s">
        <v>201</v>
      </c>
      <c r="B202" s="2" t="str">
        <f>VLOOKUP(A202,[1]Sheet!B$3:G$2921,2,0)</f>
        <v>Установлення нарощенного
водопiдiгрiвника</v>
      </c>
      <c r="C202" s="3" t="str">
        <f>VLOOKUP(A202,[1]Sheet!B$3:G$2921,3,0)</f>
        <v>шт</v>
      </c>
      <c r="D202" s="4">
        <v>1</v>
      </c>
      <c r="E202" s="5" t="e">
        <f>VLOOKUP(A202,N$3:S$1271,4,FALSE)</f>
        <v>#N/A</v>
      </c>
      <c r="F202" s="6">
        <f t="shared" si="12"/>
        <v>1</v>
      </c>
      <c r="G202" s="7">
        <f>VLOOKUP(A202,[1]Sheet!B$3:G$2921,5,0)</f>
        <v>1998.6</v>
      </c>
      <c r="H202" s="5" t="e">
        <f>VLOOKUP(A202,N$3:S$1271,5,FALSE)</f>
        <v>#N/A</v>
      </c>
      <c r="I202" s="6">
        <f t="shared" si="13"/>
        <v>1998.6</v>
      </c>
      <c r="J202" s="7">
        <f>VLOOKUP(A202,[1]Sheet!B$3:G$2921,6,0)</f>
        <v>1998.6</v>
      </c>
      <c r="K202" s="8" t="e">
        <f t="shared" si="14"/>
        <v>#N/A</v>
      </c>
      <c r="L202" s="6">
        <f t="shared" si="15"/>
        <v>1998.6</v>
      </c>
    </row>
    <row r="203" spans="1:12" x14ac:dyDescent="0.25">
      <c r="A203" s="9" t="s">
        <v>202</v>
      </c>
      <c r="B203" s="2" t="str">
        <f>VLOOKUP(A203,[1]Sheet!B$3:G$2921,2,0)</f>
        <v>Установлення секцiй водопiдiгрiвникiв
швидкiсних поверхнею нагрiву однiєї секцiї
до 4 м2</v>
      </c>
      <c r="C203" s="3" t="str">
        <f>VLOOKUP(A203,[1]Sheet!B$3:G$2921,3,0)</f>
        <v>секцiя</v>
      </c>
      <c r="D203" s="4">
        <v>11</v>
      </c>
      <c r="E203" s="5" t="e">
        <f>VLOOKUP(A203,N$3:S$1271,4,FALSE)</f>
        <v>#N/A</v>
      </c>
      <c r="F203" s="6">
        <f t="shared" si="12"/>
        <v>11</v>
      </c>
      <c r="G203" s="7">
        <f>VLOOKUP(A203,[1]Sheet!B$3:G$2921,5,0)</f>
        <v>416.53</v>
      </c>
      <c r="H203" s="5" t="e">
        <f>VLOOKUP(A203,N$3:S$1271,5,FALSE)</f>
        <v>#N/A</v>
      </c>
      <c r="I203" s="6">
        <f t="shared" si="13"/>
        <v>416.53</v>
      </c>
      <c r="J203" s="7">
        <f>VLOOKUP(A203,[1]Sheet!B$3:G$2921,6,0)</f>
        <v>2082.65</v>
      </c>
      <c r="K203" s="8" t="e">
        <f t="shared" si="14"/>
        <v>#N/A</v>
      </c>
      <c r="L203" s="6">
        <f t="shared" si="15"/>
        <v>2082.65</v>
      </c>
    </row>
    <row r="204" spans="1:12" x14ac:dyDescent="0.25">
      <c r="A204" s="9" t="s">
        <v>203</v>
      </c>
      <c r="B204" s="2" t="str">
        <f>VLOOKUP(A204,[1]Sheet!B$3:G$2921,2,0)</f>
        <v>Установлення радiаторiв стальних</v>
      </c>
      <c r="C204" s="3" t="str">
        <f>VLOOKUP(A204,[1]Sheet!B$3:G$2921,3,0)</f>
        <v>100кВт</v>
      </c>
      <c r="D204" s="4">
        <v>0.18375000000000002</v>
      </c>
      <c r="E204" s="5" t="e">
        <f>VLOOKUP(A204,N$3:S$1271,4,FALSE)</f>
        <v>#N/A</v>
      </c>
      <c r="F204" s="6">
        <f t="shared" si="12"/>
        <v>0.18375000000000002</v>
      </c>
      <c r="G204" s="7">
        <f>VLOOKUP(A204,[1]Sheet!B$3:G$2921,5,0)</f>
        <v>8538.14</v>
      </c>
      <c r="H204" s="5" t="e">
        <f>VLOOKUP(A204,N$3:S$1271,5,FALSE)</f>
        <v>#N/A</v>
      </c>
      <c r="I204" s="6">
        <f t="shared" si="13"/>
        <v>8538.14</v>
      </c>
      <c r="J204" s="7">
        <f>VLOOKUP(A204,[1]Sheet!B$3:G$2921,6,0)</f>
        <v>1568.88</v>
      </c>
      <c r="K204" s="8" t="e">
        <f t="shared" si="14"/>
        <v>#N/A</v>
      </c>
      <c r="L204" s="6">
        <f t="shared" si="15"/>
        <v>1568.88</v>
      </c>
    </row>
    <row r="205" spans="1:12" x14ac:dyDescent="0.25">
      <c r="A205" s="9" t="s">
        <v>204</v>
      </c>
      <c r="B205" s="2" t="str">
        <f>VLOOKUP(A205,[1]Sheet!B$3:G$2921,2,0)</f>
        <v>Установлення грат жалюзiйних площею у
просвiтi до 0,25 м2</v>
      </c>
      <c r="C205" s="3" t="str">
        <f>VLOOKUP(A205,[1]Sheet!B$3:G$2921,3,0)</f>
        <v>грати</v>
      </c>
      <c r="D205" s="4">
        <v>86</v>
      </c>
      <c r="E205" s="5" t="e">
        <f>VLOOKUP(A205,N$3:S$1271,4,FALSE)</f>
        <v>#N/A</v>
      </c>
      <c r="F205" s="6">
        <f t="shared" si="12"/>
        <v>86</v>
      </c>
      <c r="G205" s="7">
        <f>VLOOKUP(A205,[1]Sheet!B$3:G$2921,5,0)</f>
        <v>145.96</v>
      </c>
      <c r="H205" s="5" t="e">
        <f>VLOOKUP(A205,N$3:S$1271,5,FALSE)</f>
        <v>#N/A</v>
      </c>
      <c r="I205" s="6">
        <f t="shared" si="13"/>
        <v>145.96</v>
      </c>
      <c r="J205" s="7">
        <f>VLOOKUP(A205,[1]Sheet!B$3:G$2921,6,0)</f>
        <v>1751.52</v>
      </c>
      <c r="K205" s="8" t="e">
        <f t="shared" si="14"/>
        <v>#N/A</v>
      </c>
      <c r="L205" s="6">
        <f t="shared" si="15"/>
        <v>1751.52</v>
      </c>
    </row>
    <row r="206" spans="1:12" x14ac:dyDescent="0.25">
      <c r="A206" s="9" t="s">
        <v>205</v>
      </c>
      <c r="B206" s="2" t="str">
        <f>VLOOKUP(A206,[1]Sheet!B$3:G$2921,2,0)</f>
        <v>Установлення грат жалюзiйних площею у
просвiтi до 1 м2</v>
      </c>
      <c r="C206" s="3" t="str">
        <f>VLOOKUP(A206,[1]Sheet!B$3:G$2921,3,0)</f>
        <v>грати</v>
      </c>
      <c r="D206" s="4">
        <v>7</v>
      </c>
      <c r="E206" s="5" t="e">
        <f>VLOOKUP(A206,N$3:S$1271,4,FALSE)</f>
        <v>#N/A</v>
      </c>
      <c r="F206" s="6">
        <f t="shared" si="12"/>
        <v>7</v>
      </c>
      <c r="G206" s="7">
        <f>VLOOKUP(A206,[1]Sheet!B$3:G$2921,5,0)</f>
        <v>200.46</v>
      </c>
      <c r="H206" s="5" t="e">
        <f>VLOOKUP(A206,N$3:S$1271,5,FALSE)</f>
        <v>#N/A</v>
      </c>
      <c r="I206" s="6">
        <f t="shared" si="13"/>
        <v>200.46</v>
      </c>
      <c r="J206" s="7">
        <f>VLOOKUP(A206,[1]Sheet!B$3:G$2921,6,0)</f>
        <v>1403.22</v>
      </c>
      <c r="K206" s="8" t="e">
        <f t="shared" si="14"/>
        <v>#N/A</v>
      </c>
      <c r="L206" s="6">
        <f t="shared" si="15"/>
        <v>1403.22</v>
      </c>
    </row>
    <row r="207" spans="1:12" x14ac:dyDescent="0.25">
      <c r="A207" s="9" t="s">
        <v>206</v>
      </c>
      <c r="B207" s="2" t="str">
        <f>VLOOKUP(A207,[1]Sheet!B$3:G$2921,2,0)</f>
        <v>Установлення клапанiв зворотних
дiаметром до 355 мм</v>
      </c>
      <c r="C207" s="3" t="str">
        <f>VLOOKUP(A207,[1]Sheet!B$3:G$2921,3,0)</f>
        <v>клапан</v>
      </c>
      <c r="D207" s="4">
        <v>8</v>
      </c>
      <c r="E207" s="5" t="e">
        <f>VLOOKUP(A207,N$3:S$1271,4,FALSE)</f>
        <v>#N/A</v>
      </c>
      <c r="F207" s="6">
        <f t="shared" si="12"/>
        <v>8</v>
      </c>
      <c r="G207" s="7">
        <f>VLOOKUP(A207,[1]Sheet!B$3:G$2921,5,0)</f>
        <v>158.96</v>
      </c>
      <c r="H207" s="5" t="e">
        <f>VLOOKUP(A207,N$3:S$1271,5,FALSE)</f>
        <v>#N/A</v>
      </c>
      <c r="I207" s="6">
        <f t="shared" si="13"/>
        <v>158.96</v>
      </c>
      <c r="J207" s="7">
        <f>VLOOKUP(A207,[1]Sheet!B$3:G$2921,6,0)</f>
        <v>158.96</v>
      </c>
      <c r="K207" s="8" t="e">
        <f t="shared" si="14"/>
        <v>#N/A</v>
      </c>
      <c r="L207" s="6">
        <f t="shared" si="15"/>
        <v>158.96</v>
      </c>
    </row>
    <row r="208" spans="1:12" x14ac:dyDescent="0.25">
      <c r="A208" s="9" t="s">
        <v>207</v>
      </c>
      <c r="B208" s="2" t="str">
        <f>VLOOKUP(A208,[1]Sheet!B$3:G$2921,2,0)</f>
        <v>Установлення над шахтами зонтiв iз
листової сталi круглого перерiзу
дiаметром 200 мм</v>
      </c>
      <c r="C208" s="3" t="str">
        <f>VLOOKUP(A208,[1]Sheet!B$3:G$2921,3,0)</f>
        <v>зонт</v>
      </c>
      <c r="D208" s="4">
        <v>6</v>
      </c>
      <c r="E208" s="5" t="e">
        <f>VLOOKUP(A208,N$3:S$1271,4,FALSE)</f>
        <v>#N/A</v>
      </c>
      <c r="F208" s="6">
        <f t="shared" si="12"/>
        <v>6</v>
      </c>
      <c r="G208" s="7">
        <f>VLOOKUP(A208,[1]Sheet!B$3:G$2921,5,0)</f>
        <v>45.87</v>
      </c>
      <c r="H208" s="5" t="e">
        <f>VLOOKUP(A208,N$3:S$1271,5,FALSE)</f>
        <v>#N/A</v>
      </c>
      <c r="I208" s="6">
        <f t="shared" si="13"/>
        <v>45.87</v>
      </c>
      <c r="J208" s="7">
        <f>VLOOKUP(A208,[1]Sheet!B$3:G$2921,6,0)</f>
        <v>45.87</v>
      </c>
      <c r="K208" s="8" t="e">
        <f t="shared" si="14"/>
        <v>#N/A</v>
      </c>
      <c r="L208" s="6">
        <f t="shared" si="15"/>
        <v>45.87</v>
      </c>
    </row>
    <row r="209" spans="1:12" x14ac:dyDescent="0.25">
      <c r="A209" s="9" t="s">
        <v>208</v>
      </c>
      <c r="B209" s="2" t="str">
        <f>VLOOKUP(A209,[1]Sheet!B$3:G$2921,2,0)</f>
        <v>Установлення над шахтами зонтiв iз
листової сталi круглого перерiзу
дiаметром 250 мм</v>
      </c>
      <c r="C209" s="3" t="str">
        <f>VLOOKUP(A209,[1]Sheet!B$3:G$2921,3,0)</f>
        <v>зонт</v>
      </c>
      <c r="D209" s="4">
        <v>1</v>
      </c>
      <c r="E209" s="5" t="e">
        <f>VLOOKUP(A209,N$3:S$1271,4,FALSE)</f>
        <v>#N/A</v>
      </c>
      <c r="F209" s="6">
        <f t="shared" si="12"/>
        <v>1</v>
      </c>
      <c r="G209" s="7">
        <f>VLOOKUP(A209,[1]Sheet!B$3:G$2921,5,0)</f>
        <v>45.87</v>
      </c>
      <c r="H209" s="5" t="e">
        <f>VLOOKUP(A209,N$3:S$1271,5,FALSE)</f>
        <v>#N/A</v>
      </c>
      <c r="I209" s="6">
        <f t="shared" si="13"/>
        <v>45.87</v>
      </c>
      <c r="J209" s="7">
        <f>VLOOKUP(A209,[1]Sheet!B$3:G$2921,6,0)</f>
        <v>45.87</v>
      </c>
      <c r="K209" s="8" t="e">
        <f t="shared" si="14"/>
        <v>#N/A</v>
      </c>
      <c r="L209" s="6">
        <f t="shared" si="15"/>
        <v>45.87</v>
      </c>
    </row>
    <row r="210" spans="1:12" x14ac:dyDescent="0.25">
      <c r="A210" s="9" t="s">
        <v>209</v>
      </c>
      <c r="B210" s="2" t="str">
        <f>VLOOKUP(A210,[1]Sheet!B$3:G$2921,2,0)</f>
        <v>Установлення над шахтами зонтiв iз
листової сталi круглого перерiзу
дiаметром 710 мм</v>
      </c>
      <c r="C210" s="3" t="str">
        <f>VLOOKUP(A210,[1]Sheet!B$3:G$2921,3,0)</f>
        <v>зонт</v>
      </c>
      <c r="D210" s="4">
        <v>1</v>
      </c>
      <c r="E210" s="5" t="e">
        <f>VLOOKUP(A210,N$3:S$1271,4,FALSE)</f>
        <v>#N/A</v>
      </c>
      <c r="F210" s="6">
        <f t="shared" si="12"/>
        <v>1</v>
      </c>
      <c r="G210" s="7">
        <f>VLOOKUP(A210,[1]Sheet!B$3:G$2921,5,0)</f>
        <v>1201.44</v>
      </c>
      <c r="H210" s="5" t="e">
        <f>VLOOKUP(A210,N$3:S$1271,5,FALSE)</f>
        <v>#N/A</v>
      </c>
      <c r="I210" s="6">
        <f t="shared" si="13"/>
        <v>1201.44</v>
      </c>
      <c r="J210" s="7">
        <f>VLOOKUP(A210,[1]Sheet!B$3:G$2921,6,0)</f>
        <v>1201.44</v>
      </c>
      <c r="K210" s="8" t="e">
        <f t="shared" si="14"/>
        <v>#N/A</v>
      </c>
      <c r="L210" s="6">
        <f t="shared" si="15"/>
        <v>1201.44</v>
      </c>
    </row>
    <row r="211" spans="1:12" x14ac:dyDescent="0.25">
      <c r="A211" s="9" t="s">
        <v>210</v>
      </c>
      <c r="B211" s="2" t="str">
        <f>VLOOKUP(A211,[1]Sheet!B$3:G$2921,2,0)</f>
        <v>Прокладання повiтроводiв з оцинкованої
сталi класу Н [нормальнi] товщиною 0,5
мм, дiаметром до 200 мм</v>
      </c>
      <c r="C211" s="3" t="str">
        <f>VLOOKUP(A211,[1]Sheet!B$3:G$2921,3,0)</f>
        <v>100м2</v>
      </c>
      <c r="D211" s="4">
        <v>1.1318999999999999</v>
      </c>
      <c r="E211" s="5" t="e">
        <f>VLOOKUP(A211,N$3:S$1271,4,FALSE)</f>
        <v>#N/A</v>
      </c>
      <c r="F211" s="6">
        <f t="shared" si="12"/>
        <v>1.1318999999999999</v>
      </c>
      <c r="G211" s="7">
        <f>VLOOKUP(A211,[1]Sheet!B$3:G$2921,5,0)</f>
        <v>22487.91</v>
      </c>
      <c r="H211" s="5" t="e">
        <f>VLOOKUP(A211,N$3:S$1271,5,FALSE)</f>
        <v>#N/A</v>
      </c>
      <c r="I211" s="6">
        <f t="shared" si="13"/>
        <v>22487.91</v>
      </c>
      <c r="J211" s="7">
        <f>VLOOKUP(A211,[1]Sheet!B$3:G$2921,6,0)</f>
        <v>247.37</v>
      </c>
      <c r="K211" s="8" t="e">
        <f t="shared" si="14"/>
        <v>#N/A</v>
      </c>
      <c r="L211" s="6">
        <f t="shared" si="15"/>
        <v>247.37</v>
      </c>
    </row>
    <row r="212" spans="1:12" x14ac:dyDescent="0.25">
      <c r="A212" s="9" t="s">
        <v>211</v>
      </c>
      <c r="B212" s="2" t="str">
        <f>VLOOKUP(A212,[1]Sheet!B$3:G$2921,2,0)</f>
        <v>Прокладання повiтроводiв з оцинкованої
сталi класу Н [нормальнi] товщиною 0,7
мм, периметром вiд 1100 до 1600 мм</v>
      </c>
      <c r="C212" s="3" t="str">
        <f>VLOOKUP(A212,[1]Sheet!B$3:G$2921,3,0)</f>
        <v>100м2</v>
      </c>
      <c r="D212" s="4">
        <v>0.74</v>
      </c>
      <c r="E212" s="5" t="e">
        <f>VLOOKUP(A212,N$3:S$1271,4,FALSE)</f>
        <v>#N/A</v>
      </c>
      <c r="F212" s="6">
        <f t="shared" si="12"/>
        <v>0.74</v>
      </c>
      <c r="G212" s="7">
        <f>VLOOKUP(A212,[1]Sheet!B$3:G$2921,5,0)</f>
        <v>18558.099999999999</v>
      </c>
      <c r="H212" s="5" t="e">
        <f>VLOOKUP(A212,N$3:S$1271,5,FALSE)</f>
        <v>#N/A</v>
      </c>
      <c r="I212" s="6">
        <f t="shared" si="13"/>
        <v>18558.099999999999</v>
      </c>
      <c r="J212" s="7">
        <f>VLOOKUP(A212,[1]Sheet!B$3:G$2921,6,0)</f>
        <v>2078.5100000000002</v>
      </c>
      <c r="K212" s="8" t="e">
        <f t="shared" si="14"/>
        <v>#N/A</v>
      </c>
      <c r="L212" s="6">
        <f t="shared" si="15"/>
        <v>2078.5100000000002</v>
      </c>
    </row>
    <row r="213" spans="1:12" x14ac:dyDescent="0.25">
      <c r="A213" s="9" t="s">
        <v>212</v>
      </c>
      <c r="B213" s="2" t="str">
        <f>VLOOKUP(A213,[1]Sheet!B$3:G$2921,2,0)</f>
        <v>Установлення вентиляторiв радiальних
масою до 0,05 т</v>
      </c>
      <c r="C213" s="3" t="str">
        <f>VLOOKUP(A213,[1]Sheet!B$3:G$2921,3,0)</f>
        <v>шт</v>
      </c>
      <c r="D213" s="4">
        <v>1</v>
      </c>
      <c r="E213" s="5" t="e">
        <f>VLOOKUP(A213,N$3:S$1271,4,FALSE)</f>
        <v>#N/A</v>
      </c>
      <c r="F213" s="6">
        <f t="shared" si="12"/>
        <v>1</v>
      </c>
      <c r="G213" s="7">
        <f>VLOOKUP(A213,[1]Sheet!B$3:G$2921,5,0)</f>
        <v>863.73</v>
      </c>
      <c r="H213" s="5" t="e">
        <f>VLOOKUP(A213,N$3:S$1271,5,FALSE)</f>
        <v>#N/A</v>
      </c>
      <c r="I213" s="6">
        <f t="shared" si="13"/>
        <v>863.73</v>
      </c>
      <c r="J213" s="7">
        <f>VLOOKUP(A213,[1]Sheet!B$3:G$2921,6,0)</f>
        <v>863.73</v>
      </c>
      <c r="K213" s="8" t="e">
        <f t="shared" si="14"/>
        <v>#N/A</v>
      </c>
      <c r="L213" s="6">
        <f t="shared" si="15"/>
        <v>863.73</v>
      </c>
    </row>
    <row r="214" spans="1:12" x14ac:dyDescent="0.25">
      <c r="A214" s="9" t="s">
        <v>213</v>
      </c>
      <c r="B214" s="2" t="str">
        <f>VLOOKUP(A214,[1]Sheet!B$3:G$2921,2,0)</f>
        <v>Прокладання повiтроводiв з оцинкованої
сталi класу Н [нормальнi] товщиною 0,7
мм, периметром до 2400 мм</v>
      </c>
      <c r="C214" s="3" t="str">
        <f>VLOOKUP(A214,[1]Sheet!B$3:G$2921,3,0)</f>
        <v>100м2</v>
      </c>
      <c r="D214" s="4">
        <v>0.4652</v>
      </c>
      <c r="E214" s="5" t="e">
        <f>VLOOKUP(A214,N$3:S$1271,4,FALSE)</f>
        <v>#N/A</v>
      </c>
      <c r="F214" s="6">
        <f t="shared" si="12"/>
        <v>0.4652</v>
      </c>
      <c r="G214" s="7">
        <f>VLOOKUP(A214,[1]Sheet!B$3:G$2921,5,0)</f>
        <v>16347.67</v>
      </c>
      <c r="H214" s="5" t="e">
        <f>VLOOKUP(A214,N$3:S$1271,5,FALSE)</f>
        <v>#N/A</v>
      </c>
      <c r="I214" s="6">
        <f t="shared" si="13"/>
        <v>16347.67</v>
      </c>
      <c r="J214" s="7">
        <f>VLOOKUP(A214,[1]Sheet!B$3:G$2921,6,0)</f>
        <v>526.39</v>
      </c>
      <c r="K214" s="8" t="e">
        <f t="shared" si="14"/>
        <v>#N/A</v>
      </c>
      <c r="L214" s="6">
        <f t="shared" si="15"/>
        <v>526.39</v>
      </c>
    </row>
    <row r="215" spans="1:12" x14ac:dyDescent="0.25">
      <c r="A215" s="9" t="s">
        <v>214</v>
      </c>
      <c r="B215" s="2" t="str">
        <f>VLOOKUP(A215,[1]Sheet!B$3:G$2921,2,0)</f>
        <v>Демонтаж вентиляторiв радiальних
масою до 0,05 т</v>
      </c>
      <c r="C215" s="3" t="str">
        <f>VLOOKUP(A215,[1]Sheet!B$3:G$2921,3,0)</f>
        <v>шт</v>
      </c>
      <c r="D215" s="4">
        <v>1</v>
      </c>
      <c r="E215" s="5" t="e">
        <f>VLOOKUP(A215,N$3:S$1271,4,FALSE)</f>
        <v>#N/A</v>
      </c>
      <c r="F215" s="6">
        <f t="shared" si="12"/>
        <v>1</v>
      </c>
      <c r="G215" s="7">
        <f>VLOOKUP(A215,[1]Sheet!B$3:G$2921,5,0)</f>
        <v>278.01</v>
      </c>
      <c r="H215" s="5" t="e">
        <f>VLOOKUP(A215,N$3:S$1271,5,FALSE)</f>
        <v>#N/A</v>
      </c>
      <c r="I215" s="6">
        <f t="shared" si="13"/>
        <v>278.01</v>
      </c>
      <c r="J215" s="7">
        <f>VLOOKUP(A215,[1]Sheet!B$3:G$2921,6,0)</f>
        <v>278.01</v>
      </c>
      <c r="K215" s="8" t="e">
        <f t="shared" si="14"/>
        <v>#N/A</v>
      </c>
      <c r="L215" s="6">
        <f t="shared" si="15"/>
        <v>278.01</v>
      </c>
    </row>
    <row r="216" spans="1:12" x14ac:dyDescent="0.25">
      <c r="A216" s="9" t="s">
        <v>215</v>
      </c>
      <c r="B216" s="2" t="str">
        <f>VLOOKUP(A216,[1]Sheet!B$3:G$2921,2,0)</f>
        <v>Установлення вентиляторiв радiальних
масою до 0,12 т</v>
      </c>
      <c r="C216" s="3" t="str">
        <f>VLOOKUP(A216,[1]Sheet!B$3:G$2921,3,0)</f>
        <v>шт</v>
      </c>
      <c r="D216" s="4">
        <v>1</v>
      </c>
      <c r="E216" s="5" t="e">
        <f>VLOOKUP(A216,N$3:S$1271,4,FALSE)</f>
        <v>#N/A</v>
      </c>
      <c r="F216" s="6">
        <f t="shared" si="12"/>
        <v>1</v>
      </c>
      <c r="G216" s="7">
        <f>VLOOKUP(A216,[1]Sheet!B$3:G$2921,5,0)</f>
        <v>1149.6400000000001</v>
      </c>
      <c r="H216" s="5" t="e">
        <f>VLOOKUP(A216,N$3:S$1271,5,FALSE)</f>
        <v>#N/A</v>
      </c>
      <c r="I216" s="6">
        <f t="shared" si="13"/>
        <v>1149.6400000000001</v>
      </c>
      <c r="J216" s="7">
        <f>VLOOKUP(A216,[1]Sheet!B$3:G$2921,6,0)</f>
        <v>1149.6400000000001</v>
      </c>
      <c r="K216" s="8" t="e">
        <f t="shared" si="14"/>
        <v>#N/A</v>
      </c>
      <c r="L216" s="6">
        <f t="shared" si="15"/>
        <v>1149.6400000000001</v>
      </c>
    </row>
    <row r="217" spans="1:12" x14ac:dyDescent="0.25">
      <c r="A217" s="9" t="s">
        <v>216</v>
      </c>
      <c r="B217" s="2" t="str">
        <f>VLOOKUP(A217,[1]Sheet!B$3:G$2921,2,0)</f>
        <v>Прокладання повiтроводiв з оцинкованої
сталi класу Н [нормальнi] товщиною 0,7
мм, периметром до 3200 мм</v>
      </c>
      <c r="C217" s="3" t="str">
        <f>VLOOKUP(A217,[1]Sheet!B$3:G$2921,3,0)</f>
        <v>100м2</v>
      </c>
      <c r="D217" s="4">
        <v>0.47800000000000004</v>
      </c>
      <c r="E217" s="5" t="e">
        <f>VLOOKUP(A217,N$3:S$1271,4,FALSE)</f>
        <v>#N/A</v>
      </c>
      <c r="F217" s="6">
        <f t="shared" si="12"/>
        <v>0.47800000000000004</v>
      </c>
      <c r="G217" s="7">
        <f>VLOOKUP(A217,[1]Sheet!B$3:G$2921,5,0)</f>
        <v>14200.8</v>
      </c>
      <c r="H217" s="5" t="e">
        <f>VLOOKUP(A217,N$3:S$1271,5,FALSE)</f>
        <v>#N/A</v>
      </c>
      <c r="I217" s="6">
        <f t="shared" si="13"/>
        <v>14200.8</v>
      </c>
      <c r="J217" s="7">
        <f>VLOOKUP(A217,[1]Sheet!B$3:G$2921,6,0)</f>
        <v>6787.98</v>
      </c>
      <c r="K217" s="8" t="e">
        <f t="shared" si="14"/>
        <v>#N/A</v>
      </c>
      <c r="L217" s="6">
        <f t="shared" si="15"/>
        <v>6787.98</v>
      </c>
    </row>
    <row r="218" spans="1:12" x14ac:dyDescent="0.25">
      <c r="A218" s="9" t="s">
        <v>217</v>
      </c>
      <c r="B218" s="2" t="str">
        <f>VLOOKUP(A218,[1]Sheet!B$3:G$2921,2,0)</f>
        <v>Демонтаж вентиляторiв радiальних
масою до 0,12 т</v>
      </c>
      <c r="C218" s="3" t="str">
        <f>VLOOKUP(A218,[1]Sheet!B$3:G$2921,3,0)</f>
        <v>шт</v>
      </c>
      <c r="D218" s="4">
        <v>1</v>
      </c>
      <c r="E218" s="5" t="e">
        <f>VLOOKUP(A218,N$3:S$1271,4,FALSE)</f>
        <v>#N/A</v>
      </c>
      <c r="F218" s="6">
        <f t="shared" si="12"/>
        <v>1</v>
      </c>
      <c r="G218" s="7">
        <f>VLOOKUP(A218,[1]Sheet!B$3:G$2921,5,0)</f>
        <v>364.65</v>
      </c>
      <c r="H218" s="5" t="e">
        <f>VLOOKUP(A218,N$3:S$1271,5,FALSE)</f>
        <v>#N/A</v>
      </c>
      <c r="I218" s="6">
        <f t="shared" si="13"/>
        <v>364.65</v>
      </c>
      <c r="J218" s="7">
        <f>VLOOKUP(A218,[1]Sheet!B$3:G$2921,6,0)</f>
        <v>364.65</v>
      </c>
      <c r="K218" s="8" t="e">
        <f t="shared" si="14"/>
        <v>#N/A</v>
      </c>
      <c r="L218" s="6">
        <f t="shared" si="15"/>
        <v>364.65</v>
      </c>
    </row>
    <row r="219" spans="1:12" x14ac:dyDescent="0.25">
      <c r="A219" s="9" t="s">
        <v>218</v>
      </c>
      <c r="B219" s="2" t="str">
        <f>VLOOKUP(A219,[1]Sheet!B$3:G$2921,2,0)</f>
        <v>Прокладання повiтроводiв з оцинкованої
сталi класу Н [нормальнi] товщиною 0,7
мм, периметром 4000 мм</v>
      </c>
      <c r="C219" s="3" t="str">
        <f>VLOOKUP(A219,[1]Sheet!B$3:G$2921,3,0)</f>
        <v>100м2</v>
      </c>
      <c r="D219" s="4">
        <v>8.3999999999999991E-2</v>
      </c>
      <c r="E219" s="5" t="e">
        <f>VLOOKUP(A219,N$3:S$1271,4,FALSE)</f>
        <v>#N/A</v>
      </c>
      <c r="F219" s="6">
        <f t="shared" si="12"/>
        <v>8.3999999999999991E-2</v>
      </c>
      <c r="G219" s="7">
        <f>VLOOKUP(A219,[1]Sheet!B$3:G$2921,5,0)</f>
        <v>87679</v>
      </c>
      <c r="H219" s="5" t="e">
        <f>VLOOKUP(A219,N$3:S$1271,5,FALSE)</f>
        <v>#N/A</v>
      </c>
      <c r="I219" s="6">
        <f t="shared" si="13"/>
        <v>87679</v>
      </c>
      <c r="J219" s="7">
        <f>VLOOKUP(A219,[1]Sheet!B$3:G$2921,6,0)</f>
        <v>2104.3000000000002</v>
      </c>
      <c r="K219" s="8" t="e">
        <f t="shared" si="14"/>
        <v>#N/A</v>
      </c>
      <c r="L219" s="6">
        <f t="shared" si="15"/>
        <v>2104.3000000000002</v>
      </c>
    </row>
    <row r="220" spans="1:12" x14ac:dyDescent="0.25">
      <c r="A220" s="9" t="s">
        <v>219</v>
      </c>
      <c r="B220" s="2" t="str">
        <f>VLOOKUP(A220,[1]Sheet!B$3:G$2921,2,0)</f>
        <v>Прокладання повiтроводiв з оцинкованої
сталi класу Н [нормальнi] товщиною 0,9
мм, периметром 3700 мм, вiд 4100 до 4500
мм</v>
      </c>
      <c r="C220" s="3" t="str">
        <f>VLOOKUP(A220,[1]Sheet!B$3:G$2921,3,0)</f>
        <v>100м2</v>
      </c>
      <c r="D220" s="4">
        <v>4.3099999999999999E-2</v>
      </c>
      <c r="E220" s="5" t="e">
        <f>VLOOKUP(A220,N$3:S$1271,4,FALSE)</f>
        <v>#N/A</v>
      </c>
      <c r="F220" s="6">
        <f t="shared" si="12"/>
        <v>4.3099999999999999E-2</v>
      </c>
      <c r="G220" s="7">
        <f>VLOOKUP(A220,[1]Sheet!B$3:G$2921,5,0)</f>
        <v>13168.39</v>
      </c>
      <c r="H220" s="5" t="e">
        <f>VLOOKUP(A220,N$3:S$1271,5,FALSE)</f>
        <v>#N/A</v>
      </c>
      <c r="I220" s="6">
        <f t="shared" si="13"/>
        <v>13168.39</v>
      </c>
      <c r="J220" s="7">
        <f>VLOOKUP(A220,[1]Sheet!B$3:G$2921,6,0)</f>
        <v>466.16</v>
      </c>
      <c r="K220" s="8" t="e">
        <f t="shared" si="14"/>
        <v>#N/A</v>
      </c>
      <c r="L220" s="6">
        <f t="shared" si="15"/>
        <v>466.16</v>
      </c>
    </row>
    <row r="221" spans="1:12" x14ac:dyDescent="0.25">
      <c r="A221" s="9" t="s">
        <v>220</v>
      </c>
      <c r="B221" s="2" t="str">
        <f>VLOOKUP(A221,[1]Sheet!B$3:G$2921,2,0)</f>
        <v>Прокладання повiтроводiв з оцинкованої
сталi класу Н [нормальнi] товщиною 0,9
мм, периметром до 5200 мм</v>
      </c>
      <c r="C221" s="3" t="str">
        <f>VLOOKUP(A221,[1]Sheet!B$3:G$2921,3,0)</f>
        <v>100м2</v>
      </c>
      <c r="D221" s="4">
        <v>9.4399999999999998E-2</v>
      </c>
      <c r="E221" s="5" t="e">
        <f>VLOOKUP(A221,N$3:S$1271,4,FALSE)</f>
        <v>#N/A</v>
      </c>
      <c r="F221" s="6">
        <f t="shared" si="12"/>
        <v>9.4399999999999998E-2</v>
      </c>
      <c r="G221" s="7">
        <f>VLOOKUP(A221,[1]Sheet!B$3:G$2921,5,0)</f>
        <v>14347.67</v>
      </c>
      <c r="H221" s="5" t="e">
        <f>VLOOKUP(A221,N$3:S$1271,5,FALSE)</f>
        <v>#N/A</v>
      </c>
      <c r="I221" s="6">
        <f t="shared" si="13"/>
        <v>14347.67</v>
      </c>
      <c r="J221" s="7">
        <f>VLOOKUP(A221,[1]Sheet!B$3:G$2921,6,0)</f>
        <v>1354.42</v>
      </c>
      <c r="K221" s="8" t="e">
        <f t="shared" si="14"/>
        <v>#N/A</v>
      </c>
      <c r="L221" s="6">
        <f t="shared" si="15"/>
        <v>1354.42</v>
      </c>
    </row>
    <row r="222" spans="1:12" x14ac:dyDescent="0.25">
      <c r="A222" s="9" t="s">
        <v>221</v>
      </c>
      <c r="B222" s="2" t="str">
        <f>VLOOKUP(A222,[1]Sheet!B$3:G$2921,2,0)</f>
        <v>Установлення вентиляторiв осьових
масою до 0,025 т</v>
      </c>
      <c r="C222" s="3" t="str">
        <f>VLOOKUP(A222,[1]Sheet!B$3:G$2921,3,0)</f>
        <v>шт</v>
      </c>
      <c r="D222" s="4">
        <v>8</v>
      </c>
      <c r="E222" s="5" t="e">
        <f>VLOOKUP(A222,N$3:S$1271,4,FALSE)</f>
        <v>#N/A</v>
      </c>
      <c r="F222" s="6">
        <f t="shared" si="12"/>
        <v>8</v>
      </c>
      <c r="G222" s="7">
        <f>VLOOKUP(A222,[1]Sheet!B$3:G$2921,5,0)</f>
        <v>438.24</v>
      </c>
      <c r="H222" s="5" t="e">
        <f>VLOOKUP(A222,N$3:S$1271,5,FALSE)</f>
        <v>#N/A</v>
      </c>
      <c r="I222" s="6">
        <f t="shared" si="13"/>
        <v>438.24</v>
      </c>
      <c r="J222" s="7">
        <f>VLOOKUP(A222,[1]Sheet!B$3:G$2921,6,0)</f>
        <v>438.24</v>
      </c>
      <c r="K222" s="8" t="e">
        <f t="shared" si="14"/>
        <v>#N/A</v>
      </c>
      <c r="L222" s="6">
        <f t="shared" si="15"/>
        <v>438.24</v>
      </c>
    </row>
    <row r="223" spans="1:12" x14ac:dyDescent="0.25">
      <c r="A223" s="9" t="s">
        <v>222</v>
      </c>
      <c r="B223" s="2" t="str">
        <f>VLOOKUP(A223,[1]Sheet!B$3:G$2921,2,0)</f>
        <v>Прокладання повiтроводiв з оцинкованої
сталi класу Н [нормальнi] товщиною 0,5
мм, периметром 800, 1000 мм</v>
      </c>
      <c r="C223" s="3" t="str">
        <f>VLOOKUP(A223,[1]Sheet!B$3:G$2921,3,0)</f>
        <v>100м2</v>
      </c>
      <c r="D223" s="4">
        <v>0.112</v>
      </c>
      <c r="E223" s="5" t="e">
        <f>VLOOKUP(A223,N$3:S$1271,4,FALSE)</f>
        <v>#N/A</v>
      </c>
      <c r="F223" s="6">
        <f t="shared" si="12"/>
        <v>0.112</v>
      </c>
      <c r="G223" s="7">
        <f>VLOOKUP(A223,[1]Sheet!B$3:G$2921,5,0)</f>
        <v>21068.13</v>
      </c>
      <c r="H223" s="5" t="e">
        <f>VLOOKUP(A223,N$3:S$1271,5,FALSE)</f>
        <v>#N/A</v>
      </c>
      <c r="I223" s="6">
        <f t="shared" si="13"/>
        <v>21068.13</v>
      </c>
      <c r="J223" s="7">
        <f>VLOOKUP(A223,[1]Sheet!B$3:G$2921,6,0)</f>
        <v>2359.63</v>
      </c>
      <c r="K223" s="8" t="e">
        <f t="shared" si="14"/>
        <v>#N/A</v>
      </c>
      <c r="L223" s="6">
        <f t="shared" si="15"/>
        <v>2359.63</v>
      </c>
    </row>
    <row r="224" spans="1:12" x14ac:dyDescent="0.25">
      <c r="A224" s="9" t="s">
        <v>223</v>
      </c>
      <c r="B224" s="2" t="str">
        <f>VLOOKUP(A224,[1]Sheet!B$3:G$2921,2,0)</f>
        <v>Прокладання повiтроводiв з оцинкованої
сталi класу Н [нормальнi] товщиною 0,6
мм, дiаметром до 250 мм</v>
      </c>
      <c r="C224" s="3" t="str">
        <f>VLOOKUP(A224,[1]Sheet!B$3:G$2921,3,0)</f>
        <v>100м2</v>
      </c>
      <c r="D224" s="4">
        <v>0.29109999999999997</v>
      </c>
      <c r="E224" s="5" t="e">
        <f>VLOOKUP(A224,N$3:S$1271,4,FALSE)</f>
        <v>#N/A</v>
      </c>
      <c r="F224" s="6">
        <f t="shared" si="12"/>
        <v>0.29109999999999997</v>
      </c>
      <c r="G224" s="7">
        <f>VLOOKUP(A224,[1]Sheet!B$3:G$2921,5,0)</f>
        <v>22485.62</v>
      </c>
      <c r="H224" s="5" t="e">
        <f>VLOOKUP(A224,N$3:S$1271,5,FALSE)</f>
        <v>#N/A</v>
      </c>
      <c r="I224" s="6">
        <f t="shared" si="13"/>
        <v>22485.62</v>
      </c>
      <c r="J224" s="7">
        <f>VLOOKUP(A224,[1]Sheet!B$3:G$2921,6,0)</f>
        <v>2473.42</v>
      </c>
      <c r="K224" s="8" t="e">
        <f t="shared" si="14"/>
        <v>#N/A</v>
      </c>
      <c r="L224" s="6">
        <f t="shared" si="15"/>
        <v>2473.42</v>
      </c>
    </row>
    <row r="225" spans="1:12" x14ac:dyDescent="0.25">
      <c r="A225" s="9" t="s">
        <v>224</v>
      </c>
      <c r="B225" s="2" t="str">
        <f>VLOOKUP(A225,[1]Sheet!B$3:G$2921,2,0)</f>
        <v>Установлення агрегатiв повiтряно-
опалювальних масою до 0,8 т</v>
      </c>
      <c r="C225" s="3" t="str">
        <f>VLOOKUP(A225,[1]Sheet!B$3:G$2921,3,0)</f>
        <v>шт</v>
      </c>
      <c r="D225" s="4">
        <v>1</v>
      </c>
      <c r="E225" s="5" t="e">
        <f>VLOOKUP(A225,N$3:S$1271,4,FALSE)</f>
        <v>#N/A</v>
      </c>
      <c r="F225" s="6">
        <f t="shared" si="12"/>
        <v>1</v>
      </c>
      <c r="G225" s="7">
        <f>VLOOKUP(A225,[1]Sheet!B$3:G$2921,5,0)</f>
        <v>4140.29</v>
      </c>
      <c r="H225" s="5" t="e">
        <f>VLOOKUP(A225,N$3:S$1271,5,FALSE)</f>
        <v>#N/A</v>
      </c>
      <c r="I225" s="6">
        <f t="shared" si="13"/>
        <v>4140.29</v>
      </c>
      <c r="J225" s="7">
        <f>VLOOKUP(A225,[1]Sheet!B$3:G$2921,6,0)</f>
        <v>4140.29</v>
      </c>
      <c r="K225" s="8" t="e">
        <f t="shared" si="14"/>
        <v>#N/A</v>
      </c>
      <c r="L225" s="6">
        <f t="shared" si="15"/>
        <v>4140.29</v>
      </c>
    </row>
    <row r="226" spans="1:12" x14ac:dyDescent="0.25">
      <c r="A226" s="9" t="s">
        <v>225</v>
      </c>
      <c r="B226" s="2" t="str">
        <f>VLOOKUP(A226,[1]Sheet!B$3:G$2921,2,0)</f>
        <v>Прокладання повiтроводiв з оцинкованої
сталi класу Н [нормальнi] товщиною 0,6
мм, дiаметром до 355 мм</v>
      </c>
      <c r="C226" s="3" t="str">
        <f>VLOOKUP(A226,[1]Sheet!B$3:G$2921,3,0)</f>
        <v>100м2</v>
      </c>
      <c r="D226" s="4">
        <v>0.86099999999999999</v>
      </c>
      <c r="E226" s="5" t="e">
        <f>VLOOKUP(A226,N$3:S$1271,4,FALSE)</f>
        <v>#N/A</v>
      </c>
      <c r="F226" s="6">
        <f t="shared" si="12"/>
        <v>0.86099999999999999</v>
      </c>
      <c r="G226" s="7">
        <f>VLOOKUP(A226,[1]Sheet!B$3:G$2921,5,0)</f>
        <v>20629.82</v>
      </c>
      <c r="H226" s="5" t="e">
        <f>VLOOKUP(A226,N$3:S$1271,5,FALSE)</f>
        <v>#N/A</v>
      </c>
      <c r="I226" s="6">
        <f t="shared" si="13"/>
        <v>20629.82</v>
      </c>
      <c r="J226" s="7">
        <f>VLOOKUP(A226,[1]Sheet!B$3:G$2921,6,0)</f>
        <v>17762.28</v>
      </c>
      <c r="K226" s="8" t="e">
        <f t="shared" si="14"/>
        <v>#N/A</v>
      </c>
      <c r="L226" s="6">
        <f t="shared" si="15"/>
        <v>17762.28</v>
      </c>
    </row>
    <row r="227" spans="1:12" x14ac:dyDescent="0.25">
      <c r="A227" s="9" t="s">
        <v>226</v>
      </c>
      <c r="B227" s="2" t="str">
        <f>VLOOKUP(A227,[1]Sheet!B$3:G$2921,2,0)</f>
        <v>Прокладання повiтроводiв з оцинкованої
сталi класу Н [нормальнi] товщиною 0,6
мм, дiаметром до 450 мм</v>
      </c>
      <c r="C227" s="3" t="str">
        <f>VLOOKUP(A227,[1]Sheet!B$3:G$2921,3,0)</f>
        <v>100м2</v>
      </c>
      <c r="D227" s="4">
        <v>0.71940000000000004</v>
      </c>
      <c r="E227" s="5" t="e">
        <f>VLOOKUP(A227,N$3:S$1271,4,FALSE)</f>
        <v>#N/A</v>
      </c>
      <c r="F227" s="6">
        <f t="shared" si="12"/>
        <v>0.71940000000000004</v>
      </c>
      <c r="G227" s="7">
        <f>VLOOKUP(A227,[1]Sheet!B$3:G$2921,5,0)</f>
        <v>18558.099999999999</v>
      </c>
      <c r="H227" s="5" t="e">
        <f>VLOOKUP(A227,N$3:S$1271,5,FALSE)</f>
        <v>#N/A</v>
      </c>
      <c r="I227" s="6">
        <f t="shared" si="13"/>
        <v>18558.099999999999</v>
      </c>
      <c r="J227" s="7">
        <f>VLOOKUP(A227,[1]Sheet!B$3:G$2921,6,0)</f>
        <v>6821.96</v>
      </c>
      <c r="K227" s="8" t="e">
        <f t="shared" si="14"/>
        <v>#N/A</v>
      </c>
      <c r="L227" s="6">
        <f t="shared" si="15"/>
        <v>6821.96</v>
      </c>
    </row>
    <row r="228" spans="1:12" x14ac:dyDescent="0.25">
      <c r="A228" s="9" t="s">
        <v>227</v>
      </c>
      <c r="B228" s="2" t="str">
        <f>VLOOKUP(A228,[1]Sheet!B$3:G$2921,2,0)</f>
        <v>Монтаж. Кондиціонер настінний сплит-
система.</v>
      </c>
      <c r="C228" s="3" t="str">
        <f>VLOOKUP(A228,[1]Sheet!B$3:G$2921,3,0)</f>
        <v>шт</v>
      </c>
      <c r="D228" s="4">
        <v>6</v>
      </c>
      <c r="E228" s="5" t="e">
        <f>VLOOKUP(A228,N$3:S$1271,4,FALSE)</f>
        <v>#N/A</v>
      </c>
      <c r="F228" s="6">
        <f t="shared" si="12"/>
        <v>6</v>
      </c>
      <c r="G228" s="7">
        <f>VLOOKUP(A228,[1]Sheet!B$3:G$2921,5,0)</f>
        <v>695.05</v>
      </c>
      <c r="H228" s="5" t="e">
        <f>VLOOKUP(A228,N$3:S$1271,5,FALSE)</f>
        <v>#N/A</v>
      </c>
      <c r="I228" s="6">
        <f t="shared" si="13"/>
        <v>695.05</v>
      </c>
      <c r="J228" s="7">
        <f>VLOOKUP(A228,[1]Sheet!B$3:G$2921,6,0)</f>
        <v>4170.3</v>
      </c>
      <c r="K228" s="8" t="e">
        <f t="shared" si="14"/>
        <v>#N/A</v>
      </c>
      <c r="L228" s="6">
        <f t="shared" si="15"/>
        <v>4170.3</v>
      </c>
    </row>
    <row r="229" spans="1:12" x14ac:dyDescent="0.25">
      <c r="A229" s="9" t="s">
        <v>228</v>
      </c>
      <c r="B229" s="2" t="str">
        <f>VLOOKUP(A229,[1]Sheet!B$3:G$2921,2,0)</f>
        <v>Демонтаж. Кондиціонер настінний сплит-
система.</v>
      </c>
      <c r="C229" s="3" t="str">
        <f>VLOOKUP(A229,[1]Sheet!B$3:G$2921,3,0)</f>
        <v>шт</v>
      </c>
      <c r="D229" s="4">
        <v>8</v>
      </c>
      <c r="E229" s="5" t="e">
        <f>VLOOKUP(A229,N$3:S$1271,4,FALSE)</f>
        <v>#N/A</v>
      </c>
      <c r="F229" s="6">
        <f t="shared" si="12"/>
        <v>8</v>
      </c>
      <c r="G229" s="7">
        <f>VLOOKUP(A229,[1]Sheet!B$3:G$2921,5,0)</f>
        <v>197.51</v>
      </c>
      <c r="H229" s="5" t="e">
        <f>VLOOKUP(A229,N$3:S$1271,5,FALSE)</f>
        <v>#N/A</v>
      </c>
      <c r="I229" s="6">
        <f t="shared" si="13"/>
        <v>197.51</v>
      </c>
      <c r="J229" s="7">
        <f>VLOOKUP(A229,[1]Sheet!B$3:G$2921,6,0)</f>
        <v>1185.06</v>
      </c>
      <c r="K229" s="8" t="e">
        <f t="shared" si="14"/>
        <v>#N/A</v>
      </c>
      <c r="L229" s="6">
        <f t="shared" si="15"/>
        <v>1185.06</v>
      </c>
    </row>
    <row r="230" spans="1:12" x14ac:dyDescent="0.25">
      <c r="A230" s="9" t="s">
        <v>229</v>
      </c>
      <c r="B230" s="2" t="str">
        <f>VLOOKUP(A230,[1]Sheet!B$3:G$2921,2,0)</f>
        <v>Прокладання вузла проходу, дiаметром
500 мм</v>
      </c>
      <c r="C230" s="3" t="str">
        <f>VLOOKUP(A230,[1]Sheet!B$3:G$2921,3,0)</f>
        <v>100м2</v>
      </c>
      <c r="D230" s="4">
        <v>1.0248999999999999</v>
      </c>
      <c r="E230" s="5" t="e">
        <f>VLOOKUP(A230,N$3:S$1271,4,FALSE)</f>
        <v>#N/A</v>
      </c>
      <c r="F230" s="6">
        <f t="shared" si="12"/>
        <v>1.0248999999999999</v>
      </c>
      <c r="G230" s="7">
        <f>VLOOKUP(A230,[1]Sheet!B$3:G$2921,5,0)</f>
        <v>18538.12</v>
      </c>
      <c r="H230" s="5" t="e">
        <f>VLOOKUP(A230,N$3:S$1271,5,FALSE)</f>
        <v>#N/A</v>
      </c>
      <c r="I230" s="6">
        <f t="shared" si="13"/>
        <v>18538.12</v>
      </c>
      <c r="J230" s="7">
        <f>VLOOKUP(A230,[1]Sheet!B$3:G$2921,6,0)</f>
        <v>311.44</v>
      </c>
      <c r="K230" s="8" t="e">
        <f t="shared" si="14"/>
        <v>#N/A</v>
      </c>
      <c r="L230" s="6">
        <f t="shared" si="15"/>
        <v>311.44</v>
      </c>
    </row>
    <row r="231" spans="1:12" x14ac:dyDescent="0.25">
      <c r="A231" s="9" t="s">
        <v>230</v>
      </c>
      <c r="B231" s="2" t="str">
        <f>VLOOKUP(A231,[1]Sheet!B$3:G$2921,2,0)</f>
        <v>Прокладання повiтроводiв з оцинкованої
сталi класу Н [нормальнi] товщиною 0,7
мм, дiаметром до 800 мм</v>
      </c>
      <c r="C231" s="3" t="str">
        <f>VLOOKUP(A231,[1]Sheet!B$3:G$2921,3,0)</f>
        <v>100м2</v>
      </c>
      <c r="D231" s="4">
        <v>2.0388999999999999</v>
      </c>
      <c r="E231" s="5" t="e">
        <f>VLOOKUP(A231,N$3:S$1271,4,FALSE)</f>
        <v>#N/A</v>
      </c>
      <c r="F231" s="6">
        <f t="shared" si="12"/>
        <v>2.0388999999999999</v>
      </c>
      <c r="G231" s="7">
        <f>VLOOKUP(A231,[1]Sheet!B$3:G$2921,5,0)</f>
        <v>16345.39</v>
      </c>
      <c r="H231" s="5" t="e">
        <f>VLOOKUP(A231,N$3:S$1271,5,FALSE)</f>
        <v>#N/A</v>
      </c>
      <c r="I231" s="6">
        <f t="shared" si="13"/>
        <v>16345.39</v>
      </c>
      <c r="J231" s="7">
        <f>VLOOKUP(A231,[1]Sheet!B$3:G$2921,6,0)</f>
        <v>23169.59</v>
      </c>
      <c r="K231" s="8" t="e">
        <f t="shared" si="14"/>
        <v>#N/A</v>
      </c>
      <c r="L231" s="6">
        <f t="shared" si="15"/>
        <v>23169.59</v>
      </c>
    </row>
    <row r="232" spans="1:12" x14ac:dyDescent="0.25">
      <c r="A232" s="9" t="s">
        <v>231</v>
      </c>
      <c r="B232" s="2" t="str">
        <f>VLOOKUP(A232,[1]Sheet!B$3:G$2921,2,0)</f>
        <v>Установлення камер припливних типових
без секцiї зрошення продуктивнiстю до 10
тис.м3/год</v>
      </c>
      <c r="C232" s="3" t="str">
        <f>VLOOKUP(A232,[1]Sheet!B$3:G$2921,3,0)</f>
        <v>камеpа</v>
      </c>
      <c r="D232" s="4">
        <v>2</v>
      </c>
      <c r="E232" s="5" t="e">
        <f>VLOOKUP(A232,N$3:S$1271,4,FALSE)</f>
        <v>#N/A</v>
      </c>
      <c r="F232" s="6">
        <f t="shared" si="12"/>
        <v>2</v>
      </c>
      <c r="G232" s="7">
        <f>VLOOKUP(A232,[1]Sheet!B$3:G$2921,5,0)</f>
        <v>5325.72</v>
      </c>
      <c r="H232" s="5" t="e">
        <f>VLOOKUP(A232,N$3:S$1271,5,FALSE)</f>
        <v>#N/A</v>
      </c>
      <c r="I232" s="6">
        <f t="shared" si="13"/>
        <v>5325.72</v>
      </c>
      <c r="J232" s="7">
        <f>VLOOKUP(A232,[1]Sheet!B$3:G$2921,6,0)</f>
        <v>5325.72</v>
      </c>
      <c r="K232" s="8" t="e">
        <f t="shared" si="14"/>
        <v>#N/A</v>
      </c>
      <c r="L232" s="6">
        <f t="shared" si="15"/>
        <v>5325.72</v>
      </c>
    </row>
    <row r="233" spans="1:12" x14ac:dyDescent="0.25">
      <c r="A233" s="9" t="s">
        <v>232</v>
      </c>
      <c r="B233" s="2" t="str">
        <f>VLOOKUP(A233,[1]Sheet!B$3:G$2921,2,0)</f>
        <v>Установлення камер припливних типових
без секцiї зрошення продуктивнiстю до 20
тис.м3/год</v>
      </c>
      <c r="C233" s="3" t="str">
        <f>VLOOKUP(A233,[1]Sheet!B$3:G$2921,3,0)</f>
        <v>камеpа</v>
      </c>
      <c r="D233" s="4">
        <v>1</v>
      </c>
      <c r="E233" s="5" t="e">
        <f>VLOOKUP(A233,N$3:S$1271,4,FALSE)</f>
        <v>#N/A</v>
      </c>
      <c r="F233" s="6">
        <f t="shared" si="12"/>
        <v>1</v>
      </c>
      <c r="G233" s="7">
        <f>VLOOKUP(A233,[1]Sheet!B$3:G$2921,5,0)</f>
        <v>7382.58</v>
      </c>
      <c r="H233" s="5" t="e">
        <f>VLOOKUP(A233,N$3:S$1271,5,FALSE)</f>
        <v>#N/A</v>
      </c>
      <c r="I233" s="6">
        <f t="shared" si="13"/>
        <v>7382.58</v>
      </c>
      <c r="J233" s="7">
        <f>VLOOKUP(A233,[1]Sheet!B$3:G$2921,6,0)</f>
        <v>7382.58</v>
      </c>
      <c r="K233" s="8" t="e">
        <f t="shared" si="14"/>
        <v>#N/A</v>
      </c>
      <c r="L233" s="6">
        <f t="shared" si="15"/>
        <v>7382.58</v>
      </c>
    </row>
    <row r="234" spans="1:12" x14ac:dyDescent="0.25">
      <c r="A234" s="9" t="s">
        <v>233</v>
      </c>
      <c r="B234" s="2" t="str">
        <f>VLOOKUP(A234,[1]Sheet!B$3:G$2921,2,0)</f>
        <v>Прокладання тросу</v>
      </c>
      <c r="C234" s="3" t="str">
        <f>VLOOKUP(A234,[1]Sheet!B$3:G$2921,3,0)</f>
        <v>100м</v>
      </c>
      <c r="D234" s="4">
        <v>0.26</v>
      </c>
      <c r="E234" s="5" t="e">
        <f>VLOOKUP(A234,N$3:S$1271,4,FALSE)</f>
        <v>#N/A</v>
      </c>
      <c r="F234" s="6">
        <f t="shared" si="12"/>
        <v>0.26</v>
      </c>
      <c r="G234" s="7">
        <f>VLOOKUP(A234,[1]Sheet!B$3:G$2921,5,0)</f>
        <v>5592.53</v>
      </c>
      <c r="H234" s="5" t="e">
        <f>VLOOKUP(A234,N$3:S$1271,5,FALSE)</f>
        <v>#N/A</v>
      </c>
      <c r="I234" s="6">
        <f t="shared" si="13"/>
        <v>5592.53</v>
      </c>
      <c r="J234" s="7">
        <f>VLOOKUP(A234,[1]Sheet!B$3:G$2921,6,0)</f>
        <v>1454.06</v>
      </c>
      <c r="K234" s="8" t="e">
        <f t="shared" si="14"/>
        <v>#N/A</v>
      </c>
      <c r="L234" s="6">
        <f t="shared" si="15"/>
        <v>1454.06</v>
      </c>
    </row>
    <row r="235" spans="1:12" x14ac:dyDescent="0.25">
      <c r="A235" s="9" t="s">
        <v>234</v>
      </c>
      <c r="B235" s="2" t="str">
        <f>VLOOKUP(A235,[1]Sheet!B$3:G$2921,2,0)</f>
        <v>Монтаж сигнальних лiхтарiв з надписом
"вхiд", "вихiд", "в'їзд", "пiд'їзд" i т.п.</v>
      </c>
      <c r="C235" s="3" t="str">
        <f>VLOOKUP(A235,[1]Sheet!B$3:G$2921,3,0)</f>
        <v>100шт</v>
      </c>
      <c r="D235" s="4">
        <v>0.26</v>
      </c>
      <c r="E235" s="5" t="e">
        <f>VLOOKUP(A235,N$3:S$1271,4,FALSE)</f>
        <v>#N/A</v>
      </c>
      <c r="F235" s="6">
        <f t="shared" si="12"/>
        <v>0.26</v>
      </c>
      <c r="G235" s="7">
        <f>VLOOKUP(A235,[1]Sheet!B$3:G$2921,5,0)</f>
        <v>9885.7000000000007</v>
      </c>
      <c r="H235" s="5" t="e">
        <f>VLOOKUP(A235,N$3:S$1271,5,FALSE)</f>
        <v>#N/A</v>
      </c>
      <c r="I235" s="6">
        <f t="shared" si="13"/>
        <v>9885.7000000000007</v>
      </c>
      <c r="J235" s="7">
        <f>VLOOKUP(A235,[1]Sheet!B$3:G$2921,6,0)</f>
        <v>2570.2800000000002</v>
      </c>
      <c r="K235" s="8" t="e">
        <f t="shared" si="14"/>
        <v>#N/A</v>
      </c>
      <c r="L235" s="6">
        <f t="shared" si="15"/>
        <v>2570.2800000000002</v>
      </c>
    </row>
    <row r="236" spans="1:12" x14ac:dyDescent="0.25">
      <c r="A236" s="9" t="s">
        <v>235</v>
      </c>
      <c r="B236" s="2" t="str">
        <f>VLOOKUP(A236,[1]Sheet!B$3:G$2921,2,0)</f>
        <v>Монтаж свiтильникiв для ламп
розжарювання: бра i плафони з кiлькiстю
ламп до 2</v>
      </c>
      <c r="C236" s="3" t="str">
        <f>VLOOKUP(A236,[1]Sheet!B$3:G$2921,3,0)</f>
        <v>100шт</v>
      </c>
      <c r="D236" s="4">
        <v>0.01</v>
      </c>
      <c r="E236" s="5" t="e">
        <f>VLOOKUP(A236,N$3:S$1271,4,FALSE)</f>
        <v>#N/A</v>
      </c>
      <c r="F236" s="6">
        <f t="shared" si="12"/>
        <v>0.01</v>
      </c>
      <c r="G236" s="7">
        <f>VLOOKUP(A236,[1]Sheet!B$3:G$2921,5,0)</f>
        <v>12384.66</v>
      </c>
      <c r="H236" s="5" t="e">
        <f>VLOOKUP(A236,N$3:S$1271,5,FALSE)</f>
        <v>#N/A</v>
      </c>
      <c r="I236" s="6">
        <f t="shared" si="13"/>
        <v>12384.66</v>
      </c>
      <c r="J236" s="7">
        <f>VLOOKUP(A236,[1]Sheet!B$3:G$2921,6,0)</f>
        <v>123.85</v>
      </c>
      <c r="K236" s="8" t="e">
        <f t="shared" si="14"/>
        <v>#N/A</v>
      </c>
      <c r="L236" s="6">
        <f t="shared" si="15"/>
        <v>123.85</v>
      </c>
    </row>
    <row r="237" spans="1:12" x14ac:dyDescent="0.25">
      <c r="A237" s="9" t="s">
        <v>236</v>
      </c>
      <c r="B237" s="2" t="str">
        <f>VLOOKUP(A237,[1]Sheet!B$3:G$2921,2,0)</f>
        <v>Монтаж свiтильникiв для люмiнесцентних
ламп iз вбудованою ПРА, що
установлюються в пiдвiсних стелях на
пiдвiсах, кiлькiсть ламп до 6</v>
      </c>
      <c r="C237" s="3" t="str">
        <f>VLOOKUP(A237,[1]Sheet!B$3:G$2921,3,0)</f>
        <v>100шт</v>
      </c>
      <c r="D237" s="4">
        <v>1.5899999999999999</v>
      </c>
      <c r="E237" s="5" t="e">
        <f>VLOOKUP(A237,N$3:S$1271,4,FALSE)</f>
        <v>#N/A</v>
      </c>
      <c r="F237" s="6">
        <f t="shared" si="12"/>
        <v>1.5899999999999999</v>
      </c>
      <c r="G237" s="7">
        <f>VLOOKUP(A237,[1]Sheet!B$3:G$2921,5,0)</f>
        <v>43493.07</v>
      </c>
      <c r="H237" s="5" t="e">
        <f>VLOOKUP(A237,N$3:S$1271,5,FALSE)</f>
        <v>#N/A</v>
      </c>
      <c r="I237" s="6">
        <f t="shared" si="13"/>
        <v>43493.07</v>
      </c>
      <c r="J237" s="7">
        <f>VLOOKUP(A237,[1]Sheet!B$3:G$2921,6,0)</f>
        <v>18702.02</v>
      </c>
      <c r="K237" s="8" t="e">
        <f t="shared" si="14"/>
        <v>#N/A</v>
      </c>
      <c r="L237" s="6">
        <f t="shared" si="15"/>
        <v>18702.02</v>
      </c>
    </row>
    <row r="238" spans="1:12" x14ac:dyDescent="0.25">
      <c r="A238" s="9" t="s">
        <v>237</v>
      </c>
      <c r="B238" s="2" t="str">
        <f>VLOOKUP(A238,[1]Sheet!B$3:G$2921,2,0)</f>
        <v>Прокладання вiнiпластових труб, що
поставляються прямими трубами
довжиною 5-7 м, по стiнах i колонах iз
крiпленням накладними скобами, дiаметр
умовного проходу до 25 мм</v>
      </c>
      <c r="C238" s="3" t="str">
        <f>VLOOKUP(A238,[1]Sheet!B$3:G$2921,3,0)</f>
        <v>100м</v>
      </c>
      <c r="D238" s="4">
        <v>2.4500000000000002</v>
      </c>
      <c r="E238" s="5" t="e">
        <f>VLOOKUP(A238,N$3:S$1271,4,FALSE)</f>
        <v>#N/A</v>
      </c>
      <c r="F238" s="6">
        <f t="shared" si="12"/>
        <v>2.4500000000000002</v>
      </c>
      <c r="G238" s="7">
        <f>VLOOKUP(A238,[1]Sheet!B$3:G$2921,5,0)</f>
        <v>3511.41</v>
      </c>
      <c r="H238" s="5" t="e">
        <f>VLOOKUP(A238,N$3:S$1271,5,FALSE)</f>
        <v>#N/A</v>
      </c>
      <c r="I238" s="6">
        <f t="shared" si="13"/>
        <v>3511.41</v>
      </c>
      <c r="J238" s="7">
        <f>VLOOKUP(A238,[1]Sheet!B$3:G$2921,6,0)</f>
        <v>5021.32</v>
      </c>
      <c r="K238" s="8" t="e">
        <f t="shared" si="14"/>
        <v>#N/A</v>
      </c>
      <c r="L238" s="6">
        <f t="shared" si="15"/>
        <v>5021.32</v>
      </c>
    </row>
    <row r="239" spans="1:12" x14ac:dyDescent="0.25">
      <c r="A239" s="9" t="s">
        <v>238</v>
      </c>
      <c r="B239" s="2" t="str">
        <f>VLOOKUP(A239,[1]Sheet!B$3:G$2921,2,0)</f>
        <v>Установлення вимикачiв незаглибленого
типу при вiдкритiй проводцi</v>
      </c>
      <c r="C239" s="3" t="str">
        <f>VLOOKUP(A239,[1]Sheet!B$3:G$2921,3,0)</f>
        <v>100шт</v>
      </c>
      <c r="D239" s="4">
        <v>0.02</v>
      </c>
      <c r="E239" s="5" t="e">
        <f>VLOOKUP(A239,N$3:S$1271,4,FALSE)</f>
        <v>#N/A</v>
      </c>
      <c r="F239" s="6">
        <f t="shared" si="12"/>
        <v>0.02</v>
      </c>
      <c r="G239" s="7">
        <f>VLOOKUP(A239,[1]Sheet!B$3:G$2921,5,0)</f>
        <v>1848.23</v>
      </c>
      <c r="H239" s="5" t="e">
        <f>VLOOKUP(A239,N$3:S$1271,5,FALSE)</f>
        <v>#N/A</v>
      </c>
      <c r="I239" s="6">
        <f t="shared" si="13"/>
        <v>1848.23</v>
      </c>
      <c r="J239" s="7">
        <f>VLOOKUP(A239,[1]Sheet!B$3:G$2921,6,0)</f>
        <v>36.96</v>
      </c>
      <c r="K239" s="8" t="e">
        <f t="shared" si="14"/>
        <v>#N/A</v>
      </c>
      <c r="L239" s="6">
        <f t="shared" si="15"/>
        <v>36.96</v>
      </c>
    </row>
    <row r="240" spans="1:12" x14ac:dyDescent="0.25">
      <c r="A240" s="9" t="s">
        <v>239</v>
      </c>
      <c r="B240" s="2" t="str">
        <f>VLOOKUP(A240,[1]Sheet!B$3:G$2921,2,0)</f>
        <v>Установлення вимикачiв, перемикачiв
пакетних 2-х i 3-х полюсних на струм до
25 А</v>
      </c>
      <c r="C240" s="3" t="str">
        <f>VLOOKUP(A240,[1]Sheet!B$3:G$2921,3,0)</f>
        <v>100шт</v>
      </c>
      <c r="D240" s="4">
        <v>0.24</v>
      </c>
      <c r="E240" s="5" t="e">
        <f>VLOOKUP(A240,N$3:S$1271,4,FALSE)</f>
        <v>#N/A</v>
      </c>
      <c r="F240" s="6">
        <f t="shared" si="12"/>
        <v>0.24</v>
      </c>
      <c r="G240" s="7">
        <f>VLOOKUP(A240,[1]Sheet!B$3:G$2921,5,0)</f>
        <v>13954.92</v>
      </c>
      <c r="H240" s="5" t="e">
        <f>VLOOKUP(A240,N$3:S$1271,5,FALSE)</f>
        <v>#N/A</v>
      </c>
      <c r="I240" s="6">
        <f t="shared" si="13"/>
        <v>13954.92</v>
      </c>
      <c r="J240" s="7">
        <f>VLOOKUP(A240,[1]Sheet!B$3:G$2921,6,0)</f>
        <v>3070.08</v>
      </c>
      <c r="K240" s="8" t="e">
        <f t="shared" si="14"/>
        <v>#N/A</v>
      </c>
      <c r="L240" s="6">
        <f t="shared" si="15"/>
        <v>3070.08</v>
      </c>
    </row>
    <row r="241" spans="1:12" x14ac:dyDescent="0.25">
      <c r="A241" s="9" t="s">
        <v>240</v>
      </c>
      <c r="B241" s="2" t="str">
        <f>VLOOKUP(A241,[1]Sheet!B$3:G$2921,2,0)</f>
        <v>Установлення вимикачiв заглибленого
типу при схованiй проводцi одноклавiшних</v>
      </c>
      <c r="C241" s="3" t="str">
        <f>VLOOKUP(A241,[1]Sheet!B$3:G$2921,3,0)</f>
        <v>100шт</v>
      </c>
      <c r="D241" s="4">
        <v>0.33</v>
      </c>
      <c r="E241" s="5" t="e">
        <f>VLOOKUP(A241,N$3:S$1271,4,FALSE)</f>
        <v>#N/A</v>
      </c>
      <c r="F241" s="6">
        <f t="shared" si="12"/>
        <v>0.33</v>
      </c>
      <c r="G241" s="7">
        <f>VLOOKUP(A241,[1]Sheet!B$3:G$2921,5,0)</f>
        <v>1741.19</v>
      </c>
      <c r="H241" s="5" t="e">
        <f>VLOOKUP(A241,N$3:S$1271,5,FALSE)</f>
        <v>#N/A</v>
      </c>
      <c r="I241" s="6">
        <f t="shared" si="13"/>
        <v>1741.19</v>
      </c>
      <c r="J241" s="7">
        <f>VLOOKUP(A241,[1]Sheet!B$3:G$2921,6,0)</f>
        <v>539.77</v>
      </c>
      <c r="K241" s="8" t="e">
        <f t="shared" si="14"/>
        <v>#N/A</v>
      </c>
      <c r="L241" s="6">
        <f t="shared" si="15"/>
        <v>539.77</v>
      </c>
    </row>
    <row r="242" spans="1:12" x14ac:dyDescent="0.25">
      <c r="A242" s="9" t="s">
        <v>241</v>
      </c>
      <c r="B242" s="2" t="str">
        <f>VLOOKUP(A242,[1]Sheet!B$3:G$2921,2,0)</f>
        <v>Установлення вимикачiв заглибленого
типу при схованiй проводцi двоклавiшних</v>
      </c>
      <c r="C242" s="3" t="str">
        <f>VLOOKUP(A242,[1]Sheet!B$3:G$2921,3,0)</f>
        <v>100шт</v>
      </c>
      <c r="D242" s="4">
        <v>0.15</v>
      </c>
      <c r="E242" s="5" t="e">
        <f>VLOOKUP(A242,N$3:S$1271,4,FALSE)</f>
        <v>#N/A</v>
      </c>
      <c r="F242" s="6">
        <f t="shared" si="12"/>
        <v>0.15</v>
      </c>
      <c r="G242" s="7">
        <f>VLOOKUP(A242,[1]Sheet!B$3:G$2921,5,0)</f>
        <v>1842.44</v>
      </c>
      <c r="H242" s="5" t="e">
        <f>VLOOKUP(A242,N$3:S$1271,5,FALSE)</f>
        <v>#N/A</v>
      </c>
      <c r="I242" s="6">
        <f t="shared" si="13"/>
        <v>1842.44</v>
      </c>
      <c r="J242" s="7">
        <f>VLOOKUP(A242,[1]Sheet!B$3:G$2921,6,0)</f>
        <v>276.37</v>
      </c>
      <c r="K242" s="8" t="e">
        <f t="shared" si="14"/>
        <v>#N/A</v>
      </c>
      <c r="L242" s="6">
        <f t="shared" si="15"/>
        <v>276.37</v>
      </c>
    </row>
    <row r="243" spans="1:12" x14ac:dyDescent="0.25">
      <c r="A243" s="9" t="s">
        <v>242</v>
      </c>
      <c r="B243" s="2" t="str">
        <f>VLOOKUP(A243,[1]Sheet!B$3:G$2921,2,0)</f>
        <v>Установлення штепсельних розеток
незаглибленого типу при вiдкритiй проводцi</v>
      </c>
      <c r="C243" s="3" t="str">
        <f>VLOOKUP(A243,[1]Sheet!B$3:G$2921,3,0)</f>
        <v>100шт</v>
      </c>
      <c r="D243" s="4">
        <v>0.01</v>
      </c>
      <c r="E243" s="5" t="e">
        <f>VLOOKUP(A243,N$3:S$1271,4,FALSE)</f>
        <v>#N/A</v>
      </c>
      <c r="F243" s="6">
        <f t="shared" si="12"/>
        <v>0.01</v>
      </c>
      <c r="G243" s="7">
        <f>VLOOKUP(A243,[1]Sheet!B$3:G$2921,5,0)</f>
        <v>1715.95</v>
      </c>
      <c r="H243" s="5" t="e">
        <f>VLOOKUP(A243,N$3:S$1271,5,FALSE)</f>
        <v>#N/A</v>
      </c>
      <c r="I243" s="6">
        <f t="shared" si="13"/>
        <v>1715.95</v>
      </c>
      <c r="J243" s="7">
        <f>VLOOKUP(A243,[1]Sheet!B$3:G$2921,6,0)</f>
        <v>17.16</v>
      </c>
      <c r="K243" s="8" t="e">
        <f t="shared" si="14"/>
        <v>#N/A</v>
      </c>
      <c r="L243" s="6">
        <f t="shared" si="15"/>
        <v>17.16</v>
      </c>
    </row>
    <row r="244" spans="1:12" x14ac:dyDescent="0.25">
      <c r="A244" s="9" t="s">
        <v>243</v>
      </c>
      <c r="B244" s="2" t="str">
        <f>VLOOKUP(A244,[1]Sheet!B$3:G$2921,2,0)</f>
        <v>Прокладання вiнiпластових труб, що
поставляються прямими трубами
довжиною 5-7 м, по стiнах i колонах iз
крiпленням накладними скобами, дiаметр
умовного проходу до 50 мм</v>
      </c>
      <c r="C244" s="3" t="str">
        <f>VLOOKUP(A244,[1]Sheet!B$3:G$2921,3,0)</f>
        <v>100м</v>
      </c>
      <c r="D244" s="4">
        <v>13.4</v>
      </c>
      <c r="E244" s="5" t="e">
        <f>VLOOKUP(A244,N$3:S$1271,4,FALSE)</f>
        <v>#N/A</v>
      </c>
      <c r="F244" s="6">
        <f t="shared" si="12"/>
        <v>13.4</v>
      </c>
      <c r="G244" s="7">
        <f>VLOOKUP(A244,[1]Sheet!B$3:G$2921,5,0)</f>
        <v>4494.45</v>
      </c>
      <c r="H244" s="5" t="e">
        <f>VLOOKUP(A244,N$3:S$1271,5,FALSE)</f>
        <v>#N/A</v>
      </c>
      <c r="I244" s="6">
        <f t="shared" si="13"/>
        <v>4494.45</v>
      </c>
      <c r="J244" s="7">
        <f>VLOOKUP(A244,[1]Sheet!B$3:G$2921,6,0)</f>
        <v>60225.63</v>
      </c>
      <c r="K244" s="8" t="e">
        <f t="shared" si="14"/>
        <v>#N/A</v>
      </c>
      <c r="L244" s="6">
        <f t="shared" si="15"/>
        <v>60225.63</v>
      </c>
    </row>
    <row r="245" spans="1:12" x14ac:dyDescent="0.25">
      <c r="A245" s="9" t="s">
        <v>244</v>
      </c>
      <c r="B245" s="2" t="str">
        <f>VLOOKUP(A245,[1]Sheet!B$3:G$2921,2,0)</f>
        <v>Прокладання вiнiпластових труб, що
поставляються прямими трубами
довжиною 5-7 м, по основi пiдлоги, дiаметр
умовного проходу до 25 мм</v>
      </c>
      <c r="C245" s="3" t="str">
        <f>VLOOKUP(A245,[1]Sheet!B$3:G$2921,3,0)</f>
        <v>100м</v>
      </c>
      <c r="D245" s="4">
        <v>0.04</v>
      </c>
      <c r="E245" s="5" t="e">
        <f>VLOOKUP(A245,N$3:S$1271,4,FALSE)</f>
        <v>#N/A</v>
      </c>
      <c r="F245" s="6">
        <f t="shared" si="12"/>
        <v>0.04</v>
      </c>
      <c r="G245" s="7">
        <f>VLOOKUP(A245,[1]Sheet!B$3:G$2921,5,0)</f>
        <v>731.88</v>
      </c>
      <c r="H245" s="5" t="e">
        <f>VLOOKUP(A245,N$3:S$1271,5,FALSE)</f>
        <v>#N/A</v>
      </c>
      <c r="I245" s="6">
        <f t="shared" si="13"/>
        <v>731.88</v>
      </c>
      <c r="J245" s="7">
        <f>VLOOKUP(A245,[1]Sheet!B$3:G$2921,6,0)</f>
        <v>29.28</v>
      </c>
      <c r="K245" s="8" t="e">
        <f t="shared" si="14"/>
        <v>#N/A</v>
      </c>
      <c r="L245" s="6">
        <f t="shared" si="15"/>
        <v>29.28</v>
      </c>
    </row>
    <row r="246" spans="1:12" x14ac:dyDescent="0.25">
      <c r="A246" s="9" t="s">
        <v>245</v>
      </c>
      <c r="B246" s="2" t="str">
        <f>VLOOKUP(A246,[1]Sheet!B$3:G$2921,2,0)</f>
        <v>Установлення групових щиткiв
освiтлювальних на конструкцiї у готовiй
нiшi або на стiнi, масою до 6 кг</v>
      </c>
      <c r="C246" s="3" t="str">
        <f>VLOOKUP(A246,[1]Sheet!B$3:G$2921,3,0)</f>
        <v>шт</v>
      </c>
      <c r="D246" s="4">
        <v>4</v>
      </c>
      <c r="E246" s="5" t="e">
        <f>VLOOKUP(A246,N$3:S$1271,4,FALSE)</f>
        <v>#N/A</v>
      </c>
      <c r="F246" s="6">
        <f t="shared" si="12"/>
        <v>4</v>
      </c>
      <c r="G246" s="7">
        <f>VLOOKUP(A246,[1]Sheet!B$3:G$2921,5,0)</f>
        <v>443</v>
      </c>
      <c r="H246" s="5" t="e">
        <f>VLOOKUP(A246,N$3:S$1271,5,FALSE)</f>
        <v>#N/A</v>
      </c>
      <c r="I246" s="6">
        <f t="shared" si="13"/>
        <v>443</v>
      </c>
      <c r="J246" s="7">
        <f>VLOOKUP(A246,[1]Sheet!B$3:G$2921,6,0)</f>
        <v>886</v>
      </c>
      <c r="K246" s="8" t="e">
        <f t="shared" si="14"/>
        <v>#N/A</v>
      </c>
      <c r="L246" s="6">
        <f t="shared" si="15"/>
        <v>886</v>
      </c>
    </row>
    <row r="247" spans="1:12" x14ac:dyDescent="0.25">
      <c r="A247" s="9" t="s">
        <v>246</v>
      </c>
      <c r="B247" s="2" t="str">
        <f>VLOOKUP(A247,[1]Sheet!B$3:G$2921,2,0)</f>
        <v>Затягування у прокладенi труби або
металевi рукави проводу першого
одножильного або багатожильного у
загальному обплетеннi сумарним
перерiзом до 6 мм2</v>
      </c>
      <c r="C247" s="3" t="str">
        <f>VLOOKUP(A247,[1]Sheet!B$3:G$2921,3,0)</f>
        <v>100м</v>
      </c>
      <c r="D247" s="4">
        <v>15.89</v>
      </c>
      <c r="E247" s="5" t="e">
        <f>VLOOKUP(A247,N$3:S$1271,4,FALSE)</f>
        <v>#N/A</v>
      </c>
      <c r="F247" s="6">
        <f t="shared" si="12"/>
        <v>15.89</v>
      </c>
      <c r="G247" s="7">
        <f>VLOOKUP(A247,[1]Sheet!B$3:G$2921,5,0)</f>
        <v>683.12</v>
      </c>
      <c r="H247" s="5" t="e">
        <f>VLOOKUP(A247,N$3:S$1271,5,FALSE)</f>
        <v>#N/A</v>
      </c>
      <c r="I247" s="6">
        <f t="shared" si="13"/>
        <v>683.12</v>
      </c>
      <c r="J247" s="7">
        <f>VLOOKUP(A247,[1]Sheet!B$3:G$2921,6,0)</f>
        <v>10130.67</v>
      </c>
      <c r="K247" s="8" t="e">
        <f t="shared" si="14"/>
        <v>#N/A</v>
      </c>
      <c r="L247" s="6">
        <f t="shared" si="15"/>
        <v>10130.67</v>
      </c>
    </row>
    <row r="248" spans="1:12" x14ac:dyDescent="0.25">
      <c r="A248" s="9" t="s">
        <v>247</v>
      </c>
      <c r="B248" s="2" t="str">
        <f>VLOOKUP(A248,[1]Sheet!B$3:G$2921,2,0)</f>
        <v>Затягування у прокладенi труби або
металевi рукави кожного наступного
проводу одножильного або
багатожильного у загальному обплетеннi
сумарним перерiзом до 6 мм2</v>
      </c>
      <c r="C248" s="3" t="str">
        <f>VLOOKUP(A248,[1]Sheet!B$3:G$2921,3,0)</f>
        <v>100м</v>
      </c>
      <c r="D248" s="4">
        <v>0.87</v>
      </c>
      <c r="E248" s="5" t="e">
        <f>VLOOKUP(A248,N$3:S$1271,4,FALSE)</f>
        <v>#N/A</v>
      </c>
      <c r="F248" s="6">
        <f t="shared" si="12"/>
        <v>0.87</v>
      </c>
      <c r="G248" s="7">
        <f>VLOOKUP(A248,[1]Sheet!B$3:G$2921,5,0)</f>
        <v>369.1</v>
      </c>
      <c r="H248" s="5" t="e">
        <f>VLOOKUP(A248,N$3:S$1271,5,FALSE)</f>
        <v>#N/A</v>
      </c>
      <c r="I248" s="6">
        <f t="shared" si="13"/>
        <v>369.1</v>
      </c>
      <c r="J248" s="7">
        <f>VLOOKUP(A248,[1]Sheet!B$3:G$2921,6,0)</f>
        <v>321.12</v>
      </c>
      <c r="K248" s="8" t="e">
        <f t="shared" si="14"/>
        <v>#N/A</v>
      </c>
      <c r="L248" s="6">
        <f t="shared" si="15"/>
        <v>321.12</v>
      </c>
    </row>
    <row r="249" spans="1:12" x14ac:dyDescent="0.25">
      <c r="A249" s="9" t="s">
        <v>248</v>
      </c>
      <c r="B249" s="2" t="str">
        <f>VLOOKUP(A249,[1]Sheet!B$3:G$2921,2,0)</f>
        <v>Улаштування круглих збiрних
залiзобетонних каналiзацiйних колодязiв
дiаметром 1,5 м у мокрих ґрунтах</v>
      </c>
      <c r="C249" s="3" t="str">
        <f>VLOOKUP(A249,[1]Sheet!B$3:G$2921,3,0)</f>
        <v>10м3</v>
      </c>
      <c r="D249" s="4">
        <v>0.87050000000000005</v>
      </c>
      <c r="E249" s="5" t="e">
        <f>VLOOKUP(A249,N$3:S$1271,4,FALSE)</f>
        <v>#N/A</v>
      </c>
      <c r="F249" s="6">
        <f t="shared" si="12"/>
        <v>0.87050000000000005</v>
      </c>
      <c r="G249" s="7">
        <f>VLOOKUP(A249,[1]Sheet!B$3:G$2921,5,0)</f>
        <v>45179.85</v>
      </c>
      <c r="H249" s="5" t="e">
        <f>VLOOKUP(A249,N$3:S$1271,5,FALSE)</f>
        <v>#N/A</v>
      </c>
      <c r="I249" s="6">
        <f t="shared" si="13"/>
        <v>45179.85</v>
      </c>
      <c r="J249" s="7">
        <f>VLOOKUP(A249,[1]Sheet!B$3:G$2921,6,0)</f>
        <v>19314.39</v>
      </c>
      <c r="K249" s="8" t="e">
        <f t="shared" si="14"/>
        <v>#N/A</v>
      </c>
      <c r="L249" s="6">
        <f t="shared" si="15"/>
        <v>19314.39</v>
      </c>
    </row>
    <row r="250" spans="1:12" x14ac:dyDescent="0.25">
      <c r="A250" s="9" t="s">
        <v>249</v>
      </c>
      <c r="B250" s="2" t="str">
        <f>VLOOKUP(A250,[1]Sheet!B$3:G$2921,2,0)</f>
        <v>Приєднання каналiзацiйних трубопроводiв
до iснуючої мережi в мокрих ґрунтах</v>
      </c>
      <c r="C250" s="3" t="str">
        <f>VLOOKUP(A250,[1]Sheet!B$3:G$2921,3,0)</f>
        <v>шт</v>
      </c>
      <c r="D250" s="4">
        <v>4</v>
      </c>
      <c r="E250" s="5" t="e">
        <f>VLOOKUP(A250,N$3:S$1271,4,FALSE)</f>
        <v>#N/A</v>
      </c>
      <c r="F250" s="6">
        <f t="shared" si="12"/>
        <v>4</v>
      </c>
      <c r="G250" s="7">
        <f>VLOOKUP(A250,[1]Sheet!B$3:G$2921,5,0)</f>
        <v>2217.09</v>
      </c>
      <c r="H250" s="5" t="e">
        <f>VLOOKUP(A250,N$3:S$1271,5,FALSE)</f>
        <v>#N/A</v>
      </c>
      <c r="I250" s="6">
        <f t="shared" si="13"/>
        <v>2217.09</v>
      </c>
      <c r="J250" s="7">
        <f>VLOOKUP(A250,[1]Sheet!B$3:G$2921,6,0)</f>
        <v>2217.09</v>
      </c>
      <c r="K250" s="8" t="e">
        <f t="shared" si="14"/>
        <v>#N/A</v>
      </c>
      <c r="L250" s="6">
        <f t="shared" si="15"/>
        <v>2217.09</v>
      </c>
    </row>
    <row r="251" spans="1:12" x14ac:dyDescent="0.25">
      <c r="A251" s="9" t="s">
        <v>250</v>
      </c>
      <c r="B251" s="2" t="str">
        <f>VLOOKUP(A251,[1]Sheet!B$3:G$2921,2,0)</f>
        <v>Установлення люка</v>
      </c>
      <c r="C251" s="3" t="str">
        <f>VLOOKUP(A251,[1]Sheet!B$3:G$2921,3,0)</f>
        <v>шт</v>
      </c>
      <c r="D251" s="4">
        <v>3</v>
      </c>
      <c r="E251" s="5" t="e">
        <f>VLOOKUP(A251,N$3:S$1271,4,FALSE)</f>
        <v>#N/A</v>
      </c>
      <c r="F251" s="6">
        <f t="shared" si="12"/>
        <v>3</v>
      </c>
      <c r="G251" s="7">
        <f>VLOOKUP(A251,[1]Sheet!B$3:G$2921,5,0)</f>
        <v>163.81</v>
      </c>
      <c r="H251" s="5" t="e">
        <f>VLOOKUP(A251,N$3:S$1271,5,FALSE)</f>
        <v>#N/A</v>
      </c>
      <c r="I251" s="6">
        <f t="shared" si="13"/>
        <v>163.81</v>
      </c>
      <c r="J251" s="7">
        <f>VLOOKUP(A251,[1]Sheet!B$3:G$2921,6,0)</f>
        <v>163.81</v>
      </c>
      <c r="K251" s="8" t="e">
        <f t="shared" si="14"/>
        <v>#N/A</v>
      </c>
      <c r="L251" s="6">
        <f t="shared" si="15"/>
        <v>163.81</v>
      </c>
    </row>
    <row r="252" spans="1:12" x14ac:dyDescent="0.25">
      <c r="A252" s="9" t="s">
        <v>251</v>
      </c>
      <c r="B252" s="2" t="str">
        <f>VLOOKUP(A252,[1]Sheet!B$3:G$2921,2,0)</f>
        <v>Демонтаж свiтильникiв</v>
      </c>
      <c r="C252" s="3" t="str">
        <f>VLOOKUP(A252,[1]Sheet!B$3:G$2921,3,0)</f>
        <v>шт</v>
      </c>
      <c r="D252" s="4">
        <v>1</v>
      </c>
      <c r="E252" s="5" t="e">
        <f>VLOOKUP(A252,N$3:S$1271,4,FALSE)</f>
        <v>#N/A</v>
      </c>
      <c r="F252" s="6">
        <f t="shared" si="12"/>
        <v>1</v>
      </c>
      <c r="G252" s="7">
        <f>VLOOKUP(A252,[1]Sheet!B$3:G$2921,5,0)</f>
        <v>265.97000000000003</v>
      </c>
      <c r="H252" s="5" t="e">
        <f>VLOOKUP(A252,N$3:S$1271,5,FALSE)</f>
        <v>#N/A</v>
      </c>
      <c r="I252" s="6">
        <f t="shared" si="13"/>
        <v>265.97000000000003</v>
      </c>
      <c r="J252" s="7">
        <f>VLOOKUP(A252,[1]Sheet!B$3:G$2921,6,0)</f>
        <v>265.97000000000003</v>
      </c>
      <c r="K252" s="8" t="e">
        <f t="shared" si="14"/>
        <v>#N/A</v>
      </c>
      <c r="L252" s="6">
        <f t="shared" si="15"/>
        <v>265.97000000000003</v>
      </c>
    </row>
    <row r="253" spans="1:12" x14ac:dyDescent="0.25">
      <c r="A253" s="9" t="s">
        <v>252</v>
      </c>
      <c r="B253" s="2" t="str">
        <f>VLOOKUP(A253,[1]Sheet!B$3:G$2921,2,0)</f>
        <v>Улаштування трубопроводiв iз
полiетиленових труб, до 2-х каналiв</v>
      </c>
      <c r="C253" s="3" t="str">
        <f>VLOOKUP(A253,[1]Sheet!B$3:G$2921,3,0)</f>
        <v>км</v>
      </c>
      <c r="D253" s="4">
        <v>5.3999999999999999E-2</v>
      </c>
      <c r="E253" s="5" t="e">
        <f>VLOOKUP(A253,N$3:S$1271,4,FALSE)</f>
        <v>#N/A</v>
      </c>
      <c r="F253" s="6">
        <f t="shared" si="12"/>
        <v>5.3999999999999999E-2</v>
      </c>
      <c r="G253" s="7">
        <f>VLOOKUP(A253,[1]Sheet!B$3:G$2921,5,0)</f>
        <v>15001.38</v>
      </c>
      <c r="H253" s="5" t="e">
        <f>VLOOKUP(A253,N$3:S$1271,5,FALSE)</f>
        <v>#N/A</v>
      </c>
      <c r="I253" s="6">
        <f t="shared" si="13"/>
        <v>15001.38</v>
      </c>
      <c r="J253" s="7">
        <f>VLOOKUP(A253,[1]Sheet!B$3:G$2921,6,0)</f>
        <v>555.04999999999995</v>
      </c>
      <c r="K253" s="8" t="e">
        <f t="shared" si="14"/>
        <v>#N/A</v>
      </c>
      <c r="L253" s="6">
        <f t="shared" si="15"/>
        <v>555.04999999999995</v>
      </c>
    </row>
    <row r="254" spans="1:12" x14ac:dyDescent="0.25">
      <c r="A254" s="9" t="s">
        <v>253</v>
      </c>
      <c r="B254" s="2" t="str">
        <f>VLOOKUP(A254,[1]Sheet!B$3:G$2921,2,0)</f>
        <v>Улаштування настилу з рифленої сталi
для пiдпiдлогових каналiв (Лючок)</v>
      </c>
      <c r="C254" s="3" t="str">
        <f>VLOOKUP(A254,[1]Sheet!B$3:G$2921,3,0)</f>
        <v>10м2</v>
      </c>
      <c r="D254" s="4">
        <v>2.7380000000000002E-2</v>
      </c>
      <c r="E254" s="5" t="e">
        <f>VLOOKUP(A254,N$3:S$1271,4,FALSE)</f>
        <v>#N/A</v>
      </c>
      <c r="F254" s="6">
        <f t="shared" si="12"/>
        <v>2.7380000000000002E-2</v>
      </c>
      <c r="G254" s="7">
        <f>VLOOKUP(A254,[1]Sheet!B$3:G$2921,5,0)</f>
        <v>4798.07</v>
      </c>
      <c r="H254" s="5" t="e">
        <f>VLOOKUP(A254,N$3:S$1271,5,FALSE)</f>
        <v>#N/A</v>
      </c>
      <c r="I254" s="6">
        <f t="shared" si="13"/>
        <v>4798.07</v>
      </c>
      <c r="J254" s="7">
        <f>VLOOKUP(A254,[1]Sheet!B$3:G$2921,6,0)</f>
        <v>131.37</v>
      </c>
      <c r="K254" s="8" t="e">
        <f t="shared" si="14"/>
        <v>#N/A</v>
      </c>
      <c r="L254" s="6">
        <f t="shared" si="15"/>
        <v>131.37</v>
      </c>
    </row>
    <row r="255" spans="1:12" x14ac:dyDescent="0.25">
      <c r="A255" s="9" t="s">
        <v>254</v>
      </c>
      <c r="B255" s="2" t="str">
        <f>VLOOKUP(A255,[1]Sheet!B$3:G$2921,2,0)</f>
        <v>Улаштування настилу з рифленої сталi
для пiдпiдлогових каналiв</v>
      </c>
      <c r="C255" s="3" t="str">
        <f>VLOOKUP(A255,[1]Sheet!B$3:G$2921,3,0)</f>
        <v>10м2</v>
      </c>
      <c r="D255" s="4">
        <v>0.25675000000000003</v>
      </c>
      <c r="E255" s="5" t="e">
        <f>VLOOKUP(A255,N$3:S$1271,4,FALSE)</f>
        <v>#N/A</v>
      </c>
      <c r="F255" s="6">
        <f t="shared" si="12"/>
        <v>0.25675000000000003</v>
      </c>
      <c r="G255" s="7">
        <f>VLOOKUP(A255,[1]Sheet!B$3:G$2921,5,0)</f>
        <v>4798.07</v>
      </c>
      <c r="H255" s="5" t="e">
        <f>VLOOKUP(A255,N$3:S$1271,5,FALSE)</f>
        <v>#N/A</v>
      </c>
      <c r="I255" s="6">
        <f t="shared" si="13"/>
        <v>4798.07</v>
      </c>
      <c r="J255" s="7">
        <f>VLOOKUP(A255,[1]Sheet!B$3:G$2921,6,0)</f>
        <v>597.36</v>
      </c>
      <c r="K255" s="8" t="e">
        <f t="shared" si="14"/>
        <v>#N/A</v>
      </c>
      <c r="L255" s="6">
        <f t="shared" si="15"/>
        <v>597.36</v>
      </c>
    </row>
    <row r="256" spans="1:12" x14ac:dyDescent="0.25">
      <c r="A256" s="9" t="s">
        <v>255</v>
      </c>
      <c r="B256" s="2" t="str">
        <f>VLOOKUP(A256,[1]Sheet!B$3:G$2921,2,0)</f>
        <v>Заповнення каркасiв стiн
мiнераловатними плитами при товщинi
заповнення 50 мм</v>
      </c>
      <c r="C256" s="3" t="str">
        <f>VLOOKUP(A256,[1]Sheet!B$3:G$2921,3,0)</f>
        <v>100м2</v>
      </c>
      <c r="D256" s="4">
        <v>0.4</v>
      </c>
      <c r="E256" s="5" t="e">
        <f>VLOOKUP(A256,N$3:S$1271,4,FALSE)</f>
        <v>#N/A</v>
      </c>
      <c r="F256" s="6">
        <f t="shared" si="12"/>
        <v>0.4</v>
      </c>
      <c r="G256" s="7">
        <f>VLOOKUP(A256,[1]Sheet!B$3:G$2921,5,0)</f>
        <v>2183.5100000000002</v>
      </c>
      <c r="H256" s="5" t="e">
        <f>VLOOKUP(A256,N$3:S$1271,5,FALSE)</f>
        <v>#N/A</v>
      </c>
      <c r="I256" s="6">
        <f t="shared" si="13"/>
        <v>2183.5100000000002</v>
      </c>
      <c r="J256" s="7">
        <f>VLOOKUP(A256,[1]Sheet!B$3:G$2921,6,0)</f>
        <v>393.03</v>
      </c>
      <c r="K256" s="8" t="e">
        <f t="shared" si="14"/>
        <v>#N/A</v>
      </c>
      <c r="L256" s="6">
        <f t="shared" si="15"/>
        <v>393.03</v>
      </c>
    </row>
    <row r="257" spans="1:12" x14ac:dyDescent="0.25">
      <c r="A257" s="9" t="s">
        <v>256</v>
      </c>
      <c r="B257" s="2" t="str">
        <f>VLOOKUP(A257,[1]Sheet!B$3:G$2921,2,0)</f>
        <v>Заповнення каркасiв стiн
мiнераловатними плитами при товщинi
заповнення 100 мм</v>
      </c>
      <c r="C257" s="3" t="str">
        <f>VLOOKUP(A257,[1]Sheet!B$3:G$2921,3,0)</f>
        <v>100м2</v>
      </c>
      <c r="D257" s="4">
        <v>1.4400000000000002</v>
      </c>
      <c r="E257" s="5" t="e">
        <f>VLOOKUP(A257,N$3:S$1271,4,FALSE)</f>
        <v>#N/A</v>
      </c>
      <c r="F257" s="6">
        <f t="shared" si="12"/>
        <v>1.4400000000000002</v>
      </c>
      <c r="G257" s="7">
        <f>VLOOKUP(A257,[1]Sheet!B$3:G$2921,5,0)</f>
        <v>4360.68</v>
      </c>
      <c r="H257" s="5" t="e">
        <f>VLOOKUP(A257,N$3:S$1271,5,FALSE)</f>
        <v>#N/A</v>
      </c>
      <c r="I257" s="6">
        <f t="shared" si="13"/>
        <v>4360.68</v>
      </c>
      <c r="J257" s="7">
        <f>VLOOKUP(A257,[1]Sheet!B$3:G$2921,6,0)</f>
        <v>915.74</v>
      </c>
      <c r="K257" s="8" t="e">
        <f t="shared" si="14"/>
        <v>#N/A</v>
      </c>
      <c r="L257" s="6">
        <f t="shared" si="15"/>
        <v>915.74</v>
      </c>
    </row>
    <row r="258" spans="1:12" x14ac:dyDescent="0.25">
      <c r="A258" s="9" t="s">
        <v>257</v>
      </c>
      <c r="B258" s="2" t="str">
        <f>VLOOKUP(A258,[1]Sheet!B$3:G$2921,2,0)</f>
        <v>Пробивання прорiзiв в конструкцiях з
бетону</v>
      </c>
      <c r="C258" s="3" t="str">
        <f>VLOOKUP(A258,[1]Sheet!B$3:G$2921,3,0)</f>
        <v>м3</v>
      </c>
      <c r="D258" s="4">
        <v>2.7200000000000002E-2</v>
      </c>
      <c r="E258" s="5" t="e">
        <f>VLOOKUP(A258,N$3:S$1271,4,FALSE)</f>
        <v>#N/A</v>
      </c>
      <c r="F258" s="6">
        <f t="shared" ref="F258:F321" si="16">IFERROR(D258-E258,D258)</f>
        <v>2.7200000000000002E-2</v>
      </c>
      <c r="G258" s="7">
        <f>VLOOKUP(A258,[1]Sheet!B$3:G$2921,5,0)</f>
        <v>2838.91</v>
      </c>
      <c r="H258" s="5" t="e">
        <f>VLOOKUP(A258,N$3:S$1271,5,FALSE)</f>
        <v>#N/A</v>
      </c>
      <c r="I258" s="6">
        <f t="shared" ref="I258:I321" si="17">IFERROR(G258-H258,G258)</f>
        <v>2838.91</v>
      </c>
      <c r="J258" s="7">
        <f>VLOOKUP(A258,[1]Sheet!B$3:G$2921,6,0)</f>
        <v>25.55</v>
      </c>
      <c r="K258" s="8" t="e">
        <f t="shared" ref="K258:K321" si="18">VLOOKUP(A258,N$3:S$1271,6,FALSE)</f>
        <v>#N/A</v>
      </c>
      <c r="L258" s="6">
        <f t="shared" ref="L258:L321" si="19">IFERROR(J258-K258,J258)</f>
        <v>25.55</v>
      </c>
    </row>
    <row r="259" spans="1:12" x14ac:dyDescent="0.25">
      <c r="A259" s="9" t="s">
        <v>258</v>
      </c>
      <c r="B259" s="2" t="str">
        <f>VLOOKUP(A259,[1]Sheet!B$3:G$2921,2,0)</f>
        <v>Пробивання прорiзiв в конструкцiях з цегли</v>
      </c>
      <c r="C259" s="3" t="str">
        <f>VLOOKUP(A259,[1]Sheet!B$3:G$2921,3,0)</f>
        <v>м3</v>
      </c>
      <c r="D259" s="4">
        <v>0.7</v>
      </c>
      <c r="E259" s="5" t="e">
        <f>VLOOKUP(A259,N$3:S$1271,4,FALSE)</f>
        <v>#N/A</v>
      </c>
      <c r="F259" s="6">
        <f t="shared" si="16"/>
        <v>0.7</v>
      </c>
      <c r="G259" s="7">
        <f>VLOOKUP(A259,[1]Sheet!B$3:G$2921,5,0)</f>
        <v>1493.61</v>
      </c>
      <c r="H259" s="5" t="e">
        <f>VLOOKUP(A259,N$3:S$1271,5,FALSE)</f>
        <v>#N/A</v>
      </c>
      <c r="I259" s="6">
        <f t="shared" si="17"/>
        <v>1493.61</v>
      </c>
      <c r="J259" s="7">
        <f>VLOOKUP(A259,[1]Sheet!B$3:G$2921,6,0)</f>
        <v>1045.53</v>
      </c>
      <c r="K259" s="8" t="e">
        <f t="shared" si="18"/>
        <v>#N/A</v>
      </c>
      <c r="L259" s="6">
        <f t="shared" si="19"/>
        <v>1045.53</v>
      </c>
    </row>
    <row r="260" spans="1:12" x14ac:dyDescent="0.25">
      <c r="A260" s="9" t="s">
        <v>259</v>
      </c>
      <c r="B260" s="2" t="str">
        <f>VLOOKUP(A260,[1]Sheet!B$3:G$2921,2,0)</f>
        <v>Розбирання фундаментiв залiзобетонних</v>
      </c>
      <c r="C260" s="3" t="str">
        <f>VLOOKUP(A260,[1]Sheet!B$3:G$2921,3,0)</f>
        <v>м3</v>
      </c>
      <c r="D260" s="4">
        <v>1.1200000000000001</v>
      </c>
      <c r="E260" s="5" t="e">
        <f>VLOOKUP(A260,N$3:S$1271,4,FALSE)</f>
        <v>#N/A</v>
      </c>
      <c r="F260" s="6">
        <f t="shared" si="16"/>
        <v>1.1200000000000001</v>
      </c>
      <c r="G260" s="7">
        <f>VLOOKUP(A260,[1]Sheet!B$3:G$2921,5,0)</f>
        <v>4217.1099999999997</v>
      </c>
      <c r="H260" s="5" t="e">
        <f>VLOOKUP(A260,N$3:S$1271,5,FALSE)</f>
        <v>#N/A</v>
      </c>
      <c r="I260" s="6">
        <f t="shared" si="17"/>
        <v>4217.1099999999997</v>
      </c>
      <c r="J260" s="7">
        <f>VLOOKUP(A260,[1]Sheet!B$3:G$2921,6,0)</f>
        <v>4723.16</v>
      </c>
      <c r="K260" s="8" t="e">
        <f t="shared" si="18"/>
        <v>#N/A</v>
      </c>
      <c r="L260" s="6">
        <f t="shared" si="19"/>
        <v>4723.16</v>
      </c>
    </row>
    <row r="261" spans="1:12" x14ac:dyDescent="0.25">
      <c r="A261" s="9" t="s">
        <v>260</v>
      </c>
      <c r="B261" s="2" t="str">
        <f>VLOOKUP(A261,[1]Sheet!B$3:G$2921,2,0)</f>
        <v>Розбирання цегляних стiн (перегородки)</v>
      </c>
      <c r="C261" s="3" t="str">
        <f>VLOOKUP(A261,[1]Sheet!B$3:G$2921,3,0)</f>
        <v>м3</v>
      </c>
      <c r="D261" s="4">
        <v>4.7</v>
      </c>
      <c r="E261" s="5" t="e">
        <f>VLOOKUP(A261,N$3:S$1271,4,FALSE)</f>
        <v>#N/A</v>
      </c>
      <c r="F261" s="6">
        <f t="shared" si="16"/>
        <v>4.7</v>
      </c>
      <c r="G261" s="7">
        <f>VLOOKUP(A261,[1]Sheet!B$3:G$2921,5,0)</f>
        <v>944.42</v>
      </c>
      <c r="H261" s="5" t="e">
        <f>VLOOKUP(A261,N$3:S$1271,5,FALSE)</f>
        <v>#N/A</v>
      </c>
      <c r="I261" s="6">
        <f t="shared" si="17"/>
        <v>944.42</v>
      </c>
      <c r="J261" s="7">
        <f>VLOOKUP(A261,[1]Sheet!B$3:G$2921,6,0)</f>
        <v>849.98</v>
      </c>
      <c r="K261" s="8" t="e">
        <f t="shared" si="18"/>
        <v>#N/A</v>
      </c>
      <c r="L261" s="6">
        <f t="shared" si="19"/>
        <v>849.98</v>
      </c>
    </row>
    <row r="262" spans="1:12" x14ac:dyDescent="0.25">
      <c r="A262" s="9" t="s">
        <v>261</v>
      </c>
      <c r="B262" s="2" t="str">
        <f>VLOOKUP(A262,[1]Sheet!B$3:G$2921,2,0)</f>
        <v>Розбирання покриття покрiвель з
рулонних матерiалiв</v>
      </c>
      <c r="C262" s="3" t="str">
        <f>VLOOKUP(A262,[1]Sheet!B$3:G$2921,3,0)</f>
        <v>100м2</v>
      </c>
      <c r="D262" s="4">
        <v>3.72</v>
      </c>
      <c r="E262" s="5" t="e">
        <f>VLOOKUP(A262,N$3:S$1271,4,FALSE)</f>
        <v>#N/A</v>
      </c>
      <c r="F262" s="6">
        <f t="shared" si="16"/>
        <v>3.72</v>
      </c>
      <c r="G262" s="7">
        <f>VLOOKUP(A262,[1]Sheet!B$3:G$2921,5,0)</f>
        <v>1485.78</v>
      </c>
      <c r="H262" s="5" t="e">
        <f>VLOOKUP(A262,N$3:S$1271,5,FALSE)</f>
        <v>#N/A</v>
      </c>
      <c r="I262" s="6">
        <f t="shared" si="17"/>
        <v>1485.78</v>
      </c>
      <c r="J262" s="7">
        <f>VLOOKUP(A262,[1]Sheet!B$3:G$2921,6,0)</f>
        <v>5527.1</v>
      </c>
      <c r="K262" s="8" t="e">
        <f t="shared" si="18"/>
        <v>#N/A</v>
      </c>
      <c r="L262" s="6">
        <f t="shared" si="19"/>
        <v>5527.1</v>
      </c>
    </row>
    <row r="263" spans="1:12" x14ac:dyDescent="0.25">
      <c r="A263" s="9" t="s">
        <v>262</v>
      </c>
      <c r="B263" s="2" t="str">
        <f>VLOOKUP(A263,[1]Sheet!B$3:G$2921,2,0)</f>
        <v>Розбирання дерев'яних заповнень дверних i
воротних прорiзiв</v>
      </c>
      <c r="C263" s="3" t="str">
        <f>VLOOKUP(A263,[1]Sheet!B$3:G$2921,3,0)</f>
        <v>100м2</v>
      </c>
      <c r="D263" s="4">
        <v>2.6650000000000004E-2</v>
      </c>
      <c r="E263" s="5" t="e">
        <f>VLOOKUP(A263,N$3:S$1271,4,FALSE)</f>
        <v>#N/A</v>
      </c>
      <c r="F263" s="6">
        <f t="shared" si="16"/>
        <v>2.6650000000000004E-2</v>
      </c>
      <c r="G263" s="7">
        <f>VLOOKUP(A263,[1]Sheet!B$3:G$2921,5,0)</f>
        <v>8893.15</v>
      </c>
      <c r="H263" s="5" t="e">
        <f>VLOOKUP(A263,N$3:S$1271,5,FALSE)</f>
        <v>#N/A</v>
      </c>
      <c r="I263" s="6">
        <f t="shared" si="17"/>
        <v>8893.15</v>
      </c>
      <c r="J263" s="7">
        <f>VLOOKUP(A263,[1]Sheet!B$3:G$2921,6,0)</f>
        <v>237</v>
      </c>
      <c r="K263" s="8" t="e">
        <f t="shared" si="18"/>
        <v>#N/A</v>
      </c>
      <c r="L263" s="6">
        <f t="shared" si="19"/>
        <v>237</v>
      </c>
    </row>
    <row r="264" spans="1:12" x14ac:dyDescent="0.25">
      <c r="A264" s="9" t="s">
        <v>263</v>
      </c>
      <c r="B264" s="2" t="str">
        <f>VLOOKUP(A264,[1]Sheet!B$3:G$2921,2,0)</f>
        <v>Установлення металевої огорожi з
сiтчастих панелей по залiзобетонних
стовпах без цоколя, висотою 2 м (тип
огорожi -"3D")</v>
      </c>
      <c r="C264" s="3" t="str">
        <f>VLOOKUP(A264,[1]Sheet!B$3:G$2921,3,0)</f>
        <v>100м</v>
      </c>
      <c r="D264" s="4">
        <v>0.25</v>
      </c>
      <c r="E264" s="5" t="e">
        <f>VLOOKUP(A264,N$3:S$1271,4,FALSE)</f>
        <v>#N/A</v>
      </c>
      <c r="F264" s="6">
        <f t="shared" si="16"/>
        <v>0.25</v>
      </c>
      <c r="G264" s="7">
        <f>VLOOKUP(A264,[1]Sheet!B$3:G$2921,5,0)</f>
        <v>28001.64</v>
      </c>
      <c r="H264" s="5" t="e">
        <f>VLOOKUP(A264,N$3:S$1271,5,FALSE)</f>
        <v>#N/A</v>
      </c>
      <c r="I264" s="6">
        <f t="shared" si="17"/>
        <v>28001.64</v>
      </c>
      <c r="J264" s="7">
        <f>VLOOKUP(A264,[1]Sheet!B$3:G$2921,6,0)</f>
        <v>3080.18</v>
      </c>
      <c r="K264" s="8" t="e">
        <f t="shared" si="18"/>
        <v>#N/A</v>
      </c>
      <c r="L264" s="6">
        <f t="shared" si="19"/>
        <v>3080.18</v>
      </c>
    </row>
    <row r="265" spans="1:12" x14ac:dyDescent="0.25">
      <c r="A265" s="9" t="s">
        <v>264</v>
      </c>
      <c r="B265" s="2" t="str">
        <f>VLOOKUP(A265,[1]Sheet!B$3:G$2921,2,0)</f>
        <v>Демонтаж залiзобетонної огорожi з
панелей</v>
      </c>
      <c r="C265" s="3" t="str">
        <f>VLOOKUP(A265,[1]Sheet!B$3:G$2921,3,0)</f>
        <v>100м</v>
      </c>
      <c r="D265" s="4">
        <v>0.56000000000000005</v>
      </c>
      <c r="E265" s="5" t="e">
        <f>VLOOKUP(A265,N$3:S$1271,4,FALSE)</f>
        <v>#N/A</v>
      </c>
      <c r="F265" s="6">
        <f t="shared" si="16"/>
        <v>0.56000000000000005</v>
      </c>
      <c r="G265" s="7">
        <f>VLOOKUP(A265,[1]Sheet!B$3:G$2921,5,0)</f>
        <v>21037.86</v>
      </c>
      <c r="H265" s="5" t="e">
        <f>VLOOKUP(A265,N$3:S$1271,5,FALSE)</f>
        <v>#N/A</v>
      </c>
      <c r="I265" s="6">
        <f t="shared" si="17"/>
        <v>21037.86</v>
      </c>
      <c r="J265" s="7">
        <f>VLOOKUP(A265,[1]Sheet!B$3:G$2921,6,0)</f>
        <v>11781.2</v>
      </c>
      <c r="K265" s="8" t="e">
        <f t="shared" si="18"/>
        <v>#N/A</v>
      </c>
      <c r="L265" s="6">
        <f t="shared" si="19"/>
        <v>11781.2</v>
      </c>
    </row>
    <row r="266" spans="1:12" x14ac:dyDescent="0.25">
      <c r="A266" s="9" t="s">
        <v>265</v>
      </c>
      <c r="B266" s="2" t="str">
        <f>VLOOKUP(A266,[1]Sheet!B$3:G$2921,2,0)</f>
        <v>Улаштування хвiрток з установленням
стовпiв металевих</v>
      </c>
      <c r="C266" s="3" t="str">
        <f>VLOOKUP(A266,[1]Sheet!B$3:G$2921,3,0)</f>
        <v>100шт</v>
      </c>
      <c r="D266" s="4">
        <v>0.01</v>
      </c>
      <c r="E266" s="5" t="e">
        <f>VLOOKUP(A266,N$3:S$1271,4,FALSE)</f>
        <v>#N/A</v>
      </c>
      <c r="F266" s="6">
        <f t="shared" si="16"/>
        <v>0.01</v>
      </c>
      <c r="G266" s="7">
        <f>VLOOKUP(A266,[1]Sheet!B$3:G$2921,5,0)</f>
        <v>84672.82</v>
      </c>
      <c r="H266" s="5" t="e">
        <f>VLOOKUP(A266,N$3:S$1271,5,FALSE)</f>
        <v>#N/A</v>
      </c>
      <c r="I266" s="6">
        <f t="shared" si="17"/>
        <v>84672.82</v>
      </c>
      <c r="J266" s="7">
        <f>VLOOKUP(A266,[1]Sheet!B$3:G$2921,6,0)</f>
        <v>846.73</v>
      </c>
      <c r="K266" s="8" t="e">
        <f t="shared" si="18"/>
        <v>#N/A</v>
      </c>
      <c r="L266" s="6">
        <f t="shared" si="19"/>
        <v>846.73</v>
      </c>
    </row>
    <row r="267" spans="1:12" x14ac:dyDescent="0.25">
      <c r="A267" s="9" t="s">
        <v>266</v>
      </c>
      <c r="B267" s="2" t="str">
        <f>VLOOKUP(A267,[1]Sheet!B$3:G$2921,2,0)</f>
        <v>Установлення опор iз плит i кiлець
дiаметром до 1000 мм</v>
      </c>
      <c r="C267" s="3" t="str">
        <f>VLOOKUP(A267,[1]Sheet!B$3:G$2921,3,0)</f>
        <v>100м3</v>
      </c>
      <c r="D267" s="4">
        <v>1.2000000000000001E-3</v>
      </c>
      <c r="E267" s="5" t="e">
        <f>VLOOKUP(A267,N$3:S$1271,4,FALSE)</f>
        <v>#N/A</v>
      </c>
      <c r="F267" s="6">
        <f t="shared" si="16"/>
        <v>1.2000000000000001E-3</v>
      </c>
      <c r="G267" s="7">
        <f>VLOOKUP(A267,[1]Sheet!B$3:G$2921,5,0)</f>
        <v>128478.96</v>
      </c>
      <c r="H267" s="5" t="e">
        <f>VLOOKUP(A267,N$3:S$1271,5,FALSE)</f>
        <v>#N/A</v>
      </c>
      <c r="I267" s="6">
        <f t="shared" si="17"/>
        <v>128478.96</v>
      </c>
      <c r="J267" s="7">
        <f>VLOOKUP(A267,[1]Sheet!B$3:G$2921,6,0)</f>
        <v>154.16999999999999</v>
      </c>
      <c r="K267" s="8" t="e">
        <f t="shared" si="18"/>
        <v>#N/A</v>
      </c>
      <c r="L267" s="6">
        <f t="shared" si="19"/>
        <v>154.16999999999999</v>
      </c>
    </row>
    <row r="268" spans="1:12" x14ac:dyDescent="0.25">
      <c r="A268" s="9" t="s">
        <v>267</v>
      </c>
      <c r="B268" s="2" t="str">
        <f>VLOOKUP(A268,[1]Sheet!B$3:G$2921,2,0)</f>
        <v>Установлення опор iз плит i кiлець
дiаметром бiльше 1000 мм</v>
      </c>
      <c r="C268" s="3" t="str">
        <f>VLOOKUP(A268,[1]Sheet!B$3:G$2921,3,0)</f>
        <v>100м3</v>
      </c>
      <c r="D268" s="4">
        <v>1.1599999999999999E-2</v>
      </c>
      <c r="E268" s="5" t="e">
        <f>VLOOKUP(A268,N$3:S$1271,4,FALSE)</f>
        <v>#N/A</v>
      </c>
      <c r="F268" s="6">
        <f t="shared" si="16"/>
        <v>1.1599999999999999E-2</v>
      </c>
      <c r="G268" s="7">
        <f>VLOOKUP(A268,[1]Sheet!B$3:G$2921,5,0)</f>
        <v>73647.13</v>
      </c>
      <c r="H268" s="5" t="e">
        <f>VLOOKUP(A268,N$3:S$1271,5,FALSE)</f>
        <v>#N/A</v>
      </c>
      <c r="I268" s="6">
        <f t="shared" si="17"/>
        <v>73647.13</v>
      </c>
      <c r="J268" s="7">
        <f>VLOOKUP(A268,[1]Sheet!B$3:G$2921,6,0)</f>
        <v>640.73</v>
      </c>
      <c r="K268" s="8" t="e">
        <f t="shared" si="18"/>
        <v>#N/A</v>
      </c>
      <c r="L268" s="6">
        <f t="shared" si="19"/>
        <v>640.73</v>
      </c>
    </row>
    <row r="269" spans="1:12" x14ac:dyDescent="0.25">
      <c r="A269" s="9" t="s">
        <v>268</v>
      </c>
      <c r="B269" s="2" t="str">
        <f>VLOOKUP(A269,[1]Sheet!B$3:G$2921,2,0)</f>
        <v>Установлення сходових площадок
залізобетонніх П1, П2 масою до 1 т</v>
      </c>
      <c r="C269" s="3" t="str">
        <f>VLOOKUP(A269,[1]Sheet!B$3:G$2921,3,0)</f>
        <v>100шт</v>
      </c>
      <c r="D269" s="4">
        <v>0.1</v>
      </c>
      <c r="E269" s="5" t="e">
        <f>VLOOKUP(A269,N$3:S$1271,4,FALSE)</f>
        <v>#N/A</v>
      </c>
      <c r="F269" s="6">
        <f t="shared" si="16"/>
        <v>0.1</v>
      </c>
      <c r="G269" s="7">
        <f>VLOOKUP(A269,[1]Sheet!B$3:G$2921,5,0)</f>
        <v>28042.49</v>
      </c>
      <c r="H269" s="5" t="e">
        <f>VLOOKUP(A269,N$3:S$1271,5,FALSE)</f>
        <v>#N/A</v>
      </c>
      <c r="I269" s="6">
        <f t="shared" si="17"/>
        <v>28042.49</v>
      </c>
      <c r="J269" s="7">
        <f>VLOOKUP(A269,[1]Sheet!B$3:G$2921,6,0)</f>
        <v>2804.25</v>
      </c>
      <c r="K269" s="8" t="e">
        <f t="shared" si="18"/>
        <v>#N/A</v>
      </c>
      <c r="L269" s="6">
        <f t="shared" si="19"/>
        <v>2804.25</v>
      </c>
    </row>
    <row r="270" spans="1:12" x14ac:dyDescent="0.25">
      <c r="A270" s="9" t="s">
        <v>269</v>
      </c>
      <c r="B270" s="2" t="str">
        <f>VLOOKUP(A270,[1]Sheet!B$3:G$2921,2,0)</f>
        <v>Укладання сходiв по готовiй основi з
окремих схiдцiв гладких</v>
      </c>
      <c r="C270" s="3" t="str">
        <f>VLOOKUP(A270,[1]Sheet!B$3:G$2921,3,0)</f>
        <v>100м</v>
      </c>
      <c r="D270" s="4">
        <v>0.11550000000000001</v>
      </c>
      <c r="E270" s="5" t="e">
        <f>VLOOKUP(A270,N$3:S$1271,4,FALSE)</f>
        <v>#N/A</v>
      </c>
      <c r="F270" s="6">
        <f t="shared" si="16"/>
        <v>0.11550000000000001</v>
      </c>
      <c r="G270" s="7">
        <f>VLOOKUP(A270,[1]Sheet!B$3:G$2921,5,0)</f>
        <v>11102.23</v>
      </c>
      <c r="H270" s="5" t="e">
        <f>VLOOKUP(A270,N$3:S$1271,5,FALSE)</f>
        <v>#N/A</v>
      </c>
      <c r="I270" s="6">
        <f t="shared" si="17"/>
        <v>11102.23</v>
      </c>
      <c r="J270" s="7">
        <f>VLOOKUP(A270,[1]Sheet!B$3:G$2921,6,0)</f>
        <v>466.29</v>
      </c>
      <c r="K270" s="8" t="e">
        <f t="shared" si="18"/>
        <v>#N/A</v>
      </c>
      <c r="L270" s="6">
        <f t="shared" si="19"/>
        <v>466.29</v>
      </c>
    </row>
    <row r="271" spans="1:12" x14ac:dyDescent="0.25">
      <c r="A271" s="9" t="s">
        <v>270</v>
      </c>
      <c r="B271" s="2" t="str">
        <f>VLOOKUP(A271,[1]Sheet!B$3:G$2921,2,0)</f>
        <v>Укладання сходiв по готовiй основi з
окремих схiдцiв iз мозаїчним покриттям</v>
      </c>
      <c r="C271" s="3" t="str">
        <f>VLOOKUP(A271,[1]Sheet!B$3:G$2921,3,0)</f>
        <v>100м</v>
      </c>
      <c r="D271" s="4">
        <v>1.05</v>
      </c>
      <c r="E271" s="5" t="e">
        <f>VLOOKUP(A271,N$3:S$1271,4,FALSE)</f>
        <v>#N/A</v>
      </c>
      <c r="F271" s="6">
        <f t="shared" si="16"/>
        <v>1.05</v>
      </c>
      <c r="G271" s="7">
        <f>VLOOKUP(A271,[1]Sheet!B$3:G$2921,5,0)</f>
        <v>14187.99</v>
      </c>
      <c r="H271" s="5" t="e">
        <f>VLOOKUP(A271,N$3:S$1271,5,FALSE)</f>
        <v>#N/A</v>
      </c>
      <c r="I271" s="6">
        <f t="shared" si="17"/>
        <v>14187.99</v>
      </c>
      <c r="J271" s="7">
        <f>VLOOKUP(A271,[1]Sheet!B$3:G$2921,6,0)</f>
        <v>14897.39</v>
      </c>
      <c r="K271" s="8" t="e">
        <f t="shared" si="18"/>
        <v>#N/A</v>
      </c>
      <c r="L271" s="6">
        <f t="shared" si="19"/>
        <v>14897.39</v>
      </c>
    </row>
    <row r="272" spans="1:12" x14ac:dyDescent="0.25">
      <c r="A272" s="9" t="s">
        <v>271</v>
      </c>
      <c r="B272" s="2" t="str">
        <f>VLOOKUP(A272,[1]Sheet!B$3:G$2921,2,0)</f>
        <v>Установлення металевої огорожi з
поручнями iз полiвiнiлхлориду</v>
      </c>
      <c r="C272" s="3" t="str">
        <f>VLOOKUP(A272,[1]Sheet!B$3:G$2921,3,0)</f>
        <v>100м</v>
      </c>
      <c r="D272" s="4">
        <v>0.23620000000000002</v>
      </c>
      <c r="E272" s="5" t="e">
        <f>VLOOKUP(A272,N$3:S$1271,4,FALSE)</f>
        <v>#N/A</v>
      </c>
      <c r="F272" s="6">
        <f t="shared" si="16"/>
        <v>0.23620000000000002</v>
      </c>
      <c r="G272" s="7">
        <f>VLOOKUP(A272,[1]Sheet!B$3:G$2921,5,0)</f>
        <v>6850.47</v>
      </c>
      <c r="H272" s="5" t="e">
        <f>VLOOKUP(A272,N$3:S$1271,5,FALSE)</f>
        <v>#N/A</v>
      </c>
      <c r="I272" s="6">
        <f t="shared" si="17"/>
        <v>6850.47</v>
      </c>
      <c r="J272" s="7">
        <f>VLOOKUP(A272,[1]Sheet!B$3:G$2921,6,0)</f>
        <v>1618.08</v>
      </c>
      <c r="K272" s="8" t="e">
        <f t="shared" si="18"/>
        <v>#N/A</v>
      </c>
      <c r="L272" s="6">
        <f t="shared" si="19"/>
        <v>1618.08</v>
      </c>
    </row>
    <row r="273" spans="1:12" x14ac:dyDescent="0.25">
      <c r="A273" s="9" t="s">
        <v>272</v>
      </c>
      <c r="B273" s="2" t="str">
        <f>VLOOKUP(A273,[1]Sheet!B$3:G$2921,2,0)</f>
        <v>Установлення металевої огорожi без
поручня</v>
      </c>
      <c r="C273" s="3" t="str">
        <f>VLOOKUP(A273,[1]Sheet!B$3:G$2921,3,0)</f>
        <v>100м</v>
      </c>
      <c r="D273" s="4">
        <v>0.72815000000000007</v>
      </c>
      <c r="E273" s="5" t="e">
        <f>VLOOKUP(A273,N$3:S$1271,4,FALSE)</f>
        <v>#N/A</v>
      </c>
      <c r="F273" s="6">
        <f t="shared" si="16"/>
        <v>0.72815000000000007</v>
      </c>
      <c r="G273" s="7">
        <f>VLOOKUP(A273,[1]Sheet!B$3:G$2921,5,0)</f>
        <v>5275.84</v>
      </c>
      <c r="H273" s="5" t="e">
        <f>VLOOKUP(A273,N$3:S$1271,5,FALSE)</f>
        <v>#N/A</v>
      </c>
      <c r="I273" s="6">
        <f t="shared" si="17"/>
        <v>5275.84</v>
      </c>
      <c r="J273" s="7">
        <f>VLOOKUP(A273,[1]Sheet!B$3:G$2921,6,0)</f>
        <v>3285.27</v>
      </c>
      <c r="K273" s="8" t="e">
        <f t="shared" si="18"/>
        <v>#N/A</v>
      </c>
      <c r="L273" s="6">
        <f t="shared" si="19"/>
        <v>3285.27</v>
      </c>
    </row>
    <row r="274" spans="1:12" x14ac:dyDescent="0.25">
      <c r="A274" s="9" t="s">
        <v>273</v>
      </c>
      <c r="B274" s="2" t="str">
        <f>VLOOKUP(A274,[1]Sheet!B$3:G$2921,2,0)</f>
        <v>Улаштування непрохiдних однолоткових
каналiв, що перекриваються або
обпираються на плити</v>
      </c>
      <c r="C274" s="3" t="str">
        <f>VLOOKUP(A274,[1]Sheet!B$3:G$2921,3,0)</f>
        <v>100м3</v>
      </c>
      <c r="D274" s="4">
        <v>5.2000000000000006E-3</v>
      </c>
      <c r="E274" s="5" t="e">
        <f>VLOOKUP(A274,N$3:S$1271,4,FALSE)</f>
        <v>#N/A</v>
      </c>
      <c r="F274" s="6">
        <f t="shared" si="16"/>
        <v>5.2000000000000006E-3</v>
      </c>
      <c r="G274" s="7">
        <f>VLOOKUP(A274,[1]Sheet!B$3:G$2921,5,0)</f>
        <v>125868.31</v>
      </c>
      <c r="H274" s="5" t="e">
        <f>VLOOKUP(A274,N$3:S$1271,5,FALSE)</f>
        <v>#N/A</v>
      </c>
      <c r="I274" s="6">
        <f t="shared" si="17"/>
        <v>125868.31</v>
      </c>
      <c r="J274" s="7">
        <f>VLOOKUP(A274,[1]Sheet!B$3:G$2921,6,0)</f>
        <v>654.52</v>
      </c>
      <c r="K274" s="8" t="e">
        <f t="shared" si="18"/>
        <v>#N/A</v>
      </c>
      <c r="L274" s="6">
        <f t="shared" si="19"/>
        <v>654.52</v>
      </c>
    </row>
    <row r="275" spans="1:12" x14ac:dyDescent="0.25">
      <c r="A275" s="9" t="s">
        <v>274</v>
      </c>
      <c r="B275" s="2" t="str">
        <f>VLOOKUP(A275,[1]Sheet!B$3:G$2921,2,0)</f>
        <v>Демонтаж непрохiдних однолоткових
каналiв (плити П11д-8 120шт, лотки
120шт)</v>
      </c>
      <c r="C275" s="3" t="str">
        <f>VLOOKUP(A275,[1]Sheet!B$3:G$2921,3,0)</f>
        <v>100м3</v>
      </c>
      <c r="D275" s="4">
        <v>0.34800000000000003</v>
      </c>
      <c r="E275" s="5" t="e">
        <f>VLOOKUP(A275,N$3:S$1271,4,FALSE)</f>
        <v>#N/A</v>
      </c>
      <c r="F275" s="6">
        <f t="shared" si="16"/>
        <v>0.34800000000000003</v>
      </c>
      <c r="G275" s="7">
        <f>VLOOKUP(A275,[1]Sheet!B$3:G$2921,5,0)</f>
        <v>51028.38</v>
      </c>
      <c r="H275" s="5" t="e">
        <f>VLOOKUP(A275,N$3:S$1271,5,FALSE)</f>
        <v>#N/A</v>
      </c>
      <c r="I275" s="6">
        <f t="shared" si="17"/>
        <v>51028.38</v>
      </c>
      <c r="J275" s="7">
        <f>VLOOKUP(A275,[1]Sheet!B$3:G$2921,6,0)</f>
        <v>17757.88</v>
      </c>
      <c r="K275" s="8" t="e">
        <f t="shared" si="18"/>
        <v>#N/A</v>
      </c>
      <c r="L275" s="6">
        <f t="shared" si="19"/>
        <v>17757.88</v>
      </c>
    </row>
    <row r="276" spans="1:12" x14ac:dyDescent="0.25">
      <c r="A276" s="9" t="s">
        <v>275</v>
      </c>
      <c r="B276" s="2" t="str">
        <f>VLOOKUP(A276,[1]Sheet!B$3:G$2921,2,0)</f>
        <v>Укладання плит перекриття каналiв
площею до 0,5 м2</v>
      </c>
      <c r="C276" s="3" t="str">
        <f>VLOOKUP(A276,[1]Sheet!B$3:G$2921,3,0)</f>
        <v>100шт</v>
      </c>
      <c r="D276" s="4">
        <v>0.6</v>
      </c>
      <c r="E276" s="5" t="e">
        <f>VLOOKUP(A276,N$3:S$1271,4,FALSE)</f>
        <v>#N/A</v>
      </c>
      <c r="F276" s="6">
        <f t="shared" si="16"/>
        <v>0.6</v>
      </c>
      <c r="G276" s="7">
        <f>VLOOKUP(A276,[1]Sheet!B$3:G$2921,5,0)</f>
        <v>6327.9</v>
      </c>
      <c r="H276" s="5" t="e">
        <f>VLOOKUP(A276,N$3:S$1271,5,FALSE)</f>
        <v>#N/A</v>
      </c>
      <c r="I276" s="6">
        <f t="shared" si="17"/>
        <v>6327.9</v>
      </c>
      <c r="J276" s="7">
        <f>VLOOKUP(A276,[1]Sheet!B$3:G$2921,6,0)</f>
        <v>3733.46</v>
      </c>
      <c r="K276" s="8" t="e">
        <f t="shared" si="18"/>
        <v>#N/A</v>
      </c>
      <c r="L276" s="6">
        <f t="shared" si="19"/>
        <v>3733.46</v>
      </c>
    </row>
    <row r="277" spans="1:12" x14ac:dyDescent="0.25">
      <c r="A277" s="9" t="s">
        <v>276</v>
      </c>
      <c r="B277" s="2" t="str">
        <f>VLOOKUP(A277,[1]Sheet!B$3:G$2921,2,0)</f>
        <v>Укладання плит перекриття каналiв
площею до 1 м2</v>
      </c>
      <c r="C277" s="3" t="str">
        <f>VLOOKUP(A277,[1]Sheet!B$3:G$2921,3,0)</f>
        <v>100шт</v>
      </c>
      <c r="D277" s="4">
        <v>0.02</v>
      </c>
      <c r="E277" s="5" t="e">
        <f>VLOOKUP(A277,N$3:S$1271,4,FALSE)</f>
        <v>#N/A</v>
      </c>
      <c r="F277" s="6">
        <f t="shared" si="16"/>
        <v>0.02</v>
      </c>
      <c r="G277" s="7">
        <f>VLOOKUP(A277,[1]Sheet!B$3:G$2921,5,0)</f>
        <v>19187.599999999999</v>
      </c>
      <c r="H277" s="5" t="e">
        <f>VLOOKUP(A277,N$3:S$1271,5,FALSE)</f>
        <v>#N/A</v>
      </c>
      <c r="I277" s="6">
        <f t="shared" si="17"/>
        <v>19187.599999999999</v>
      </c>
      <c r="J277" s="7">
        <f>VLOOKUP(A277,[1]Sheet!B$3:G$2921,6,0)</f>
        <v>383.75</v>
      </c>
      <c r="K277" s="8" t="e">
        <f t="shared" si="18"/>
        <v>#N/A</v>
      </c>
      <c r="L277" s="6">
        <f t="shared" si="19"/>
        <v>383.75</v>
      </c>
    </row>
    <row r="278" spans="1:12" x14ac:dyDescent="0.25">
      <c r="A278" s="9" t="s">
        <v>277</v>
      </c>
      <c r="B278" s="2" t="str">
        <f>VLOOKUP(A278,[1]Sheet!B$3:G$2921,2,0)</f>
        <v>Укладання плит перекриття каналiв
площею до 5 м2</v>
      </c>
      <c r="C278" s="3" t="str">
        <f>VLOOKUP(A278,[1]Sheet!B$3:G$2921,3,0)</f>
        <v>100шт</v>
      </c>
      <c r="D278" s="4">
        <v>0.44000000000000006</v>
      </c>
      <c r="E278" s="5" t="e">
        <f>VLOOKUP(A278,N$3:S$1271,4,FALSE)</f>
        <v>#N/A</v>
      </c>
      <c r="F278" s="6">
        <f t="shared" si="16"/>
        <v>0.44000000000000006</v>
      </c>
      <c r="G278" s="7">
        <f>VLOOKUP(A278,[1]Sheet!B$3:G$2921,5,0)</f>
        <v>20635.57</v>
      </c>
      <c r="H278" s="5" t="e">
        <f>VLOOKUP(A278,N$3:S$1271,5,FALSE)</f>
        <v>#N/A</v>
      </c>
      <c r="I278" s="6">
        <f t="shared" si="17"/>
        <v>20635.57</v>
      </c>
      <c r="J278" s="7">
        <f>VLOOKUP(A278,[1]Sheet!B$3:G$2921,6,0)</f>
        <v>2888.98</v>
      </c>
      <c r="K278" s="8" t="e">
        <f t="shared" si="18"/>
        <v>#N/A</v>
      </c>
      <c r="L278" s="6">
        <f t="shared" si="19"/>
        <v>2888.98</v>
      </c>
    </row>
    <row r="279" spans="1:12" x14ac:dyDescent="0.25">
      <c r="A279" s="9" t="s">
        <v>278</v>
      </c>
      <c r="B279" s="2" t="str">
        <f>VLOOKUP(A279,[1]Sheet!B$3:G$2921,2,0)</f>
        <v>Демонтаж плит перекриття каналiв
площею до 5 м2</v>
      </c>
      <c r="C279" s="3" t="str">
        <f>VLOOKUP(A279,[1]Sheet!B$3:G$2921,3,0)</f>
        <v>100шт</v>
      </c>
      <c r="D279" s="4">
        <v>0.30000000000000004</v>
      </c>
      <c r="E279" s="5" t="e">
        <f>VLOOKUP(A279,N$3:S$1271,4,FALSE)</f>
        <v>#N/A</v>
      </c>
      <c r="F279" s="6">
        <f t="shared" si="16"/>
        <v>0.30000000000000004</v>
      </c>
      <c r="G279" s="7">
        <f>VLOOKUP(A279,[1]Sheet!B$3:G$2921,5,0)</f>
        <v>15411.29</v>
      </c>
      <c r="H279" s="5" t="e">
        <f>VLOOKUP(A279,N$3:S$1271,5,FALSE)</f>
        <v>#N/A</v>
      </c>
      <c r="I279" s="6">
        <f t="shared" si="17"/>
        <v>15411.29</v>
      </c>
      <c r="J279" s="7">
        <f>VLOOKUP(A279,[1]Sheet!B$3:G$2921,6,0)</f>
        <v>4623.3900000000003</v>
      </c>
      <c r="K279" s="8" t="e">
        <f t="shared" si="18"/>
        <v>#N/A</v>
      </c>
      <c r="L279" s="6">
        <f t="shared" si="19"/>
        <v>4623.3900000000003</v>
      </c>
    </row>
    <row r="280" spans="1:12" x14ac:dyDescent="0.25">
      <c r="A280" s="9" t="s">
        <v>279</v>
      </c>
      <c r="B280" s="2" t="str">
        <f>VLOOKUP(A280,[1]Sheet!B$3:G$2921,2,0)</f>
        <v>Монтаж колон одноповерхових i
багатоповерхових будiвель i кранових
естакад висотою до 25 м суцiльного
перерiзу масою до 1,0 т</v>
      </c>
      <c r="C280" s="3" t="str">
        <f>VLOOKUP(A280,[1]Sheet!B$3:G$2921,3,0)</f>
        <v>т</v>
      </c>
      <c r="D280" s="4">
        <v>7.4463999999999997</v>
      </c>
      <c r="E280" s="5" t="e">
        <f>VLOOKUP(A280,N$3:S$1271,4,FALSE)</f>
        <v>#N/A</v>
      </c>
      <c r="F280" s="6">
        <f t="shared" si="16"/>
        <v>7.4463999999999997</v>
      </c>
      <c r="G280" s="7">
        <f>VLOOKUP(A280,[1]Sheet!B$3:G$2921,5,0)</f>
        <v>5721.27</v>
      </c>
      <c r="H280" s="5" t="e">
        <f>VLOOKUP(A280,N$3:S$1271,5,FALSE)</f>
        <v>#N/A</v>
      </c>
      <c r="I280" s="6">
        <f t="shared" si="17"/>
        <v>5721.27</v>
      </c>
      <c r="J280" s="7">
        <f>VLOOKUP(A280,[1]Sheet!B$3:G$2921,6,0)</f>
        <v>42602.86</v>
      </c>
      <c r="K280" s="8" t="e">
        <f t="shared" si="18"/>
        <v>#N/A</v>
      </c>
      <c r="L280" s="6">
        <f t="shared" si="19"/>
        <v>42602.86</v>
      </c>
    </row>
    <row r="281" spans="1:12" x14ac:dyDescent="0.25">
      <c r="A281" s="9" t="s">
        <v>280</v>
      </c>
      <c r="B281" s="2" t="str">
        <f>VLOOKUP(A281,[1]Sheet!B$3:G$2921,2,0)</f>
        <v>Монтаж колон одноповерхових i
багатоповерхових будiвель i кранових
естакад висотою до 25 м складеного
перерiзу масою до 3 т /по залiзобетонних i
кам'яних опорах/</v>
      </c>
      <c r="C281" s="3" t="str">
        <f>VLOOKUP(A281,[1]Sheet!B$3:G$2921,3,0)</f>
        <v>т</v>
      </c>
      <c r="D281" s="4">
        <v>45.396000000000001</v>
      </c>
      <c r="E281" s="5" t="e">
        <f>VLOOKUP(A281,N$3:S$1271,4,FALSE)</f>
        <v>#N/A</v>
      </c>
      <c r="F281" s="6">
        <f t="shared" si="16"/>
        <v>45.396000000000001</v>
      </c>
      <c r="G281" s="7">
        <f>VLOOKUP(A281,[1]Sheet!B$3:G$2921,5,0)</f>
        <v>8274.73</v>
      </c>
      <c r="H281" s="5" t="e">
        <f>VLOOKUP(A281,N$3:S$1271,5,FALSE)</f>
        <v>#N/A</v>
      </c>
      <c r="I281" s="6">
        <f t="shared" si="17"/>
        <v>8274.73</v>
      </c>
      <c r="J281" s="7">
        <f>VLOOKUP(A281,[1]Sheet!B$3:G$2921,6,0)</f>
        <v>375639.64</v>
      </c>
      <c r="K281" s="8" t="e">
        <f t="shared" si="18"/>
        <v>#N/A</v>
      </c>
      <c r="L281" s="6">
        <f t="shared" si="19"/>
        <v>375639.64</v>
      </c>
    </row>
    <row r="282" spans="1:12" x14ac:dyDescent="0.25">
      <c r="A282" s="9" t="s">
        <v>281</v>
      </c>
      <c r="B282" s="2" t="str">
        <f>VLOOKUP(A282,[1]Sheet!B$3:G$2921,2,0)</f>
        <v>Монтаж кроквяних i пiдкроквяних ферм на
висотi до 25 м прогоном до 24 м, масою до
3 т</v>
      </c>
      <c r="C282" s="3" t="str">
        <f>VLOOKUP(A282,[1]Sheet!B$3:G$2921,3,0)</f>
        <v>т</v>
      </c>
      <c r="D282" s="4">
        <v>10.4032</v>
      </c>
      <c r="E282" s="5" t="e">
        <f>VLOOKUP(A282,N$3:S$1271,4,FALSE)</f>
        <v>#N/A</v>
      </c>
      <c r="F282" s="6">
        <f t="shared" si="16"/>
        <v>10.4032</v>
      </c>
      <c r="G282" s="7">
        <f>VLOOKUP(A282,[1]Sheet!B$3:G$2921,5,0)</f>
        <v>12360.59</v>
      </c>
      <c r="H282" s="5" t="e">
        <f>VLOOKUP(A282,N$3:S$1271,5,FALSE)</f>
        <v>#N/A</v>
      </c>
      <c r="I282" s="6">
        <f t="shared" si="17"/>
        <v>12360.59</v>
      </c>
      <c r="J282" s="7">
        <f>VLOOKUP(A282,[1]Sheet!B$3:G$2921,6,0)</f>
        <v>127393.18</v>
      </c>
      <c r="K282" s="8" t="e">
        <f t="shared" si="18"/>
        <v>#N/A</v>
      </c>
      <c r="L282" s="6">
        <f t="shared" si="19"/>
        <v>127393.18</v>
      </c>
    </row>
    <row r="283" spans="1:12" x14ac:dyDescent="0.25">
      <c r="A283" s="9" t="s">
        <v>282</v>
      </c>
      <c r="B283" s="2" t="str">
        <f>VLOOKUP(A283,[1]Sheet!B$3:G$2921,2,0)</f>
        <v>Монтаж кроквяних i пiдкроквяних ферм на
висотi до 25 м прогоном до 36 м, масою до
5 т</v>
      </c>
      <c r="C283" s="3" t="str">
        <f>VLOOKUP(A283,[1]Sheet!B$3:G$2921,3,0)</f>
        <v>т</v>
      </c>
      <c r="D283" s="4">
        <v>23.223199999999999</v>
      </c>
      <c r="E283" s="5" t="e">
        <f>VLOOKUP(A283,N$3:S$1271,4,FALSE)</f>
        <v>#N/A</v>
      </c>
      <c r="F283" s="6">
        <f t="shared" si="16"/>
        <v>23.223199999999999</v>
      </c>
      <c r="G283" s="7">
        <f>VLOOKUP(A283,[1]Sheet!B$3:G$2921,5,0)</f>
        <v>10302.75</v>
      </c>
      <c r="H283" s="5" t="e">
        <f>VLOOKUP(A283,N$3:S$1271,5,FALSE)</f>
        <v>#N/A</v>
      </c>
      <c r="I283" s="6">
        <f t="shared" si="17"/>
        <v>10302.75</v>
      </c>
      <c r="J283" s="7">
        <f>VLOOKUP(A283,[1]Sheet!B$3:G$2921,6,0)</f>
        <v>239262.82</v>
      </c>
      <c r="K283" s="8" t="e">
        <f t="shared" si="18"/>
        <v>#N/A</v>
      </c>
      <c r="L283" s="6">
        <f t="shared" si="19"/>
        <v>239262.82</v>
      </c>
    </row>
    <row r="284" spans="1:12" x14ac:dyDescent="0.25">
      <c r="A284" s="9" t="s">
        <v>283</v>
      </c>
      <c r="B284" s="2" t="str">
        <f>VLOOKUP(A284,[1]Sheet!B$3:G$2921,2,0)</f>
        <v>Монтаж кронштейнів покриття складного
перерізу при висотi будiвлi до 25 м</v>
      </c>
      <c r="C284" s="3" t="str">
        <f>VLOOKUP(A284,[1]Sheet!B$3:G$2921,3,0)</f>
        <v>т</v>
      </c>
      <c r="D284" s="4">
        <v>5.2103999999999999</v>
      </c>
      <c r="E284" s="5" t="e">
        <f>VLOOKUP(A284,N$3:S$1271,4,FALSE)</f>
        <v>#N/A</v>
      </c>
      <c r="F284" s="6">
        <f t="shared" si="16"/>
        <v>5.2103999999999999</v>
      </c>
      <c r="G284" s="7">
        <f>VLOOKUP(A284,[1]Sheet!B$3:G$2921,5,0)</f>
        <v>11665.75</v>
      </c>
      <c r="H284" s="5" t="e">
        <f>VLOOKUP(A284,N$3:S$1271,5,FALSE)</f>
        <v>#N/A</v>
      </c>
      <c r="I284" s="6">
        <f t="shared" si="17"/>
        <v>11665.75</v>
      </c>
      <c r="J284" s="7">
        <f>VLOOKUP(A284,[1]Sheet!B$3:G$2921,6,0)</f>
        <v>9220.61</v>
      </c>
      <c r="K284" s="8" t="e">
        <f t="shared" si="18"/>
        <v>#N/A</v>
      </c>
      <c r="L284" s="6">
        <f t="shared" si="19"/>
        <v>9220.61</v>
      </c>
    </row>
    <row r="285" spans="1:12" x14ac:dyDescent="0.25">
      <c r="A285" s="9" t="s">
        <v>284</v>
      </c>
      <c r="B285" s="2" t="str">
        <f>VLOOKUP(A285,[1]Sheet!B$3:G$2921,2,0)</f>
        <v>Монтаж зв'язок i розпiрок з одиночних i
парних кутiв, гнутозварних профiлiв для
прогонiв до 24 м при висотi будiвлi до 25 м
Стійки Ст 1-Ст 10</v>
      </c>
      <c r="C285" s="3" t="str">
        <f>VLOOKUP(A285,[1]Sheet!B$3:G$2921,3,0)</f>
        <v>т</v>
      </c>
      <c r="D285" s="4">
        <v>3.1683080000000001</v>
      </c>
      <c r="E285" s="5" t="e">
        <f>VLOOKUP(A285,N$3:S$1271,4,FALSE)</f>
        <v>#N/A</v>
      </c>
      <c r="F285" s="6">
        <f t="shared" si="16"/>
        <v>3.1683080000000001</v>
      </c>
      <c r="G285" s="7">
        <f>VLOOKUP(A285,[1]Sheet!B$3:G$2921,5,0)</f>
        <v>15392.07</v>
      </c>
      <c r="H285" s="5" t="e">
        <f>VLOOKUP(A285,N$3:S$1271,5,FALSE)</f>
        <v>#N/A</v>
      </c>
      <c r="I285" s="6">
        <f t="shared" si="17"/>
        <v>15392.07</v>
      </c>
      <c r="J285" s="7">
        <f>VLOOKUP(A285,[1]Sheet!B$3:G$2921,6,0)</f>
        <v>6627.05</v>
      </c>
      <c r="K285" s="8" t="e">
        <f t="shared" si="18"/>
        <v>#N/A</v>
      </c>
      <c r="L285" s="6">
        <f t="shared" si="19"/>
        <v>6627.05</v>
      </c>
    </row>
    <row r="286" spans="1:12" x14ac:dyDescent="0.25">
      <c r="A286" s="9" t="s">
        <v>285</v>
      </c>
      <c r="B286" s="2" t="str">
        <f>VLOOKUP(A286,[1]Sheet!B$3:G$2921,2,0)</f>
        <v>Монтаж розпiрок прогоном до 24 м при
висотi будiвлi до 25 м</v>
      </c>
      <c r="C286" s="3" t="str">
        <f>VLOOKUP(A286,[1]Sheet!B$3:G$2921,3,0)</f>
        <v>т</v>
      </c>
      <c r="D286" s="4">
        <v>3.8007999999999997</v>
      </c>
      <c r="E286" s="5" t="e">
        <f>VLOOKUP(A286,N$3:S$1271,4,FALSE)</f>
        <v>#N/A</v>
      </c>
      <c r="F286" s="6">
        <f t="shared" si="16"/>
        <v>3.8007999999999997</v>
      </c>
      <c r="G286" s="7">
        <f>VLOOKUP(A286,[1]Sheet!B$3:G$2921,5,0)</f>
        <v>16080.91</v>
      </c>
      <c r="H286" s="5" t="e">
        <f>VLOOKUP(A286,N$3:S$1271,5,FALSE)</f>
        <v>#N/A</v>
      </c>
      <c r="I286" s="6">
        <f t="shared" si="17"/>
        <v>16080.91</v>
      </c>
      <c r="J286" s="7">
        <f>VLOOKUP(A286,[1]Sheet!B$3:G$2921,6,0)</f>
        <v>57531.06</v>
      </c>
      <c r="K286" s="8" t="e">
        <f t="shared" si="18"/>
        <v>#N/A</v>
      </c>
      <c r="L286" s="6">
        <f t="shared" si="19"/>
        <v>57531.06</v>
      </c>
    </row>
    <row r="287" spans="1:12" x14ac:dyDescent="0.25">
      <c r="A287" s="9" t="s">
        <v>286</v>
      </c>
      <c r="B287" s="2" t="str">
        <f>VLOOKUP(A287,[1]Sheet!B$3:G$2921,2,0)</f>
        <v>Монтаж прогонiв iз кроком ферм до 12 м
при висотi будiвлi до 25 м</v>
      </c>
      <c r="C287" s="3" t="str">
        <f>VLOOKUP(A287,[1]Sheet!B$3:G$2921,3,0)</f>
        <v>т</v>
      </c>
      <c r="D287" s="4">
        <v>4.3666999999999998</v>
      </c>
      <c r="E287" s="5" t="e">
        <f>VLOOKUP(A287,N$3:S$1271,4,FALSE)</f>
        <v>#N/A</v>
      </c>
      <c r="F287" s="6">
        <f t="shared" si="16"/>
        <v>4.3666999999999998</v>
      </c>
      <c r="G287" s="7">
        <f>VLOOKUP(A287,[1]Sheet!B$3:G$2921,5,0)</f>
        <v>4612.2700000000004</v>
      </c>
      <c r="H287" s="5" t="e">
        <f>VLOOKUP(A287,N$3:S$1271,5,FALSE)</f>
        <v>#N/A</v>
      </c>
      <c r="I287" s="6">
        <f t="shared" si="17"/>
        <v>4612.2700000000004</v>
      </c>
      <c r="J287" s="7">
        <f>VLOOKUP(A287,[1]Sheet!B$3:G$2921,6,0)</f>
        <v>3492.96</v>
      </c>
      <c r="K287" s="8" t="e">
        <f t="shared" si="18"/>
        <v>#N/A</v>
      </c>
      <c r="L287" s="6">
        <f t="shared" si="19"/>
        <v>3492.96</v>
      </c>
    </row>
    <row r="288" spans="1:12" x14ac:dyDescent="0.25">
      <c r="A288" s="9" t="s">
        <v>287</v>
      </c>
      <c r="B288" s="2" t="str">
        <f>VLOOKUP(A288,[1]Sheet!B$3:G$2921,2,0)</f>
        <v>Монтаж балок покриття при висотi
будiвлi до 25 м</v>
      </c>
      <c r="C288" s="3" t="str">
        <f>VLOOKUP(A288,[1]Sheet!B$3:G$2921,3,0)</f>
        <v>т</v>
      </c>
      <c r="D288" s="4">
        <v>31.152000000000001</v>
      </c>
      <c r="E288" s="5" t="e">
        <f>VLOOKUP(A288,N$3:S$1271,4,FALSE)</f>
        <v>#N/A</v>
      </c>
      <c r="F288" s="6">
        <f t="shared" si="16"/>
        <v>31.152000000000001</v>
      </c>
      <c r="G288" s="7">
        <f>VLOOKUP(A288,[1]Sheet!B$3:G$2921,5,0)</f>
        <v>5261.6</v>
      </c>
      <c r="H288" s="5" t="e">
        <f>VLOOKUP(A288,N$3:S$1271,5,FALSE)</f>
        <v>#N/A</v>
      </c>
      <c r="I288" s="6">
        <f t="shared" si="17"/>
        <v>5261.6</v>
      </c>
      <c r="J288" s="7">
        <f>VLOOKUP(A288,[1]Sheet!B$3:G$2921,6,0)</f>
        <v>492.49</v>
      </c>
      <c r="K288" s="8" t="e">
        <f t="shared" si="18"/>
        <v>#N/A</v>
      </c>
      <c r="L288" s="6">
        <f t="shared" si="19"/>
        <v>492.49</v>
      </c>
    </row>
    <row r="289" spans="1:12" x14ac:dyDescent="0.25">
      <c r="A289" s="9" t="s">
        <v>288</v>
      </c>
      <c r="B289" s="2" t="str">
        <f>VLOOKUP(A289,[1]Sheet!B$3:G$2921,2,0)</f>
        <v>Монтаж прогонiв iз кроком ферм до 12 м
при висотi будiвлi до 25 м /по
залiзобетонних i кам'яних опорах/ Балка Б1</v>
      </c>
      <c r="C289" s="3" t="str">
        <f>VLOOKUP(A289,[1]Sheet!B$3:G$2921,3,0)</f>
        <v>т</v>
      </c>
      <c r="D289" s="4">
        <v>0</v>
      </c>
      <c r="E289" s="5" t="e">
        <f>VLOOKUP(A289,N$3:S$1271,4,FALSE)</f>
        <v>#N/A</v>
      </c>
      <c r="F289" s="6">
        <f t="shared" si="16"/>
        <v>0</v>
      </c>
      <c r="G289" s="7">
        <f>VLOOKUP(A289,[1]Sheet!B$3:G$2921,5,0)</f>
        <v>5267.52</v>
      </c>
      <c r="H289" s="5" t="e">
        <f>VLOOKUP(A289,N$3:S$1271,5,FALSE)</f>
        <v>#N/A</v>
      </c>
      <c r="I289" s="6">
        <f t="shared" si="17"/>
        <v>5267.52</v>
      </c>
      <c r="J289" s="7">
        <f>VLOOKUP(A289,[1]Sheet!B$3:G$2921,6,0)</f>
        <v>3912.98</v>
      </c>
      <c r="K289" s="8" t="e">
        <f t="shared" si="18"/>
        <v>#N/A</v>
      </c>
      <c r="L289" s="6">
        <f t="shared" si="19"/>
        <v>3912.98</v>
      </c>
    </row>
    <row r="290" spans="1:12" x14ac:dyDescent="0.25">
      <c r="A290" s="9" t="s">
        <v>289</v>
      </c>
      <c r="B290" s="2" t="str">
        <f>VLOOKUP(A290,[1]Sheet!B$3:G$2921,2,0)</f>
        <v>Монтаж сходiв пожежних з огорожею</v>
      </c>
      <c r="C290" s="3" t="str">
        <f>VLOOKUP(A290,[1]Sheet!B$3:G$2921,3,0)</f>
        <v>т</v>
      </c>
      <c r="D290" s="4">
        <v>0.35076000000000002</v>
      </c>
      <c r="E290" s="5" t="e">
        <f>VLOOKUP(A290,N$3:S$1271,4,FALSE)</f>
        <v>#N/A</v>
      </c>
      <c r="F290" s="6">
        <f t="shared" si="16"/>
        <v>0.35076000000000002</v>
      </c>
      <c r="G290" s="7">
        <f>VLOOKUP(A290,[1]Sheet!B$3:G$2921,5,0)</f>
        <v>7081.89</v>
      </c>
      <c r="H290" s="5" t="e">
        <f>VLOOKUP(A290,N$3:S$1271,5,FALSE)</f>
        <v>#N/A</v>
      </c>
      <c r="I290" s="6">
        <f t="shared" si="17"/>
        <v>7081.89</v>
      </c>
      <c r="J290" s="7">
        <f>VLOOKUP(A290,[1]Sheet!B$3:G$2921,6,0)</f>
        <v>2276.83</v>
      </c>
      <c r="K290" s="8" t="e">
        <f t="shared" si="18"/>
        <v>#N/A</v>
      </c>
      <c r="L290" s="6">
        <f t="shared" si="19"/>
        <v>2276.83</v>
      </c>
    </row>
    <row r="291" spans="1:12" x14ac:dyDescent="0.25">
      <c r="A291" s="9" t="s">
        <v>290</v>
      </c>
      <c r="B291" s="2" t="str">
        <f>VLOOKUP(A291,[1]Sheet!B$3:G$2921,2,0)</f>
        <v>Монтаж опорних конструкцiй для
крiплення трубопроводiв всерединi
будiвель i споруд масою до 0,1 т</v>
      </c>
      <c r="C291" s="3" t="str">
        <f>VLOOKUP(A291,[1]Sheet!B$3:G$2921,3,0)</f>
        <v>т</v>
      </c>
      <c r="D291" s="4">
        <v>0.2288</v>
      </c>
      <c r="E291" s="5" t="e">
        <f>VLOOKUP(A291,N$3:S$1271,4,FALSE)</f>
        <v>#N/A</v>
      </c>
      <c r="F291" s="6">
        <f t="shared" si="16"/>
        <v>0.2288</v>
      </c>
      <c r="G291" s="7">
        <f>VLOOKUP(A291,[1]Sheet!B$3:G$2921,5,0)</f>
        <v>10929.5</v>
      </c>
      <c r="H291" s="5" t="e">
        <f>VLOOKUP(A291,N$3:S$1271,5,FALSE)</f>
        <v>#N/A</v>
      </c>
      <c r="I291" s="6">
        <f t="shared" si="17"/>
        <v>10929.5</v>
      </c>
      <c r="J291" s="7">
        <f>VLOOKUP(A291,[1]Sheet!B$3:G$2921,6,0)</f>
        <v>2500.67</v>
      </c>
      <c r="K291" s="8" t="e">
        <f t="shared" si="18"/>
        <v>#N/A</v>
      </c>
      <c r="L291" s="6">
        <f t="shared" si="19"/>
        <v>2500.67</v>
      </c>
    </row>
    <row r="292" spans="1:12" x14ac:dyDescent="0.25">
      <c r="A292" s="9" t="s">
        <v>291</v>
      </c>
      <c r="B292" s="2" t="str">
        <f>VLOOKUP(A292,[1]Sheet!B$3:G$2921,2,0)</f>
        <v>Монтаж пiдвiсок i хомутiв для крiплення
обладнання всерединi будiвель i споруд</v>
      </c>
      <c r="C292" s="3" t="str">
        <f>VLOOKUP(A292,[1]Sheet!B$3:G$2921,3,0)</f>
        <v>т</v>
      </c>
      <c r="D292" s="4">
        <v>0.52408999999999983</v>
      </c>
      <c r="E292" s="5" t="e">
        <f>VLOOKUP(A292,N$3:S$1271,4,FALSE)</f>
        <v>#N/A</v>
      </c>
      <c r="F292" s="6">
        <f t="shared" si="16"/>
        <v>0.52408999999999983</v>
      </c>
      <c r="G292" s="7">
        <f>VLOOKUP(A292,[1]Sheet!B$3:G$2921,5,0)</f>
        <v>12185.94</v>
      </c>
      <c r="H292" s="5" t="e">
        <f>VLOOKUP(A292,N$3:S$1271,5,FALSE)</f>
        <v>#N/A</v>
      </c>
      <c r="I292" s="6">
        <f t="shared" si="17"/>
        <v>12185.94</v>
      </c>
      <c r="J292" s="7">
        <f>VLOOKUP(A292,[1]Sheet!B$3:G$2921,6,0)</f>
        <v>6386.53</v>
      </c>
      <c r="K292" s="8" t="e">
        <f t="shared" si="18"/>
        <v>#N/A</v>
      </c>
      <c r="L292" s="6">
        <f t="shared" si="19"/>
        <v>6386.53</v>
      </c>
    </row>
    <row r="293" spans="1:12" x14ac:dyDescent="0.25">
      <c r="A293" s="9" t="s">
        <v>292</v>
      </c>
      <c r="B293" s="2" t="str">
        <f>VLOOKUP(A293,[1]Sheet!B$3:G$2921,2,0)</f>
        <v>Монтаж опорних конструкцiй
етажеркового типу</v>
      </c>
      <c r="C293" s="3" t="str">
        <f>VLOOKUP(A293,[1]Sheet!B$3:G$2921,3,0)</f>
        <v>т</v>
      </c>
      <c r="D293" s="4">
        <v>0.83942000000000017</v>
      </c>
      <c r="E293" s="5" t="e">
        <f>VLOOKUP(A293,N$3:S$1271,4,FALSE)</f>
        <v>#N/A</v>
      </c>
      <c r="F293" s="6">
        <f t="shared" si="16"/>
        <v>0.83942000000000017</v>
      </c>
      <c r="G293" s="7">
        <f>VLOOKUP(A293,[1]Sheet!B$3:G$2921,5,0)</f>
        <v>4513.5200000000004</v>
      </c>
      <c r="H293" s="5" t="e">
        <f>VLOOKUP(A293,N$3:S$1271,5,FALSE)</f>
        <v>#N/A</v>
      </c>
      <c r="I293" s="6">
        <f t="shared" si="17"/>
        <v>4513.5200000000004</v>
      </c>
      <c r="J293" s="7">
        <f>VLOOKUP(A293,[1]Sheet!B$3:G$2921,6,0)</f>
        <v>218.45</v>
      </c>
      <c r="K293" s="8" t="e">
        <f t="shared" si="18"/>
        <v>#N/A</v>
      </c>
      <c r="L293" s="6">
        <f t="shared" si="19"/>
        <v>218.45</v>
      </c>
    </row>
    <row r="294" spans="1:12" x14ac:dyDescent="0.25">
      <c r="A294" s="9" t="s">
        <v>293</v>
      </c>
      <c r="B294" s="2" t="str">
        <f>VLOOKUP(A294,[1]Sheet!B$3:G$2921,2,0)</f>
        <v>Монтаж вітражей алюмiнiєвих зi склiнням</v>
      </c>
      <c r="C294" s="3" t="str">
        <f>VLOOKUP(A294,[1]Sheet!B$3:G$2921,3,0)</f>
        <v>100м2</v>
      </c>
      <c r="D294" s="4">
        <v>4.8078729999999998</v>
      </c>
      <c r="E294" s="5" t="e">
        <f>VLOOKUP(A294,N$3:S$1271,4,FALSE)</f>
        <v>#N/A</v>
      </c>
      <c r="F294" s="6">
        <f t="shared" si="16"/>
        <v>4.8078729999999998</v>
      </c>
      <c r="G294" s="7">
        <f>VLOOKUP(A294,[1]Sheet!B$3:G$2921,5,0)</f>
        <v>36348.300000000003</v>
      </c>
      <c r="H294" s="5" t="e">
        <f>VLOOKUP(A294,N$3:S$1271,5,FALSE)</f>
        <v>#N/A</v>
      </c>
      <c r="I294" s="6">
        <f t="shared" si="17"/>
        <v>36348.300000000003</v>
      </c>
      <c r="J294" s="7">
        <f>VLOOKUP(A294,[1]Sheet!B$3:G$2921,6,0)</f>
        <v>119778.55</v>
      </c>
      <c r="K294" s="8" t="e">
        <f t="shared" si="18"/>
        <v>#N/A</v>
      </c>
      <c r="L294" s="6">
        <f t="shared" si="19"/>
        <v>119778.55</v>
      </c>
    </row>
    <row r="295" spans="1:12" x14ac:dyDescent="0.25">
      <c r="A295" s="9" t="s">
        <v>294</v>
      </c>
      <c r="B295" s="2" t="str">
        <f>VLOOKUP(A295,[1]Sheet!B$3:G$2921,2,0)</f>
        <v>Монтаж стальних плiнтусiв iз гнутого
профiлю (Улаштування на сходах
противоковзких накладок)</v>
      </c>
      <c r="C295" s="3" t="str">
        <f>VLOOKUP(A295,[1]Sheet!B$3:G$2921,3,0)</f>
        <v>100м</v>
      </c>
      <c r="D295" s="4">
        <v>9.7725000000000009</v>
      </c>
      <c r="E295" s="5" t="e">
        <f>VLOOKUP(A295,N$3:S$1271,4,FALSE)</f>
        <v>#N/A</v>
      </c>
      <c r="F295" s="6">
        <f t="shared" si="16"/>
        <v>9.7725000000000009</v>
      </c>
      <c r="G295" s="7">
        <f>VLOOKUP(A295,[1]Sheet!B$3:G$2921,5,0)</f>
        <v>1434.1</v>
      </c>
      <c r="H295" s="5" t="e">
        <f>VLOOKUP(A295,N$3:S$1271,5,FALSE)</f>
        <v>#N/A</v>
      </c>
      <c r="I295" s="6">
        <f t="shared" si="17"/>
        <v>1434.1</v>
      </c>
      <c r="J295" s="7">
        <f>VLOOKUP(A295,[1]Sheet!B$3:G$2921,6,0)</f>
        <v>286.10000000000002</v>
      </c>
      <c r="K295" s="8" t="e">
        <f t="shared" si="18"/>
        <v>#N/A</v>
      </c>
      <c r="L295" s="6">
        <f t="shared" si="19"/>
        <v>286.10000000000002</v>
      </c>
    </row>
    <row r="296" spans="1:12" x14ac:dyDescent="0.25">
      <c r="A296" s="9" t="s">
        <v>295</v>
      </c>
      <c r="B296" s="2" t="str">
        <f>VLOOKUP(A296,[1]Sheet!B$3:G$2921,2,0)</f>
        <v>Монтаж настилу з профiльованого листа
при висотi будiвлi до 25 м</v>
      </c>
      <c r="C296" s="3" t="str">
        <f>VLOOKUP(A296,[1]Sheet!B$3:G$2921,3,0)</f>
        <v>100м2</v>
      </c>
      <c r="D296" s="4">
        <v>16.225994</v>
      </c>
      <c r="E296" s="5" t="e">
        <f>VLOOKUP(A296,N$3:S$1271,4,FALSE)</f>
        <v>#N/A</v>
      </c>
      <c r="F296" s="6">
        <f t="shared" si="16"/>
        <v>16.225994</v>
      </c>
      <c r="G296" s="7">
        <f>VLOOKUP(A296,[1]Sheet!B$3:G$2921,5,0)</f>
        <v>10060.549999999999</v>
      </c>
      <c r="H296" s="5" t="e">
        <f>VLOOKUP(A296,N$3:S$1271,5,FALSE)</f>
        <v>#N/A</v>
      </c>
      <c r="I296" s="6">
        <f t="shared" si="17"/>
        <v>10060.549999999999</v>
      </c>
      <c r="J296" s="7">
        <f>VLOOKUP(A296,[1]Sheet!B$3:G$2921,6,0)</f>
        <v>17643.63</v>
      </c>
      <c r="K296" s="8" t="e">
        <f t="shared" si="18"/>
        <v>#N/A</v>
      </c>
      <c r="L296" s="6">
        <f t="shared" si="19"/>
        <v>17643.63</v>
      </c>
    </row>
    <row r="297" spans="1:12" x14ac:dyDescent="0.25">
      <c r="A297" s="9" t="s">
        <v>296</v>
      </c>
      <c r="B297" s="2" t="str">
        <f>VLOOKUP(A297,[1]Sheet!B$3:G$2921,2,0)</f>
        <v>Монтаж фахверка</v>
      </c>
      <c r="C297" s="3" t="str">
        <f>VLOOKUP(A297,[1]Sheet!B$3:G$2921,3,0)</f>
        <v>т</v>
      </c>
      <c r="D297" s="4">
        <v>0.12480000000000001</v>
      </c>
      <c r="E297" s="5" t="e">
        <f>VLOOKUP(A297,N$3:S$1271,4,FALSE)</f>
        <v>#N/A</v>
      </c>
      <c r="F297" s="6">
        <f t="shared" si="16"/>
        <v>0.12480000000000001</v>
      </c>
      <c r="G297" s="7">
        <f>VLOOKUP(A297,[1]Sheet!B$3:G$2921,5,0)</f>
        <v>11504.8</v>
      </c>
      <c r="H297" s="5" t="e">
        <f>VLOOKUP(A297,N$3:S$1271,5,FALSE)</f>
        <v>#N/A</v>
      </c>
      <c r="I297" s="6">
        <f t="shared" si="17"/>
        <v>11504.8</v>
      </c>
      <c r="J297" s="7">
        <f>VLOOKUP(A297,[1]Sheet!B$3:G$2921,6,0)</f>
        <v>1435.8</v>
      </c>
      <c r="K297" s="8" t="e">
        <f t="shared" si="18"/>
        <v>#N/A</v>
      </c>
      <c r="L297" s="6">
        <f t="shared" si="19"/>
        <v>1435.8</v>
      </c>
    </row>
    <row r="298" spans="1:12" x14ac:dyDescent="0.25">
      <c r="A298" s="9" t="s">
        <v>297</v>
      </c>
      <c r="B298" s="2" t="str">
        <f>VLOOKUP(A298,[1]Sheet!B$3:G$2921,2,0)</f>
        <v>Монтаж фахверка /по залiзобетонних i
кам'яних опорах/</v>
      </c>
      <c r="C298" s="3" t="str">
        <f>VLOOKUP(A298,[1]Sheet!B$3:G$2921,3,0)</f>
        <v>т</v>
      </c>
      <c r="D298" s="4">
        <v>9.2800000000000007E-2</v>
      </c>
      <c r="E298" s="5" t="e">
        <f>VLOOKUP(A298,N$3:S$1271,4,FALSE)</f>
        <v>#N/A</v>
      </c>
      <c r="F298" s="6">
        <f t="shared" si="16"/>
        <v>9.2800000000000007E-2</v>
      </c>
      <c r="G298" s="7">
        <f>VLOOKUP(A298,[1]Sheet!B$3:G$2921,5,0)</f>
        <v>11859.53</v>
      </c>
      <c r="H298" s="5" t="e">
        <f>VLOOKUP(A298,N$3:S$1271,5,FALSE)</f>
        <v>#N/A</v>
      </c>
      <c r="I298" s="6">
        <f t="shared" si="17"/>
        <v>11859.53</v>
      </c>
      <c r="J298" s="7">
        <f>VLOOKUP(A298,[1]Sheet!B$3:G$2921,6,0)</f>
        <v>1100.56</v>
      </c>
      <c r="K298" s="8" t="e">
        <f t="shared" si="18"/>
        <v>#N/A</v>
      </c>
      <c r="L298" s="6">
        <f t="shared" si="19"/>
        <v>1100.56</v>
      </c>
    </row>
    <row r="299" spans="1:12" x14ac:dyDescent="0.25">
      <c r="A299" s="9" t="s">
        <v>298</v>
      </c>
      <c r="B299" s="2" t="str">
        <f>VLOOKUP(A299,[1]Sheet!B$3:G$2921,2,0)</f>
        <v>Обшивка стальним профiльованим листом</v>
      </c>
      <c r="C299" s="3" t="str">
        <f>VLOOKUP(A299,[1]Sheet!B$3:G$2921,3,0)</f>
        <v>100м2</v>
      </c>
      <c r="D299" s="4">
        <v>2.0303</v>
      </c>
      <c r="E299" s="5" t="e">
        <f>VLOOKUP(A299,N$3:S$1271,4,FALSE)</f>
        <v>#N/A</v>
      </c>
      <c r="F299" s="6">
        <f t="shared" si="16"/>
        <v>2.0303</v>
      </c>
      <c r="G299" s="7">
        <f>VLOOKUP(A299,[1]Sheet!B$3:G$2921,5,0)</f>
        <v>3131.26</v>
      </c>
      <c r="H299" s="5" t="e">
        <f>VLOOKUP(A299,N$3:S$1271,5,FALSE)</f>
        <v>#N/A</v>
      </c>
      <c r="I299" s="6">
        <f t="shared" si="17"/>
        <v>3131.26</v>
      </c>
      <c r="J299" s="7">
        <f>VLOOKUP(A299,[1]Sheet!B$3:G$2921,6,0)</f>
        <v>3757.51</v>
      </c>
      <c r="K299" s="8" t="e">
        <f t="shared" si="18"/>
        <v>#N/A</v>
      </c>
      <c r="L299" s="6">
        <f t="shared" si="19"/>
        <v>3757.51</v>
      </c>
    </row>
    <row r="300" spans="1:12" x14ac:dyDescent="0.25">
      <c r="A300" s="9" t="s">
        <v>299</v>
      </c>
      <c r="B300" s="2" t="str">
        <f>VLOOKUP(A300,[1]Sheet!B$3:G$2921,2,0)</f>
        <v>Демонтаж обшивки стін профiльованим
листом</v>
      </c>
      <c r="C300" s="3" t="str">
        <f>VLOOKUP(A300,[1]Sheet!B$3:G$2921,3,0)</f>
        <v>100м2</v>
      </c>
      <c r="D300" s="4">
        <v>2.1629999999999998</v>
      </c>
      <c r="E300" s="5" t="e">
        <f>VLOOKUP(A300,N$3:S$1271,4,FALSE)</f>
        <v>#N/A</v>
      </c>
      <c r="F300" s="6">
        <f t="shared" si="16"/>
        <v>2.1629999999999998</v>
      </c>
      <c r="G300" s="7">
        <f>VLOOKUP(A300,[1]Sheet!B$3:G$2921,5,0)</f>
        <v>2411.06</v>
      </c>
      <c r="H300" s="5" t="e">
        <f>VLOOKUP(A300,N$3:S$1271,5,FALSE)</f>
        <v>#N/A</v>
      </c>
      <c r="I300" s="6">
        <f t="shared" si="17"/>
        <v>2411.06</v>
      </c>
      <c r="J300" s="7">
        <f>VLOOKUP(A300,[1]Sheet!B$3:G$2921,6,0)</f>
        <v>5215.12</v>
      </c>
      <c r="K300" s="8" t="e">
        <f t="shared" si="18"/>
        <v>#N/A</v>
      </c>
      <c r="L300" s="6">
        <f t="shared" si="19"/>
        <v>5215.12</v>
      </c>
    </row>
    <row r="301" spans="1:12" x14ac:dyDescent="0.25">
      <c r="A301" s="9" t="s">
        <v>300</v>
      </c>
      <c r="B301" s="2" t="str">
        <f>VLOOKUP(A301,[1]Sheet!B$3:G$2921,2,0)</f>
        <v>Електродугове зварювання при монтажi
каркасiв одноповерхових виробничих
будiвель</v>
      </c>
      <c r="C301" s="3" t="str">
        <f>VLOOKUP(A301,[1]Sheet!B$3:G$2921,3,0)</f>
        <v>т</v>
      </c>
      <c r="D301" s="4">
        <v>86.423969999999997</v>
      </c>
      <c r="E301" s="5" t="e">
        <f>VLOOKUP(A301,N$3:S$1271,4,FALSE)</f>
        <v>#N/A</v>
      </c>
      <c r="F301" s="6">
        <f t="shared" si="16"/>
        <v>86.423969999999997</v>
      </c>
      <c r="G301" s="7">
        <f>VLOOKUP(A301,[1]Sheet!B$3:G$2921,5,0)</f>
        <v>842.71</v>
      </c>
      <c r="H301" s="5" t="e">
        <f>VLOOKUP(A301,N$3:S$1271,5,FALSE)</f>
        <v>#N/A</v>
      </c>
      <c r="I301" s="6">
        <f t="shared" si="17"/>
        <v>842.71</v>
      </c>
      <c r="J301" s="7">
        <f>VLOOKUP(A301,[1]Sheet!B$3:G$2921,6,0)</f>
        <v>823.81</v>
      </c>
      <c r="K301" s="8" t="e">
        <f t="shared" si="18"/>
        <v>#N/A</v>
      </c>
      <c r="L301" s="6">
        <f t="shared" si="19"/>
        <v>823.81</v>
      </c>
    </row>
    <row r="302" spans="1:12" x14ac:dyDescent="0.25">
      <c r="A302" s="9" t="s">
        <v>301</v>
      </c>
      <c r="B302" s="2" t="str">
        <f>VLOOKUP(A302,[1]Sheet!B$3:G$2921,2,0)</f>
        <v>Електродугове зварювання при монтажi
опорних частин каркасiв [стійки, балки]
одноповерхових виробничих будiвель</v>
      </c>
      <c r="C302" s="3" t="str">
        <f>VLOOKUP(A302,[1]Sheet!B$3:G$2921,3,0)</f>
        <v>т</v>
      </c>
      <c r="D302" s="4">
        <v>3.43</v>
      </c>
      <c r="E302" s="5" t="e">
        <f>VLOOKUP(A302,N$3:S$1271,4,FALSE)</f>
        <v>#N/A</v>
      </c>
      <c r="F302" s="6">
        <f t="shared" si="16"/>
        <v>3.43</v>
      </c>
      <c r="G302" s="7">
        <f>VLOOKUP(A302,[1]Sheet!B$3:G$2921,5,0)</f>
        <v>368.11</v>
      </c>
      <c r="H302" s="5" t="e">
        <f>VLOOKUP(A302,N$3:S$1271,5,FALSE)</f>
        <v>#N/A</v>
      </c>
      <c r="I302" s="6">
        <f t="shared" si="17"/>
        <v>368.11</v>
      </c>
      <c r="J302" s="7">
        <f>VLOOKUP(A302,[1]Sheet!B$3:G$2921,6,0)</f>
        <v>1262.6199999999999</v>
      </c>
      <c r="K302" s="8" t="e">
        <f t="shared" si="18"/>
        <v>#N/A</v>
      </c>
      <c r="L302" s="6">
        <f t="shared" si="19"/>
        <v>1262.6199999999999</v>
      </c>
    </row>
    <row r="303" spans="1:12" x14ac:dyDescent="0.25">
      <c r="A303" s="9" t="s">
        <v>302</v>
      </c>
      <c r="B303" s="2" t="str">
        <f>VLOOKUP(A303,[1]Sheet!B$3:G$2921,2,0)</f>
        <v>Ставлення болтiв будiвельних з гайками й
шайбами</v>
      </c>
      <c r="C303" s="3" t="str">
        <f>VLOOKUP(A303,[1]Sheet!B$3:G$2921,3,0)</f>
        <v>100шт</v>
      </c>
      <c r="D303" s="4">
        <v>2.8</v>
      </c>
      <c r="E303" s="5" t="e">
        <f>VLOOKUP(A303,N$3:S$1271,4,FALSE)</f>
        <v>#N/A</v>
      </c>
      <c r="F303" s="6">
        <f t="shared" si="16"/>
        <v>2.8</v>
      </c>
      <c r="G303" s="7">
        <f>VLOOKUP(A303,[1]Sheet!B$3:G$2921,5,0)</f>
        <v>1394.03</v>
      </c>
      <c r="H303" s="5" t="e">
        <f>VLOOKUP(A303,N$3:S$1271,5,FALSE)</f>
        <v>#N/A</v>
      </c>
      <c r="I303" s="6">
        <f t="shared" si="17"/>
        <v>1394.03</v>
      </c>
      <c r="J303" s="7">
        <f>VLOOKUP(A303,[1]Sheet!B$3:G$2921,6,0)</f>
        <v>3903.28</v>
      </c>
      <c r="K303" s="8" t="e">
        <f t="shared" si="18"/>
        <v>#N/A</v>
      </c>
      <c r="L303" s="6">
        <f t="shared" si="19"/>
        <v>3903.28</v>
      </c>
    </row>
    <row r="304" spans="1:12" x14ac:dyDescent="0.25">
      <c r="A304" s="9" t="s">
        <v>303</v>
      </c>
      <c r="B304" s="2" t="str">
        <f>VLOOKUP(A304,[1]Sheet!B$3:G$2921,2,0)</f>
        <v>Рiзання стального профiльованого
настилу</v>
      </c>
      <c r="C304" s="3" t="str">
        <f>VLOOKUP(A304,[1]Sheet!B$3:G$2921,3,0)</f>
        <v>1м рiза</v>
      </c>
      <c r="D304" s="4">
        <v>1.3</v>
      </c>
      <c r="E304" s="5" t="e">
        <f>VLOOKUP(A304,N$3:S$1271,4,FALSE)</f>
        <v>#N/A</v>
      </c>
      <c r="F304" s="6">
        <f t="shared" si="16"/>
        <v>1.3</v>
      </c>
      <c r="G304" s="7">
        <f>VLOOKUP(A304,[1]Sheet!B$3:G$2921,5,0)</f>
        <v>49.23</v>
      </c>
      <c r="H304" s="5" t="e">
        <f>VLOOKUP(A304,N$3:S$1271,5,FALSE)</f>
        <v>#N/A</v>
      </c>
      <c r="I304" s="6">
        <f t="shared" si="17"/>
        <v>49.23</v>
      </c>
      <c r="J304" s="7">
        <f>VLOOKUP(A304,[1]Sheet!B$3:G$2921,6,0)</f>
        <v>64</v>
      </c>
      <c r="K304" s="8" t="e">
        <f t="shared" si="18"/>
        <v>#N/A</v>
      </c>
      <c r="L304" s="6">
        <f t="shared" si="19"/>
        <v>64</v>
      </c>
    </row>
    <row r="305" spans="1:12" x14ac:dyDescent="0.25">
      <c r="A305" s="9" t="s">
        <v>304</v>
      </c>
      <c r="B305" s="2" t="str">
        <f>VLOOKUP(A305,[1]Sheet!B$3:G$2921,2,0)</f>
        <v>Монтаж конструкцiй люкiв</v>
      </c>
      <c r="C305" s="3" t="str">
        <f>VLOOKUP(A305,[1]Sheet!B$3:G$2921,3,0)</f>
        <v>т</v>
      </c>
      <c r="D305" s="4">
        <v>0.22943</v>
      </c>
      <c r="E305" s="5" t="e">
        <f>VLOOKUP(A305,N$3:S$1271,4,FALSE)</f>
        <v>#N/A</v>
      </c>
      <c r="F305" s="6">
        <f t="shared" si="16"/>
        <v>0.22943</v>
      </c>
      <c r="G305" s="7">
        <f>VLOOKUP(A305,[1]Sheet!B$3:G$2921,5,0)</f>
        <v>9371.3799999999992</v>
      </c>
      <c r="H305" s="5" t="e">
        <f>VLOOKUP(A305,N$3:S$1271,5,FALSE)</f>
        <v>#N/A</v>
      </c>
      <c r="I305" s="6">
        <f t="shared" si="17"/>
        <v>9371.3799999999992</v>
      </c>
      <c r="J305" s="7">
        <f>VLOOKUP(A305,[1]Sheet!B$3:G$2921,6,0)</f>
        <v>662.37</v>
      </c>
      <c r="K305" s="8" t="e">
        <f t="shared" si="18"/>
        <v>#N/A</v>
      </c>
      <c r="L305" s="6">
        <f t="shared" si="19"/>
        <v>662.37</v>
      </c>
    </row>
    <row r="306" spans="1:12" x14ac:dyDescent="0.25">
      <c r="A306" s="9" t="s">
        <v>305</v>
      </c>
      <c r="B306" s="2" t="str">
        <f>VLOOKUP(A306,[1]Sheet!B$3:G$2921,2,0)</f>
        <v>Монтаж вентиляційних стаканів з
листової сталi</v>
      </c>
      <c r="C306" s="3" t="str">
        <f>VLOOKUP(A306,[1]Sheet!B$3:G$2921,3,0)</f>
        <v>т</v>
      </c>
      <c r="D306" s="4">
        <v>0.1673</v>
      </c>
      <c r="E306" s="5" t="e">
        <f>VLOOKUP(A306,N$3:S$1271,4,FALSE)</f>
        <v>#N/A</v>
      </c>
      <c r="F306" s="6">
        <f t="shared" si="16"/>
        <v>0.1673</v>
      </c>
      <c r="G306" s="7">
        <f>VLOOKUP(A306,[1]Sheet!B$3:G$2921,5,0)</f>
        <v>9057.06</v>
      </c>
      <c r="H306" s="5" t="e">
        <f>VLOOKUP(A306,N$3:S$1271,5,FALSE)</f>
        <v>#N/A</v>
      </c>
      <c r="I306" s="6">
        <f t="shared" si="17"/>
        <v>9057.06</v>
      </c>
      <c r="J306" s="7">
        <f>VLOOKUP(A306,[1]Sheet!B$3:G$2921,6,0)</f>
        <v>1515.25</v>
      </c>
      <c r="K306" s="8" t="e">
        <f t="shared" si="18"/>
        <v>#N/A</v>
      </c>
      <c r="L306" s="6">
        <f t="shared" si="19"/>
        <v>1515.25</v>
      </c>
    </row>
    <row r="307" spans="1:12" x14ac:dyDescent="0.25">
      <c r="A307" s="9" t="s">
        <v>306</v>
      </c>
      <c r="B307" s="2" t="str">
        <f>VLOOKUP(A307,[1]Sheet!B$3:G$2921,2,0)</f>
        <v>Опори пiд трубопроводи, опорнi частини,
сiдла, кронштейни, хомути</v>
      </c>
      <c r="C307" s="3" t="str">
        <f>VLOOKUP(A307,[1]Sheet!B$3:G$2921,3,0)</f>
        <v>т</v>
      </c>
      <c r="D307" s="4">
        <v>6.7540000000000003E-2</v>
      </c>
      <c r="E307" s="5" t="e">
        <f>VLOOKUP(A307,N$3:S$1271,4,FALSE)</f>
        <v>#N/A</v>
      </c>
      <c r="F307" s="6">
        <f t="shared" si="16"/>
        <v>6.7540000000000003E-2</v>
      </c>
      <c r="G307" s="7">
        <f>VLOOKUP(A307,[1]Sheet!B$3:G$2921,5,0)</f>
        <v>3385.87</v>
      </c>
      <c r="H307" s="5" t="e">
        <f>VLOOKUP(A307,N$3:S$1271,5,FALSE)</f>
        <v>#N/A</v>
      </c>
      <c r="I307" s="6">
        <f t="shared" si="17"/>
        <v>3385.87</v>
      </c>
      <c r="J307" s="7">
        <f>VLOOKUP(A307,[1]Sheet!B$3:G$2921,6,0)</f>
        <v>228.68</v>
      </c>
      <c r="K307" s="8" t="e">
        <f t="shared" si="18"/>
        <v>#N/A</v>
      </c>
      <c r="L307" s="6">
        <f t="shared" si="19"/>
        <v>228.68</v>
      </c>
    </row>
    <row r="308" spans="1:12" x14ac:dyDescent="0.25">
      <c r="A308" s="9" t="s">
        <v>307</v>
      </c>
      <c r="B308" s="2" t="str">
        <f>VLOOKUP(A308,[1]Sheet!B$3:G$2921,2,0)</f>
        <v>Опори пiд трубопроводи, опорнi частини,
сiдла, кронштейни, хомути</v>
      </c>
      <c r="C308" s="3" t="str">
        <f>VLOOKUP(A308,[1]Sheet!B$3:G$2921,3,0)</f>
        <v>т</v>
      </c>
      <c r="D308" s="4">
        <v>0.10400000000000001</v>
      </c>
      <c r="E308" s="5" t="e">
        <f>VLOOKUP(A308,N$3:S$1271,4,FALSE)</f>
        <v>#N/A</v>
      </c>
      <c r="F308" s="6">
        <f t="shared" si="16"/>
        <v>0.10400000000000001</v>
      </c>
      <c r="G308" s="7">
        <f>VLOOKUP(A308,[1]Sheet!B$3:G$2921,5,0)</f>
        <v>15192.71</v>
      </c>
      <c r="H308" s="5" t="e">
        <f>VLOOKUP(A308,N$3:S$1271,5,FALSE)</f>
        <v>#N/A</v>
      </c>
      <c r="I308" s="6">
        <f t="shared" si="17"/>
        <v>15192.71</v>
      </c>
      <c r="J308" s="7">
        <f>VLOOKUP(A308,[1]Sheet!B$3:G$2921,6,0)</f>
        <v>1580.04</v>
      </c>
      <c r="K308" s="8" t="e">
        <f t="shared" si="18"/>
        <v>#N/A</v>
      </c>
      <c r="L308" s="6">
        <f t="shared" si="19"/>
        <v>1580.04</v>
      </c>
    </row>
    <row r="309" spans="1:12" x14ac:dyDescent="0.25">
      <c r="A309" s="9" t="s">
        <v>308</v>
      </c>
      <c r="B309" s="2" t="str">
        <f>VLOOKUP(A309,[1]Sheet!B$3:G$2921,2,0)</f>
        <v>Улаштування перегородок у душових</v>
      </c>
      <c r="C309" s="3" t="str">
        <f>VLOOKUP(A309,[1]Sheet!B$3:G$2921,3,0)</f>
        <v>100м2</v>
      </c>
      <c r="D309" s="4">
        <v>0.252</v>
      </c>
      <c r="E309" s="5" t="e">
        <f>VLOOKUP(A309,N$3:S$1271,4,FALSE)</f>
        <v>#N/A</v>
      </c>
      <c r="F309" s="6">
        <f t="shared" si="16"/>
        <v>0.252</v>
      </c>
      <c r="G309" s="7">
        <f>VLOOKUP(A309,[1]Sheet!B$3:G$2921,5,0)</f>
        <v>9009.1</v>
      </c>
      <c r="H309" s="5" t="e">
        <f>VLOOKUP(A309,N$3:S$1271,5,FALSE)</f>
        <v>#N/A</v>
      </c>
      <c r="I309" s="6">
        <f t="shared" si="17"/>
        <v>9009.1</v>
      </c>
      <c r="J309" s="7">
        <f>VLOOKUP(A309,[1]Sheet!B$3:G$2921,6,0)</f>
        <v>2270.29</v>
      </c>
      <c r="K309" s="8" t="e">
        <f t="shared" si="18"/>
        <v>#N/A</v>
      </c>
      <c r="L309" s="6">
        <f t="shared" si="19"/>
        <v>2270.29</v>
      </c>
    </row>
    <row r="310" spans="1:12" x14ac:dyDescent="0.25">
      <c r="A310" s="9" t="s">
        <v>309</v>
      </c>
      <c r="B310" s="2" t="str">
        <f>VLOOKUP(A310,[1]Sheet!B$3:G$2921,2,0)</f>
        <v>Установлення вiконних блокiв зi спареними
рамами у кам'яних стiнах житлових i
громадських будiвель при площi прорiзу до
2 м2</v>
      </c>
      <c r="C310" s="3" t="str">
        <f>VLOOKUP(A310,[1]Sheet!B$3:G$2921,3,0)</f>
        <v>100м2</v>
      </c>
      <c r="D310" s="4">
        <v>0.23170000000000002</v>
      </c>
      <c r="E310" s="5" t="e">
        <f>VLOOKUP(A310,N$3:S$1271,4,FALSE)</f>
        <v>#N/A</v>
      </c>
      <c r="F310" s="6">
        <f t="shared" si="16"/>
        <v>0.23170000000000002</v>
      </c>
      <c r="G310" s="7">
        <f>VLOOKUP(A310,[1]Sheet!B$3:G$2921,5,0)</f>
        <v>26542.84</v>
      </c>
      <c r="H310" s="5" t="e">
        <f>VLOOKUP(A310,N$3:S$1271,5,FALSE)</f>
        <v>#N/A</v>
      </c>
      <c r="I310" s="6">
        <f t="shared" si="17"/>
        <v>26542.84</v>
      </c>
      <c r="J310" s="7">
        <f>VLOOKUP(A310,[1]Sheet!B$3:G$2921,6,0)</f>
        <v>6149.98</v>
      </c>
      <c r="K310" s="8" t="e">
        <f t="shared" si="18"/>
        <v>#N/A</v>
      </c>
      <c r="L310" s="6">
        <f t="shared" si="19"/>
        <v>6149.98</v>
      </c>
    </row>
    <row r="311" spans="1:12" x14ac:dyDescent="0.25">
      <c r="A311" s="9" t="s">
        <v>310</v>
      </c>
      <c r="B311" s="2" t="str">
        <f>VLOOKUP(A311,[1]Sheet!B$3:G$2921,2,0)</f>
        <v>Заповнення вiконних прорiзiв готовими
блоками площею до 1 м2 з
металопластику в кам'яних стiнах
житлових і громадських будівель</v>
      </c>
      <c r="C311" s="3" t="str">
        <f>VLOOKUP(A311,[1]Sheet!B$3:G$2921,3,0)</f>
        <v>100м2</v>
      </c>
      <c r="D311" s="4">
        <v>5.5000000000000005E-3</v>
      </c>
      <c r="E311" s="5" t="e">
        <f>VLOOKUP(A311,N$3:S$1271,4,FALSE)</f>
        <v>#N/A</v>
      </c>
      <c r="F311" s="6">
        <f t="shared" si="16"/>
        <v>5.5000000000000005E-3</v>
      </c>
      <c r="G311" s="7">
        <f>VLOOKUP(A311,[1]Sheet!B$3:G$2921,5,0)</f>
        <v>13822.42</v>
      </c>
      <c r="H311" s="5" t="e">
        <f>VLOOKUP(A311,N$3:S$1271,5,FALSE)</f>
        <v>#N/A</v>
      </c>
      <c r="I311" s="6">
        <f t="shared" si="17"/>
        <v>13822.42</v>
      </c>
      <c r="J311" s="7">
        <f>VLOOKUP(A311,[1]Sheet!B$3:G$2921,6,0)</f>
        <v>76.02</v>
      </c>
      <c r="K311" s="8" t="e">
        <f t="shared" si="18"/>
        <v>#N/A</v>
      </c>
      <c r="L311" s="6">
        <f t="shared" si="19"/>
        <v>76.02</v>
      </c>
    </row>
    <row r="312" spans="1:12" x14ac:dyDescent="0.25">
      <c r="A312" s="9" t="s">
        <v>311</v>
      </c>
      <c r="B312" s="2" t="str">
        <f>VLOOKUP(A312,[1]Sheet!B$3:G$2921,2,0)</f>
        <v>Заповнення вiконних прорiзiв готовими
блоками площею до 2 м2 з
металопластику в кам'яних стiнах
житлових і громадських будівель</v>
      </c>
      <c r="C312" s="3" t="str">
        <f>VLOOKUP(A312,[1]Sheet!B$3:G$2921,3,0)</f>
        <v>100м2</v>
      </c>
      <c r="D312" s="4">
        <v>4.8600000000000004E-2</v>
      </c>
      <c r="E312" s="5" t="e">
        <f>VLOOKUP(A312,N$3:S$1271,4,FALSE)</f>
        <v>#N/A</v>
      </c>
      <c r="F312" s="6">
        <f t="shared" si="16"/>
        <v>4.8600000000000004E-2</v>
      </c>
      <c r="G312" s="7">
        <f>VLOOKUP(A312,[1]Sheet!B$3:G$2921,5,0)</f>
        <v>10942.49</v>
      </c>
      <c r="H312" s="5" t="e">
        <f>VLOOKUP(A312,N$3:S$1271,5,FALSE)</f>
        <v>#N/A</v>
      </c>
      <c r="I312" s="6">
        <f t="shared" si="17"/>
        <v>10942.49</v>
      </c>
      <c r="J312" s="7">
        <f>VLOOKUP(A312,[1]Sheet!B$3:G$2921,6,0)</f>
        <v>531.80999999999995</v>
      </c>
      <c r="K312" s="8" t="e">
        <f t="shared" si="18"/>
        <v>#N/A</v>
      </c>
      <c r="L312" s="6">
        <f t="shared" si="19"/>
        <v>531.80999999999995</v>
      </c>
    </row>
    <row r="313" spans="1:12" x14ac:dyDescent="0.25">
      <c r="A313" s="9" t="s">
        <v>312</v>
      </c>
      <c r="B313" s="2" t="str">
        <f>VLOOKUP(A313,[1]Sheet!B$3:G$2921,2,0)</f>
        <v>Заповнення вiконних прорiзiв готовими
блоками площею до 3 м2 з
металопластику в кам'яних стiнах
житлових і громадських будівель</v>
      </c>
      <c r="C313" s="3" t="str">
        <f>VLOOKUP(A313,[1]Sheet!B$3:G$2921,3,0)</f>
        <v>100м2</v>
      </c>
      <c r="D313" s="4">
        <v>0.40410000000000001</v>
      </c>
      <c r="E313" s="5" t="e">
        <f>VLOOKUP(A313,N$3:S$1271,4,FALSE)</f>
        <v>#N/A</v>
      </c>
      <c r="F313" s="6">
        <f t="shared" si="16"/>
        <v>0.40410000000000001</v>
      </c>
      <c r="G313" s="7">
        <f>VLOOKUP(A313,[1]Sheet!B$3:G$2921,5,0)</f>
        <v>8293.7999999999993</v>
      </c>
      <c r="H313" s="5" t="e">
        <f>VLOOKUP(A313,N$3:S$1271,5,FALSE)</f>
        <v>#N/A</v>
      </c>
      <c r="I313" s="6">
        <f t="shared" si="17"/>
        <v>8293.7999999999993</v>
      </c>
      <c r="J313" s="7">
        <f>VLOOKUP(A313,[1]Sheet!B$3:G$2921,6,0)</f>
        <v>3351.52</v>
      </c>
      <c r="K313" s="8" t="e">
        <f t="shared" si="18"/>
        <v>#N/A</v>
      </c>
      <c r="L313" s="6">
        <f t="shared" si="19"/>
        <v>3351.52</v>
      </c>
    </row>
    <row r="314" spans="1:12" x14ac:dyDescent="0.25">
      <c r="A314" s="9" t="s">
        <v>313</v>
      </c>
      <c r="B314" s="2" t="str">
        <f>VLOOKUP(A314,[1]Sheet!B$3:G$2921,2,0)</f>
        <v>Улаштування перегородок з
металопластику з матовим склінням</v>
      </c>
      <c r="C314" s="3" t="str">
        <f>VLOOKUP(A314,[1]Sheet!B$3:G$2921,3,0)</f>
        <v>100м2</v>
      </c>
      <c r="D314" s="4">
        <v>0.107</v>
      </c>
      <c r="E314" s="5" t="e">
        <f>VLOOKUP(A314,N$3:S$1271,4,FALSE)</f>
        <v>#N/A</v>
      </c>
      <c r="F314" s="6">
        <f t="shared" si="16"/>
        <v>0.107</v>
      </c>
      <c r="G314" s="7">
        <f>VLOOKUP(A314,[1]Sheet!B$3:G$2921,5,0)</f>
        <v>6968.62</v>
      </c>
      <c r="H314" s="5" t="e">
        <f>VLOOKUP(A314,N$3:S$1271,5,FALSE)</f>
        <v>#N/A</v>
      </c>
      <c r="I314" s="6">
        <f t="shared" si="17"/>
        <v>6968.62</v>
      </c>
      <c r="J314" s="7">
        <f>VLOOKUP(A314,[1]Sheet!B$3:G$2921,6,0)</f>
        <v>745.64</v>
      </c>
      <c r="K314" s="8" t="e">
        <f t="shared" si="18"/>
        <v>#N/A</v>
      </c>
      <c r="L314" s="6">
        <f t="shared" si="19"/>
        <v>745.64</v>
      </c>
    </row>
    <row r="315" spans="1:12" x14ac:dyDescent="0.25">
      <c r="A315" s="9" t="s">
        <v>314</v>
      </c>
      <c r="B315" s="2" t="str">
        <f>VLOOKUP(A315,[1]Sheet!B$3:G$2921,2,0)</f>
        <v>Демонтаж віконного блоку площею бiльше
3 м2 з металлопластику</v>
      </c>
      <c r="C315" s="3" t="str">
        <f>VLOOKUP(A315,[1]Sheet!B$3:G$2921,3,0)</f>
        <v>100м2</v>
      </c>
      <c r="D315" s="4">
        <v>4.5900000000000003E-2</v>
      </c>
      <c r="E315" s="5" t="e">
        <f>VLOOKUP(A315,N$3:S$1271,4,FALSE)</f>
        <v>#N/A</v>
      </c>
      <c r="F315" s="6">
        <f t="shared" si="16"/>
        <v>4.5900000000000003E-2</v>
      </c>
      <c r="G315" s="7">
        <f>VLOOKUP(A315,[1]Sheet!B$3:G$2921,5,0)</f>
        <v>5062.49</v>
      </c>
      <c r="H315" s="5" t="e">
        <f>VLOOKUP(A315,N$3:S$1271,5,FALSE)</f>
        <v>#N/A</v>
      </c>
      <c r="I315" s="6">
        <f t="shared" si="17"/>
        <v>5062.49</v>
      </c>
      <c r="J315" s="7">
        <f>VLOOKUP(A315,[1]Sheet!B$3:G$2921,6,0)</f>
        <v>232.37</v>
      </c>
      <c r="K315" s="8" t="e">
        <f t="shared" si="18"/>
        <v>#N/A</v>
      </c>
      <c r="L315" s="6">
        <f t="shared" si="19"/>
        <v>232.37</v>
      </c>
    </row>
    <row r="316" spans="1:12" x14ac:dyDescent="0.25">
      <c r="A316" s="9" t="s">
        <v>315</v>
      </c>
      <c r="B316" s="2" t="str">
        <f>VLOOKUP(A316,[1]Sheet!B$3:G$2921,2,0)</f>
        <v>Установлення пластикових пiдвiконних
дошок</v>
      </c>
      <c r="C316" s="3" t="str">
        <f>VLOOKUP(A316,[1]Sheet!B$3:G$2921,3,0)</f>
        <v>100м</v>
      </c>
      <c r="D316" s="4">
        <v>0.108</v>
      </c>
      <c r="E316" s="5" t="e">
        <f>VLOOKUP(A316,N$3:S$1271,4,FALSE)</f>
        <v>#N/A</v>
      </c>
      <c r="F316" s="6">
        <f t="shared" si="16"/>
        <v>0.108</v>
      </c>
      <c r="G316" s="7">
        <f>VLOOKUP(A316,[1]Sheet!B$3:G$2921,5,0)</f>
        <v>2021.69</v>
      </c>
      <c r="H316" s="5" t="e">
        <f>VLOOKUP(A316,N$3:S$1271,5,FALSE)</f>
        <v>#N/A</v>
      </c>
      <c r="I316" s="6">
        <f t="shared" si="17"/>
        <v>2021.69</v>
      </c>
      <c r="J316" s="7">
        <f>VLOOKUP(A316,[1]Sheet!B$3:G$2921,6,0)</f>
        <v>218.34</v>
      </c>
      <c r="K316" s="8" t="e">
        <f t="shared" si="18"/>
        <v>#N/A</v>
      </c>
      <c r="L316" s="6">
        <f t="shared" si="19"/>
        <v>218.34</v>
      </c>
    </row>
    <row r="317" spans="1:12" x14ac:dyDescent="0.25">
      <c r="A317" s="9" t="s">
        <v>316</v>
      </c>
      <c r="B317" s="2" t="str">
        <f>VLOOKUP(A317,[1]Sheet!B$3:G$2921,2,0)</f>
        <v>Установлення дверних блокiв у
перегородках i дерев'яних нерублених
стiнах, площа прорiзу до 3 м2</v>
      </c>
      <c r="C317" s="3" t="str">
        <f>VLOOKUP(A317,[1]Sheet!B$3:G$2921,3,0)</f>
        <v>100м2</v>
      </c>
      <c r="D317" s="4">
        <v>1.4700000000000001E-2</v>
      </c>
      <c r="E317" s="5" t="e">
        <f>VLOOKUP(A317,N$3:S$1271,4,FALSE)</f>
        <v>#N/A</v>
      </c>
      <c r="F317" s="6">
        <f t="shared" si="16"/>
        <v>1.4700000000000001E-2</v>
      </c>
      <c r="G317" s="7">
        <f>VLOOKUP(A317,[1]Sheet!B$3:G$2921,5,0)</f>
        <v>12845.83</v>
      </c>
      <c r="H317" s="5" t="e">
        <f>VLOOKUP(A317,N$3:S$1271,5,FALSE)</f>
        <v>#N/A</v>
      </c>
      <c r="I317" s="6">
        <f t="shared" si="17"/>
        <v>12845.83</v>
      </c>
      <c r="J317" s="7">
        <f>VLOOKUP(A317,[1]Sheet!B$3:G$2921,6,0)</f>
        <v>188.83</v>
      </c>
      <c r="K317" s="8" t="e">
        <f t="shared" si="18"/>
        <v>#N/A</v>
      </c>
      <c r="L317" s="6">
        <f t="shared" si="19"/>
        <v>188.83</v>
      </c>
    </row>
    <row r="318" spans="1:12" x14ac:dyDescent="0.25">
      <c r="A318" s="9" t="s">
        <v>317</v>
      </c>
      <c r="B318" s="2" t="str">
        <f>VLOOKUP(A318,[1]Sheet!B$3:G$2921,2,0)</f>
        <v>Заповнення дверних прорізів ламінованими
дверними блоками із застосуванням
анкерів і монтажної піни, серія блоку ДГ-21-
7</v>
      </c>
      <c r="C318" s="3" t="str">
        <f>VLOOKUP(A318,[1]Sheet!B$3:G$2921,3,0)</f>
        <v>1 блок</v>
      </c>
      <c r="D318" s="4">
        <v>20</v>
      </c>
      <c r="E318" s="5" t="e">
        <f>VLOOKUP(A318,N$3:S$1271,4,FALSE)</f>
        <v>#N/A</v>
      </c>
      <c r="F318" s="6">
        <f t="shared" si="16"/>
        <v>20</v>
      </c>
      <c r="G318" s="7">
        <f>VLOOKUP(A318,[1]Sheet!B$3:G$2921,5,0)</f>
        <v>356.53</v>
      </c>
      <c r="H318" s="5" t="e">
        <f>VLOOKUP(A318,N$3:S$1271,5,FALSE)</f>
        <v>#N/A</v>
      </c>
      <c r="I318" s="6">
        <f t="shared" si="17"/>
        <v>356.53</v>
      </c>
      <c r="J318" s="7">
        <f>VLOOKUP(A318,[1]Sheet!B$3:G$2921,6,0)</f>
        <v>7130.6</v>
      </c>
      <c r="K318" s="8" t="e">
        <f t="shared" si="18"/>
        <v>#N/A</v>
      </c>
      <c r="L318" s="6">
        <f t="shared" si="19"/>
        <v>7130.6</v>
      </c>
    </row>
    <row r="319" spans="1:12" x14ac:dyDescent="0.25">
      <c r="A319" s="9" t="s">
        <v>318</v>
      </c>
      <c r="B319" s="2" t="str">
        <f>VLOOKUP(A319,[1]Sheet!B$3:G$2921,2,0)</f>
        <v>Заповнення дверних прорізів ламінованими
дверними блоками із застосуванням
анкерів і монтажної піни, серія блоку ДГ-21-
9</v>
      </c>
      <c r="C319" s="3" t="str">
        <f>VLOOKUP(A319,[1]Sheet!B$3:G$2921,3,0)</f>
        <v>1 блок</v>
      </c>
      <c r="D319" s="4">
        <v>18</v>
      </c>
      <c r="E319" s="5" t="e">
        <f>VLOOKUP(A319,N$3:S$1271,4,FALSE)</f>
        <v>#N/A</v>
      </c>
      <c r="F319" s="6">
        <f t="shared" si="16"/>
        <v>18</v>
      </c>
      <c r="G319" s="7">
        <f>VLOOKUP(A319,[1]Sheet!B$3:G$2921,5,0)</f>
        <v>367.84</v>
      </c>
      <c r="H319" s="5" t="e">
        <f>VLOOKUP(A319,N$3:S$1271,5,FALSE)</f>
        <v>#N/A</v>
      </c>
      <c r="I319" s="6">
        <f t="shared" si="17"/>
        <v>367.84</v>
      </c>
      <c r="J319" s="7">
        <f>VLOOKUP(A319,[1]Sheet!B$3:G$2921,6,0)</f>
        <v>6621.12</v>
      </c>
      <c r="K319" s="8" t="e">
        <f t="shared" si="18"/>
        <v>#N/A</v>
      </c>
      <c r="L319" s="6">
        <f t="shared" si="19"/>
        <v>6621.12</v>
      </c>
    </row>
    <row r="320" spans="1:12" x14ac:dyDescent="0.25">
      <c r="A320" s="9" t="s">
        <v>319</v>
      </c>
      <c r="B320" s="2" t="str">
        <f>VLOOKUP(A320,[1]Sheet!B$3:G$2921,2,0)</f>
        <v>Заповнення дверних прорізів ламінованими
дверними блоками із застосуванням
анкерів і монтажної піни, серія блоку ДО-21-
13</v>
      </c>
      <c r="C320" s="3" t="str">
        <f>VLOOKUP(A320,[1]Sheet!B$3:G$2921,3,0)</f>
        <v>1 блок</v>
      </c>
      <c r="D320" s="4">
        <v>6</v>
      </c>
      <c r="E320" s="5" t="e">
        <f>VLOOKUP(A320,N$3:S$1271,4,FALSE)</f>
        <v>#N/A</v>
      </c>
      <c r="F320" s="6">
        <f t="shared" si="16"/>
        <v>6</v>
      </c>
      <c r="G320" s="7">
        <f>VLOOKUP(A320,[1]Sheet!B$3:G$2921,5,0)</f>
        <v>525.1</v>
      </c>
      <c r="H320" s="5" t="e">
        <f>VLOOKUP(A320,N$3:S$1271,5,FALSE)</f>
        <v>#N/A</v>
      </c>
      <c r="I320" s="6">
        <f t="shared" si="17"/>
        <v>525.1</v>
      </c>
      <c r="J320" s="7">
        <f>VLOOKUP(A320,[1]Sheet!B$3:G$2921,6,0)</f>
        <v>3150.6</v>
      </c>
      <c r="K320" s="8" t="e">
        <f t="shared" si="18"/>
        <v>#N/A</v>
      </c>
      <c r="L320" s="6">
        <f t="shared" si="19"/>
        <v>3150.6</v>
      </c>
    </row>
    <row r="321" spans="1:12" x14ac:dyDescent="0.25">
      <c r="A321" s="9" t="s">
        <v>320</v>
      </c>
      <c r="B321" s="2" t="str">
        <f>VLOOKUP(A321,[1]Sheet!B$3:G$2921,2,0)</f>
        <v>Установлення шаф</v>
      </c>
      <c r="C321" s="3" t="str">
        <f>VLOOKUP(A321,[1]Sheet!B$3:G$2921,3,0)</f>
        <v>100шт</v>
      </c>
      <c r="D321" s="4">
        <v>0.05</v>
      </c>
      <c r="E321" s="5" t="e">
        <f>VLOOKUP(A321,N$3:S$1271,4,FALSE)</f>
        <v>#N/A</v>
      </c>
      <c r="F321" s="6">
        <f t="shared" si="16"/>
        <v>0.05</v>
      </c>
      <c r="G321" s="7">
        <f>VLOOKUP(A321,[1]Sheet!B$3:G$2921,5,0)</f>
        <v>22470.12</v>
      </c>
      <c r="H321" s="5" t="e">
        <f>VLOOKUP(A321,N$3:S$1271,5,FALSE)</f>
        <v>#N/A</v>
      </c>
      <c r="I321" s="6">
        <f t="shared" si="17"/>
        <v>22470.12</v>
      </c>
      <c r="J321" s="7">
        <f>VLOOKUP(A321,[1]Sheet!B$3:G$2921,6,0)</f>
        <v>1123.51</v>
      </c>
      <c r="K321" s="8" t="e">
        <f t="shared" si="18"/>
        <v>#N/A</v>
      </c>
      <c r="L321" s="6">
        <f t="shared" si="19"/>
        <v>1123.51</v>
      </c>
    </row>
    <row r="322" spans="1:12" x14ac:dyDescent="0.25">
      <c r="A322" s="9" t="s">
        <v>321</v>
      </c>
      <c r="B322" s="2" t="str">
        <f>VLOOKUP(A322,[1]Sheet!B$3:G$2921,2,0)</f>
        <v>Установлення елементiв каркаса з брусiв</v>
      </c>
      <c r="C322" s="3" t="str">
        <f>VLOOKUP(A322,[1]Sheet!B$3:G$2921,3,0)</f>
        <v>м3</v>
      </c>
      <c r="D322" s="4">
        <v>9.9143999999999996E-2</v>
      </c>
      <c r="E322" s="5" t="e">
        <f>VLOOKUP(A322,N$3:S$1271,4,FALSE)</f>
        <v>#N/A</v>
      </c>
      <c r="F322" s="6">
        <f t="shared" ref="F322:F385" si="20">IFERROR(D322-E322,D322)</f>
        <v>9.9143999999999996E-2</v>
      </c>
      <c r="G322" s="7">
        <f>VLOOKUP(A322,[1]Sheet!B$3:G$2921,5,0)</f>
        <v>2673.44</v>
      </c>
      <c r="H322" s="5" t="e">
        <f>VLOOKUP(A322,N$3:S$1271,5,FALSE)</f>
        <v>#N/A</v>
      </c>
      <c r="I322" s="6">
        <f t="shared" ref="I322:I385" si="21">IFERROR(G322-H322,G322)</f>
        <v>2673.44</v>
      </c>
      <c r="J322" s="7">
        <f>VLOOKUP(A322,[1]Sheet!B$3:G$2921,6,0)</f>
        <v>265.06</v>
      </c>
      <c r="K322" s="8" t="e">
        <f t="shared" ref="K322:K385" si="22">VLOOKUP(A322,N$3:S$1271,6,FALSE)</f>
        <v>#N/A</v>
      </c>
      <c r="L322" s="6">
        <f t="shared" ref="L322:L385" si="23">IFERROR(J322-K322,J322)</f>
        <v>265.06</v>
      </c>
    </row>
    <row r="323" spans="1:12" x14ac:dyDescent="0.25">
      <c r="A323" s="9" t="s">
        <v>322</v>
      </c>
      <c r="B323" s="2" t="str">
        <f>VLOOKUP(A323,[1]Sheet!B$3:G$2921,2,0)</f>
        <v>Вогнезахист дерев'яних конструкцiй ферм,
арок, балок, крокв, мауерлатiв</v>
      </c>
      <c r="C323" s="3" t="str">
        <f>VLOOKUP(A323,[1]Sheet!B$3:G$2921,3,0)</f>
        <v>10м3</v>
      </c>
      <c r="D323" s="4">
        <v>6.1150000000000003E-2</v>
      </c>
      <c r="E323" s="5" t="e">
        <f>VLOOKUP(A323,N$3:S$1271,4,FALSE)</f>
        <v>#N/A</v>
      </c>
      <c r="F323" s="6">
        <f t="shared" si="20"/>
        <v>6.1150000000000003E-2</v>
      </c>
      <c r="G323" s="7">
        <f>VLOOKUP(A323,[1]Sheet!B$3:G$2921,5,0)</f>
        <v>790.2</v>
      </c>
      <c r="H323" s="5" t="e">
        <f>VLOOKUP(A323,N$3:S$1271,5,FALSE)</f>
        <v>#N/A</v>
      </c>
      <c r="I323" s="6">
        <f t="shared" si="21"/>
        <v>790.2</v>
      </c>
      <c r="J323" s="7">
        <f>VLOOKUP(A323,[1]Sheet!B$3:G$2921,6,0)</f>
        <v>14.22</v>
      </c>
      <c r="K323" s="8" t="e">
        <f t="shared" si="22"/>
        <v>#N/A</v>
      </c>
      <c r="L323" s="6">
        <f t="shared" si="23"/>
        <v>14.22</v>
      </c>
    </row>
    <row r="324" spans="1:12" x14ac:dyDescent="0.25">
      <c r="A324" s="9" t="s">
        <v>323</v>
      </c>
      <c r="B324" s="2" t="str">
        <f>VLOOKUP(A324,[1]Sheet!B$3:G$2921,2,0)</f>
        <v>Обшивання каркасних стiн дошками
обшивки</v>
      </c>
      <c r="C324" s="3" t="str">
        <f>VLOOKUP(A324,[1]Sheet!B$3:G$2921,3,0)</f>
        <v>100м2</v>
      </c>
      <c r="D324" s="4">
        <v>8.9599999999999992E-3</v>
      </c>
      <c r="E324" s="5" t="e">
        <f>VLOOKUP(A324,N$3:S$1271,4,FALSE)</f>
        <v>#N/A</v>
      </c>
      <c r="F324" s="6">
        <f t="shared" si="20"/>
        <v>8.9599999999999992E-3</v>
      </c>
      <c r="G324" s="7">
        <f>VLOOKUP(A324,[1]Sheet!B$3:G$2921,5,0)</f>
        <v>3629.68</v>
      </c>
      <c r="H324" s="5" t="e">
        <f>VLOOKUP(A324,N$3:S$1271,5,FALSE)</f>
        <v>#N/A</v>
      </c>
      <c r="I324" s="6">
        <f t="shared" si="21"/>
        <v>3629.68</v>
      </c>
      <c r="J324" s="7">
        <f>VLOOKUP(A324,[1]Sheet!B$3:G$2921,6,0)</f>
        <v>32.520000000000003</v>
      </c>
      <c r="K324" s="8" t="e">
        <f t="shared" si="22"/>
        <v>#N/A</v>
      </c>
      <c r="L324" s="6">
        <f t="shared" si="23"/>
        <v>32.520000000000003</v>
      </c>
    </row>
    <row r="325" spans="1:12" x14ac:dyDescent="0.25">
      <c r="A325" s="9" t="s">
        <v>324</v>
      </c>
      <c r="B325" s="2" t="str">
        <f>VLOOKUP(A325,[1]Sheet!B$3:G$2921,2,0)</f>
        <v>Обшивання каркасних стiн плитами OSB-3
товщ.12мм</v>
      </c>
      <c r="C325" s="3" t="str">
        <f>VLOOKUP(A325,[1]Sheet!B$3:G$2921,3,0)</f>
        <v>100м2</v>
      </c>
      <c r="D325" s="4">
        <v>0.22700000000000001</v>
      </c>
      <c r="E325" s="5" t="e">
        <f>VLOOKUP(A325,N$3:S$1271,4,FALSE)</f>
        <v>#N/A</v>
      </c>
      <c r="F325" s="6">
        <f t="shared" si="20"/>
        <v>0.22700000000000001</v>
      </c>
      <c r="G325" s="7">
        <f>VLOOKUP(A325,[1]Sheet!B$3:G$2921,5,0)</f>
        <v>2057.61</v>
      </c>
      <c r="H325" s="5" t="e">
        <f>VLOOKUP(A325,N$3:S$1271,5,FALSE)</f>
        <v>#N/A</v>
      </c>
      <c r="I325" s="6">
        <f t="shared" si="21"/>
        <v>2057.61</v>
      </c>
      <c r="J325" s="7">
        <f>VLOOKUP(A325,[1]Sheet!B$3:G$2921,6,0)</f>
        <v>467.08</v>
      </c>
      <c r="K325" s="8" t="e">
        <f t="shared" si="22"/>
        <v>#N/A</v>
      </c>
      <c r="L325" s="6">
        <f t="shared" si="23"/>
        <v>467.08</v>
      </c>
    </row>
    <row r="326" spans="1:12" x14ac:dyDescent="0.25">
      <c r="A326" s="9" t="s">
        <v>325</v>
      </c>
      <c r="B326" s="2" t="str">
        <f>VLOOKUP(A326,[1]Sheet!B$3:G$2921,2,0)</f>
        <v>Улаштування перегородок на металевому
однорядному каркасі з обшивкою
гіпсокартонними листами або
гіпсоволокнистими плитами в один шар з
ізоляцією у житлових і громадських
будівлях</v>
      </c>
      <c r="C326" s="3" t="str">
        <f>VLOOKUP(A326,[1]Sheet!B$3:G$2921,3,0)</f>
        <v>100м2</v>
      </c>
      <c r="D326" s="4">
        <v>3.8570000000000002</v>
      </c>
      <c r="E326" s="5" t="e">
        <f>VLOOKUP(A326,N$3:S$1271,4,FALSE)</f>
        <v>#N/A</v>
      </c>
      <c r="F326" s="6">
        <f t="shared" si="20"/>
        <v>3.8570000000000002</v>
      </c>
      <c r="G326" s="7">
        <f>VLOOKUP(A326,[1]Sheet!B$3:G$2921,5,0)</f>
        <v>21035.39</v>
      </c>
      <c r="H326" s="5" t="e">
        <f>VLOOKUP(A326,N$3:S$1271,5,FALSE)</f>
        <v>#N/A</v>
      </c>
      <c r="I326" s="6">
        <f t="shared" si="21"/>
        <v>21035.39</v>
      </c>
      <c r="J326" s="7">
        <f>VLOOKUP(A326,[1]Sheet!B$3:G$2921,6,0)</f>
        <v>41019.01</v>
      </c>
      <c r="K326" s="8" t="e">
        <f t="shared" si="22"/>
        <v>#N/A</v>
      </c>
      <c r="L326" s="6">
        <f t="shared" si="23"/>
        <v>41019.01</v>
      </c>
    </row>
    <row r="327" spans="1:12" x14ac:dyDescent="0.25">
      <c r="A327" s="9" t="s">
        <v>326</v>
      </c>
      <c r="B327" s="2" t="str">
        <f>VLOOKUP(A327,[1]Sheet!B$3:G$2921,2,0)</f>
        <v>Улаштування перегородок на металевому
однорядному каркасі з обшивкою
гіпсокартонними листами або
гіпсоволокнистими плитами у два шари з
ізоляцією у житлових і громадських
будівлях</v>
      </c>
      <c r="C327" s="3" t="str">
        <f>VLOOKUP(A327,[1]Sheet!B$3:G$2921,3,0)</f>
        <v>100м2</v>
      </c>
      <c r="D327" s="4">
        <v>6.601</v>
      </c>
      <c r="E327" s="5" t="e">
        <f>VLOOKUP(A327,N$3:S$1271,4,FALSE)</f>
        <v>#N/A</v>
      </c>
      <c r="F327" s="6">
        <f t="shared" si="20"/>
        <v>6.601</v>
      </c>
      <c r="G327" s="7">
        <f>VLOOKUP(A327,[1]Sheet!B$3:G$2921,5,0)</f>
        <v>27558.06</v>
      </c>
      <c r="H327" s="5" t="e">
        <f>VLOOKUP(A327,N$3:S$1271,5,FALSE)</f>
        <v>#N/A</v>
      </c>
      <c r="I327" s="6">
        <f t="shared" si="21"/>
        <v>27558.06</v>
      </c>
      <c r="J327" s="7">
        <f>VLOOKUP(A327,[1]Sheet!B$3:G$2921,6,0)</f>
        <v>156722.69</v>
      </c>
      <c r="K327" s="8" t="e">
        <f t="shared" si="22"/>
        <v>#N/A</v>
      </c>
      <c r="L327" s="6">
        <f t="shared" si="23"/>
        <v>156722.69</v>
      </c>
    </row>
    <row r="328" spans="1:12" x14ac:dyDescent="0.25">
      <c r="A328" s="9" t="s">
        <v>327</v>
      </c>
      <c r="B328" s="2" t="str">
        <f>VLOOKUP(A328,[1]Sheet!B$3:G$2921,2,0)</f>
        <v>Улаштування перегородок на металевому
дворядному каркасі з обшивкою
гіпсокартонними листами або
гіпсоволокнистими плитами у два шари з
ізоляцією у житлових і громадських
будівлях</v>
      </c>
      <c r="C328" s="3" t="str">
        <f>VLOOKUP(A328,[1]Sheet!B$3:G$2921,3,0)</f>
        <v>100м2</v>
      </c>
      <c r="D328" s="4">
        <v>0.15</v>
      </c>
      <c r="E328" s="5" t="e">
        <f>VLOOKUP(A328,N$3:S$1271,4,FALSE)</f>
        <v>#N/A</v>
      </c>
      <c r="F328" s="6">
        <f t="shared" si="20"/>
        <v>0.15</v>
      </c>
      <c r="G328" s="7">
        <f>VLOOKUP(A328,[1]Sheet!B$3:G$2921,5,0)</f>
        <v>33424.269999999997</v>
      </c>
      <c r="H328" s="5" t="e">
        <f>VLOOKUP(A328,N$3:S$1271,5,FALSE)</f>
        <v>#N/A</v>
      </c>
      <c r="I328" s="6">
        <f t="shared" si="21"/>
        <v>33424.269999999997</v>
      </c>
      <c r="J328" s="7">
        <f>VLOOKUP(A328,[1]Sheet!B$3:G$2921,6,0)</f>
        <v>5013.6400000000003</v>
      </c>
      <c r="K328" s="8" t="e">
        <f t="shared" si="22"/>
        <v>#N/A</v>
      </c>
      <c r="L328" s="6">
        <f t="shared" si="23"/>
        <v>5013.6400000000003</v>
      </c>
    </row>
    <row r="329" spans="1:12" x14ac:dyDescent="0.25">
      <c r="A329" s="9" t="s">
        <v>328</v>
      </c>
      <c r="B329" s="2" t="str">
        <f>VLOOKUP(A329,[1]Sheet!B$3:G$2921,2,0)</f>
        <v>Оформлення [оброблення] дверних прорізів
у перегородках з каркасом із сталевих
профілів</v>
      </c>
      <c r="C329" s="3" t="str">
        <f>VLOOKUP(A329,[1]Sheet!B$3:G$2921,3,0)</f>
        <v>100 м</v>
      </c>
      <c r="D329" s="4">
        <v>2.1629999999999998</v>
      </c>
      <c r="E329" s="5" t="e">
        <f>VLOOKUP(A329,N$3:S$1271,4,FALSE)</f>
        <v>#N/A</v>
      </c>
      <c r="F329" s="6">
        <f t="shared" si="20"/>
        <v>2.1629999999999998</v>
      </c>
      <c r="G329" s="7">
        <f>VLOOKUP(A329,[1]Sheet!B$3:G$2921,5,0)</f>
        <v>1239.06</v>
      </c>
      <c r="H329" s="5" t="e">
        <f>VLOOKUP(A329,N$3:S$1271,5,FALSE)</f>
        <v>#N/A</v>
      </c>
      <c r="I329" s="6">
        <f t="shared" si="21"/>
        <v>1239.06</v>
      </c>
      <c r="J329" s="7">
        <f>VLOOKUP(A329,[1]Sheet!B$3:G$2921,6,0)</f>
        <v>2680.09</v>
      </c>
      <c r="K329" s="8" t="e">
        <f t="shared" si="22"/>
        <v>#N/A</v>
      </c>
      <c r="L329" s="6">
        <f t="shared" si="23"/>
        <v>2680.09</v>
      </c>
    </row>
    <row r="330" spans="1:12" x14ac:dyDescent="0.25">
      <c r="A330" s="9" t="s">
        <v>329</v>
      </c>
      <c r="B330" s="2" t="str">
        <f>VLOOKUP(A330,[1]Sheet!B$3:G$2921,2,0)</f>
        <v>Установлення металевих дверних коробок
iз навiшуванням дверних полотен</v>
      </c>
      <c r="C330" s="3" t="str">
        <f>VLOOKUP(A330,[1]Sheet!B$3:G$2921,3,0)</f>
        <v>100м2</v>
      </c>
      <c r="D330" s="4">
        <v>0.19950000000000004</v>
      </c>
      <c r="E330" s="5" t="e">
        <f>VLOOKUP(A330,N$3:S$1271,4,FALSE)</f>
        <v>#N/A</v>
      </c>
      <c r="F330" s="6">
        <f t="shared" si="20"/>
        <v>0.19950000000000004</v>
      </c>
      <c r="G330" s="7">
        <f>VLOOKUP(A330,[1]Sheet!B$3:G$2921,5,0)</f>
        <v>17131.34</v>
      </c>
      <c r="H330" s="5" t="e">
        <f>VLOOKUP(A330,N$3:S$1271,5,FALSE)</f>
        <v>#N/A</v>
      </c>
      <c r="I330" s="6">
        <f t="shared" si="21"/>
        <v>17131.34</v>
      </c>
      <c r="J330" s="7">
        <f>VLOOKUP(A330,[1]Sheet!B$3:G$2921,6,0)</f>
        <v>1043.3</v>
      </c>
      <c r="K330" s="8" t="e">
        <f t="shared" si="22"/>
        <v>#N/A</v>
      </c>
      <c r="L330" s="6">
        <f t="shared" si="23"/>
        <v>1043.3</v>
      </c>
    </row>
    <row r="331" spans="1:12" x14ac:dyDescent="0.25">
      <c r="A331" s="9" t="s">
        <v>330</v>
      </c>
      <c r="B331" s="2" t="str">
        <f>VLOOKUP(A331,[1]Sheet!B$3:G$2921,2,0)</f>
        <v>Улаштування стяжок цементних
товщиною 20 мм</v>
      </c>
      <c r="C331" s="3" t="str">
        <f>VLOOKUP(A331,[1]Sheet!B$3:G$2921,3,0)</f>
        <v>100м2</v>
      </c>
      <c r="D331" s="4">
        <v>0.55320000000000003</v>
      </c>
      <c r="E331" s="5" t="e">
        <f>VLOOKUP(A331,N$3:S$1271,4,FALSE)</f>
        <v>#N/A</v>
      </c>
      <c r="F331" s="6">
        <f t="shared" si="20"/>
        <v>0.55320000000000003</v>
      </c>
      <c r="G331" s="7">
        <f>VLOOKUP(A331,[1]Sheet!B$3:G$2921,5,0)</f>
        <v>9656.26</v>
      </c>
      <c r="H331" s="5" t="e">
        <f>VLOOKUP(A331,N$3:S$1271,5,FALSE)</f>
        <v>#N/A</v>
      </c>
      <c r="I331" s="6">
        <f t="shared" si="21"/>
        <v>9656.26</v>
      </c>
      <c r="J331" s="7">
        <f>VLOOKUP(A331,[1]Sheet!B$3:G$2921,6,0)</f>
        <v>1917.73</v>
      </c>
      <c r="K331" s="8" t="e">
        <f t="shared" si="22"/>
        <v>#N/A</v>
      </c>
      <c r="L331" s="6">
        <f t="shared" si="23"/>
        <v>1917.73</v>
      </c>
    </row>
    <row r="332" spans="1:12" x14ac:dyDescent="0.25">
      <c r="A332" s="9" t="s">
        <v>331</v>
      </c>
      <c r="B332" s="2" t="str">
        <f>VLOOKUP(A332,[1]Sheet!B$3:G$2921,2,0)</f>
        <v>Улаштування стяжок самовирівнювальних
з суміші Cerezit CN-72 товщиною 5 мм</v>
      </c>
      <c r="C332" s="3" t="str">
        <f>VLOOKUP(A332,[1]Sheet!B$3:G$2921,3,0)</f>
        <v>100м2</v>
      </c>
      <c r="D332" s="4">
        <v>1.2624</v>
      </c>
      <c r="E332" s="5" t="e">
        <f>VLOOKUP(A332,N$3:S$1271,4,FALSE)</f>
        <v>#N/A</v>
      </c>
      <c r="F332" s="6">
        <f t="shared" si="20"/>
        <v>1.2624</v>
      </c>
      <c r="G332" s="7">
        <f>VLOOKUP(A332,[1]Sheet!B$3:G$2921,5,0)</f>
        <v>34485.279999999999</v>
      </c>
      <c r="H332" s="5" t="e">
        <f>VLOOKUP(A332,N$3:S$1271,5,FALSE)</f>
        <v>#N/A</v>
      </c>
      <c r="I332" s="6">
        <f t="shared" si="21"/>
        <v>34485.279999999999</v>
      </c>
      <c r="J332" s="7">
        <f>VLOOKUP(A332,[1]Sheet!B$3:G$2921,6,0)</f>
        <v>43534.22</v>
      </c>
      <c r="K332" s="8" t="e">
        <f t="shared" si="22"/>
        <v>#N/A</v>
      </c>
      <c r="L332" s="6">
        <f t="shared" si="23"/>
        <v>43534.22</v>
      </c>
    </row>
    <row r="333" spans="1:12" x14ac:dyDescent="0.25">
      <c r="A333" s="9" t="s">
        <v>332</v>
      </c>
      <c r="B333" s="2" t="str">
        <f>VLOOKUP(A333,[1]Sheet!B$3:G$2921,2,0)</f>
        <v>Додавати або виключати на кожний 1 мм
товщини стяжок самовирівнювальних з
суміші Cerezit CN-72</v>
      </c>
      <c r="C333" s="3" t="str">
        <f>VLOOKUP(A333,[1]Sheet!B$3:G$2921,3,0)</f>
        <v>100м2</v>
      </c>
      <c r="D333" s="4">
        <v>1.2624</v>
      </c>
      <c r="E333" s="5" t="e">
        <f>VLOOKUP(A333,N$3:S$1271,4,FALSE)</f>
        <v>#N/A</v>
      </c>
      <c r="F333" s="6">
        <f t="shared" si="20"/>
        <v>1.2624</v>
      </c>
      <c r="G333" s="7">
        <f>VLOOKUP(A333,[1]Sheet!B$3:G$2921,5,0)</f>
        <v>8904.73</v>
      </c>
      <c r="H333" s="5" t="e">
        <f>VLOOKUP(A333,N$3:S$1271,5,FALSE)</f>
        <v>#N/A</v>
      </c>
      <c r="I333" s="6">
        <f t="shared" si="21"/>
        <v>8904.73</v>
      </c>
      <c r="J333" s="7">
        <f>VLOOKUP(A333,[1]Sheet!B$3:G$2921,6,0)</f>
        <v>11241.33</v>
      </c>
      <c r="K333" s="8" t="e">
        <f t="shared" si="22"/>
        <v>#N/A</v>
      </c>
      <c r="L333" s="6">
        <f t="shared" si="23"/>
        <v>11241.33</v>
      </c>
    </row>
    <row r="334" spans="1:12" x14ac:dyDescent="0.25">
      <c r="A334" s="9" t="s">
        <v>333</v>
      </c>
      <c r="B334" s="2" t="str">
        <f>VLOOKUP(A334,[1]Sheet!B$3:G$2921,2,0)</f>
        <v>Улаштування стяжок з плит
деревноволокнистих</v>
      </c>
      <c r="C334" s="3" t="str">
        <f>VLOOKUP(A334,[1]Sheet!B$3:G$2921,3,0)</f>
        <v>100м2</v>
      </c>
      <c r="D334" s="4">
        <v>3.45</v>
      </c>
      <c r="E334" s="5" t="e">
        <f>VLOOKUP(A334,N$3:S$1271,4,FALSE)</f>
        <v>#N/A</v>
      </c>
      <c r="F334" s="6">
        <f t="shared" si="20"/>
        <v>3.45</v>
      </c>
      <c r="G334" s="7">
        <f>VLOOKUP(A334,[1]Sheet!B$3:G$2921,5,0)</f>
        <v>682.28</v>
      </c>
      <c r="H334" s="5" t="e">
        <f>VLOOKUP(A334,N$3:S$1271,5,FALSE)</f>
        <v>#N/A</v>
      </c>
      <c r="I334" s="6">
        <f t="shared" si="21"/>
        <v>682.28</v>
      </c>
      <c r="J334" s="7">
        <f>VLOOKUP(A334,[1]Sheet!B$3:G$2921,6,0)</f>
        <v>2353.87</v>
      </c>
      <c r="K334" s="8" t="e">
        <f t="shared" si="22"/>
        <v>#N/A</v>
      </c>
      <c r="L334" s="6">
        <f t="shared" si="23"/>
        <v>2353.87</v>
      </c>
    </row>
    <row r="335" spans="1:12" x14ac:dyDescent="0.25">
      <c r="A335" s="9" t="s">
        <v>334</v>
      </c>
      <c r="B335" s="2" t="str">
        <f>VLOOKUP(A335,[1]Sheet!B$3:G$2921,2,0)</f>
        <v>Додавати на кожнi 5 мм змiни товщини
стяжок цементних до товщини 30мм</v>
      </c>
      <c r="C335" s="3" t="str">
        <f>VLOOKUP(A335,[1]Sheet!B$3:G$2921,3,0)</f>
        <v>100м2</v>
      </c>
      <c r="D335" s="4">
        <v>0.17419999999999999</v>
      </c>
      <c r="E335" s="5" t="e">
        <f>VLOOKUP(A335,N$3:S$1271,4,FALSE)</f>
        <v>#N/A</v>
      </c>
      <c r="F335" s="6">
        <f t="shared" si="20"/>
        <v>0.17419999999999999</v>
      </c>
      <c r="G335" s="7">
        <f>VLOOKUP(A335,[1]Sheet!B$3:G$2921,5,0)</f>
        <v>258.5</v>
      </c>
      <c r="H335" s="5" t="e">
        <f>VLOOKUP(A335,N$3:S$1271,5,FALSE)</f>
        <v>#N/A</v>
      </c>
      <c r="I335" s="6">
        <f t="shared" si="21"/>
        <v>258.5</v>
      </c>
      <c r="J335" s="7">
        <f>VLOOKUP(A335,[1]Sheet!B$3:G$2921,6,0)</f>
        <v>0.47</v>
      </c>
      <c r="K335" s="8" t="e">
        <f t="shared" si="22"/>
        <v>#N/A</v>
      </c>
      <c r="L335" s="6">
        <f t="shared" si="23"/>
        <v>0.47</v>
      </c>
    </row>
    <row r="336" spans="1:12" x14ac:dyDescent="0.25">
      <c r="A336" s="9" t="s">
        <v>335</v>
      </c>
      <c r="B336" s="2" t="str">
        <f>VLOOKUP(A336,[1]Sheet!B$3:G$2921,2,0)</f>
        <v>Додавати на кожнi 5 мм змiни товщини
стяжок цементних до товщ.50 мм</v>
      </c>
      <c r="C336" s="3" t="str">
        <f>VLOOKUP(A336,[1]Sheet!B$3:G$2921,3,0)</f>
        <v>100м2</v>
      </c>
      <c r="D336" s="4">
        <v>0.20660000000000001</v>
      </c>
      <c r="E336" s="5" t="e">
        <f>VLOOKUP(A336,N$3:S$1271,4,FALSE)</f>
        <v>#N/A</v>
      </c>
      <c r="F336" s="6">
        <f t="shared" si="20"/>
        <v>0.20660000000000001</v>
      </c>
      <c r="G336" s="7">
        <f>VLOOKUP(A336,[1]Sheet!B$3:G$2921,5,0)</f>
        <v>9769.52</v>
      </c>
      <c r="H336" s="5" t="e">
        <f>VLOOKUP(A336,N$3:S$1271,5,FALSE)</f>
        <v>#N/A</v>
      </c>
      <c r="I336" s="6">
        <f t="shared" si="21"/>
        <v>9769.52</v>
      </c>
      <c r="J336" s="7">
        <f>VLOOKUP(A336,[1]Sheet!B$3:G$2921,6,0)</f>
        <v>1940.23</v>
      </c>
      <c r="K336" s="8" t="e">
        <f t="shared" si="22"/>
        <v>#N/A</v>
      </c>
      <c r="L336" s="6">
        <f t="shared" si="23"/>
        <v>1940.23</v>
      </c>
    </row>
    <row r="337" spans="1:12" x14ac:dyDescent="0.25">
      <c r="A337" s="9" t="s">
        <v>336</v>
      </c>
      <c r="B337" s="2" t="str">
        <f>VLOOKUP(A337,[1]Sheet!B$3:G$2921,2,0)</f>
        <v>Улаштування стяжок бетонних
товщиною 20 мм</v>
      </c>
      <c r="C337" s="3" t="str">
        <f>VLOOKUP(A337,[1]Sheet!B$3:G$2921,3,0)</f>
        <v>100м2</v>
      </c>
      <c r="D337" s="4">
        <v>15.722799999999998</v>
      </c>
      <c r="E337" s="5" t="e">
        <f>VLOOKUP(A337,N$3:S$1271,4,FALSE)</f>
        <v>#N/A</v>
      </c>
      <c r="F337" s="6">
        <f t="shared" si="20"/>
        <v>15.722799999999998</v>
      </c>
      <c r="G337" s="7">
        <f>VLOOKUP(A337,[1]Sheet!B$3:G$2921,5,0)</f>
        <v>7428.84</v>
      </c>
      <c r="H337" s="5" t="e">
        <f>VLOOKUP(A337,N$3:S$1271,5,FALSE)</f>
        <v>#N/A</v>
      </c>
      <c r="I337" s="6">
        <f t="shared" si="21"/>
        <v>7428.84</v>
      </c>
      <c r="J337" s="7">
        <f>VLOOKUP(A337,[1]Sheet!B$3:G$2921,6,0)</f>
        <v>44971.23</v>
      </c>
      <c r="K337" s="8" t="e">
        <f t="shared" si="22"/>
        <v>#N/A</v>
      </c>
      <c r="L337" s="6">
        <f t="shared" si="23"/>
        <v>44971.23</v>
      </c>
    </row>
    <row r="338" spans="1:12" x14ac:dyDescent="0.25">
      <c r="A338" s="9" t="s">
        <v>337</v>
      </c>
      <c r="B338" s="2" t="str">
        <f>VLOOKUP(A338,[1]Sheet!B$3:G$2921,2,0)</f>
        <v>Додавати або виключати на кожнi 5 мм
змiни товщини бетонних стяжок до товщ.
80 мм</v>
      </c>
      <c r="C338" s="3" t="str">
        <f>VLOOKUP(A338,[1]Sheet!B$3:G$2921,3,0)</f>
        <v>100м2</v>
      </c>
      <c r="D338" s="4">
        <v>0.54510000000000003</v>
      </c>
      <c r="E338" s="5" t="e">
        <f>VLOOKUP(A338,N$3:S$1271,4,FALSE)</f>
        <v>#N/A</v>
      </c>
      <c r="F338" s="6">
        <f t="shared" si="20"/>
        <v>0.54510000000000003</v>
      </c>
      <c r="G338" s="7">
        <f>VLOOKUP(A338,[1]Sheet!B$3:G$2921,5,0)</f>
        <v>18834.3</v>
      </c>
      <c r="H338" s="5" t="e">
        <f>VLOOKUP(A338,N$3:S$1271,5,FALSE)</f>
        <v>#N/A</v>
      </c>
      <c r="I338" s="6">
        <f t="shared" si="21"/>
        <v>18834.3</v>
      </c>
      <c r="J338" s="7">
        <f>VLOOKUP(A338,[1]Sheet!B$3:G$2921,6,0)</f>
        <v>10266.58</v>
      </c>
      <c r="K338" s="8" t="e">
        <f t="shared" si="22"/>
        <v>#N/A</v>
      </c>
      <c r="L338" s="6">
        <f t="shared" si="23"/>
        <v>10266.58</v>
      </c>
    </row>
    <row r="339" spans="1:12" x14ac:dyDescent="0.25">
      <c r="A339" s="9" t="s">
        <v>338</v>
      </c>
      <c r="B339" s="2" t="str">
        <f>VLOOKUP(A339,[1]Sheet!B$3:G$2921,2,0)</f>
        <v>Додавати або виключати на кожнi 5 мм
змiни товщини бетонних стяжок до товщ.
96 мм</v>
      </c>
      <c r="C339" s="3" t="str">
        <f>VLOOKUP(A339,[1]Sheet!B$3:G$2921,3,0)</f>
        <v>100м2</v>
      </c>
      <c r="D339" s="4">
        <v>1.1257999999999999</v>
      </c>
      <c r="E339" s="5" t="e">
        <f>VLOOKUP(A339,N$3:S$1271,4,FALSE)</f>
        <v>#N/A</v>
      </c>
      <c r="F339" s="6">
        <f t="shared" si="20"/>
        <v>1.1257999999999999</v>
      </c>
      <c r="G339" s="7">
        <f>VLOOKUP(A339,[1]Sheet!B$3:G$2921,5,0)</f>
        <v>23856.79</v>
      </c>
      <c r="H339" s="5" t="e">
        <f>VLOOKUP(A339,N$3:S$1271,5,FALSE)</f>
        <v>#N/A</v>
      </c>
      <c r="I339" s="6">
        <f t="shared" si="21"/>
        <v>23856.79</v>
      </c>
      <c r="J339" s="7">
        <f>VLOOKUP(A339,[1]Sheet!B$3:G$2921,6,0)</f>
        <v>26857.97</v>
      </c>
      <c r="K339" s="8" t="e">
        <f t="shared" si="22"/>
        <v>#N/A</v>
      </c>
      <c r="L339" s="6">
        <f t="shared" si="23"/>
        <v>26857.97</v>
      </c>
    </row>
    <row r="340" spans="1:12" x14ac:dyDescent="0.25">
      <c r="A340" s="9" t="s">
        <v>339</v>
      </c>
      <c r="B340" s="2" t="str">
        <f>VLOOKUP(A340,[1]Sheet!B$3:G$2921,2,0)</f>
        <v>Додавати або виключати на кожнi 5 мм
змiни товщини бетонних стяжок до товщ.
35 мм</v>
      </c>
      <c r="C340" s="3" t="str">
        <f>VLOOKUP(A340,[1]Sheet!B$3:G$2921,3,0)</f>
        <v>100м2</v>
      </c>
      <c r="D340" s="4">
        <v>5.3</v>
      </c>
      <c r="E340" s="5" t="e">
        <f>VLOOKUP(A340,N$3:S$1271,4,FALSE)</f>
        <v>#N/A</v>
      </c>
      <c r="F340" s="6">
        <f t="shared" si="20"/>
        <v>5.3</v>
      </c>
      <c r="G340" s="7">
        <f>VLOOKUP(A340,[1]Sheet!B$3:G$2921,5,0)</f>
        <v>4708.58</v>
      </c>
      <c r="H340" s="5" t="e">
        <f>VLOOKUP(A340,N$3:S$1271,5,FALSE)</f>
        <v>#N/A</v>
      </c>
      <c r="I340" s="6">
        <f t="shared" si="21"/>
        <v>4708.58</v>
      </c>
      <c r="J340" s="7">
        <f>VLOOKUP(A340,[1]Sheet!B$3:G$2921,6,0)</f>
        <v>24955.47</v>
      </c>
      <c r="K340" s="8" t="e">
        <f t="shared" si="22"/>
        <v>#N/A</v>
      </c>
      <c r="L340" s="6">
        <f t="shared" si="23"/>
        <v>24955.47</v>
      </c>
    </row>
    <row r="341" spans="1:12" x14ac:dyDescent="0.25">
      <c r="A341" s="9" t="s">
        <v>340</v>
      </c>
      <c r="B341" s="2" t="str">
        <f>VLOOKUP(A341,[1]Sheet!B$3:G$2921,2,0)</f>
        <v>Додавати або виключати на кожнi 5 мм
змiни товщини бетонних стяжок до товщ.
40 мм</v>
      </c>
      <c r="C341" s="3" t="str">
        <f>VLOOKUP(A341,[1]Sheet!B$3:G$2921,3,0)</f>
        <v>100м2</v>
      </c>
      <c r="D341" s="4">
        <v>0.1391</v>
      </c>
      <c r="E341" s="5" t="e">
        <f>VLOOKUP(A341,N$3:S$1271,4,FALSE)</f>
        <v>#N/A</v>
      </c>
      <c r="F341" s="6">
        <f t="shared" si="20"/>
        <v>0.1391</v>
      </c>
      <c r="G341" s="7">
        <f>VLOOKUP(A341,[1]Sheet!B$3:G$2921,5,0)</f>
        <v>6278.1</v>
      </c>
      <c r="H341" s="5" t="e">
        <f>VLOOKUP(A341,N$3:S$1271,5,FALSE)</f>
        <v>#N/A</v>
      </c>
      <c r="I341" s="6">
        <f t="shared" si="21"/>
        <v>6278.1</v>
      </c>
      <c r="J341" s="7">
        <f>VLOOKUP(A341,[1]Sheet!B$3:G$2921,6,0)</f>
        <v>873.28</v>
      </c>
      <c r="K341" s="8" t="e">
        <f t="shared" si="22"/>
        <v>#N/A</v>
      </c>
      <c r="L341" s="6">
        <f t="shared" si="23"/>
        <v>873.28</v>
      </c>
    </row>
    <row r="342" spans="1:12" x14ac:dyDescent="0.25">
      <c r="A342" s="9" t="s">
        <v>341</v>
      </c>
      <c r="B342" s="2" t="str">
        <f>VLOOKUP(A342,[1]Sheet!B$3:G$2921,2,0)</f>
        <v>Додавати або виключати на кожнi 5 мм
змiни товщини бетонних стяжок до товщ.
47 мм</v>
      </c>
      <c r="C342" s="3" t="str">
        <f>VLOOKUP(A342,[1]Sheet!B$3:G$2921,3,0)</f>
        <v>100м2</v>
      </c>
      <c r="D342" s="4">
        <v>0.51980000000000004</v>
      </c>
      <c r="E342" s="5" t="e">
        <f>VLOOKUP(A342,N$3:S$1271,4,FALSE)</f>
        <v>#N/A</v>
      </c>
      <c r="F342" s="6">
        <f t="shared" si="20"/>
        <v>0.51980000000000004</v>
      </c>
      <c r="G342" s="7">
        <f>VLOOKUP(A342,[1]Sheet!B$3:G$2921,5,0)</f>
        <v>8475.44</v>
      </c>
      <c r="H342" s="5" t="e">
        <f>VLOOKUP(A342,N$3:S$1271,5,FALSE)</f>
        <v>#N/A</v>
      </c>
      <c r="I342" s="6">
        <f t="shared" si="21"/>
        <v>8475.44</v>
      </c>
      <c r="J342" s="7">
        <f>VLOOKUP(A342,[1]Sheet!B$3:G$2921,6,0)</f>
        <v>4405.53</v>
      </c>
      <c r="K342" s="8" t="e">
        <f t="shared" si="22"/>
        <v>#N/A</v>
      </c>
      <c r="L342" s="6">
        <f t="shared" si="23"/>
        <v>4405.53</v>
      </c>
    </row>
    <row r="343" spans="1:12" x14ac:dyDescent="0.25">
      <c r="A343" s="9" t="s">
        <v>342</v>
      </c>
      <c r="B343" s="2" t="str">
        <f>VLOOKUP(A343,[1]Sheet!B$3:G$2921,2,0)</f>
        <v>Додавати або виключати на кожнi 5 мм
змiни товщини бетонних стяжок</v>
      </c>
      <c r="C343" s="3" t="str">
        <f>VLOOKUP(A343,[1]Sheet!B$3:G$2921,3,0)</f>
        <v>100м2</v>
      </c>
      <c r="D343" s="4">
        <v>8.0448000000000004</v>
      </c>
      <c r="E343" s="5" t="e">
        <f>VLOOKUP(A343,N$3:S$1271,4,FALSE)</f>
        <v>#N/A</v>
      </c>
      <c r="F343" s="6">
        <f t="shared" si="20"/>
        <v>8.0448000000000004</v>
      </c>
      <c r="G343" s="7">
        <f>VLOOKUP(A343,[1]Sheet!B$3:G$2921,5,0)</f>
        <v>7265.1</v>
      </c>
      <c r="H343" s="5" t="e">
        <f>VLOOKUP(A343,N$3:S$1271,5,FALSE)</f>
        <v>#N/A</v>
      </c>
      <c r="I343" s="6">
        <f t="shared" si="21"/>
        <v>7265.1</v>
      </c>
      <c r="J343" s="7">
        <f>VLOOKUP(A343,[1]Sheet!B$3:G$2921,6,0)</f>
        <v>43980.01</v>
      </c>
      <c r="K343" s="8" t="e">
        <f t="shared" si="22"/>
        <v>#N/A</v>
      </c>
      <c r="L343" s="6">
        <f t="shared" si="23"/>
        <v>43980.01</v>
      </c>
    </row>
    <row r="344" spans="1:12" x14ac:dyDescent="0.25">
      <c r="A344" s="9" t="s">
        <v>343</v>
      </c>
      <c r="B344" s="2" t="str">
        <f>VLOOKUP(A344,[1]Sheet!B$3:G$2921,2,0)</f>
        <v>Додавати або виключати на кожнi 5 мм
змiни товщини бетонних стяжок</v>
      </c>
      <c r="C344" s="3" t="str">
        <f>VLOOKUP(A344,[1]Sheet!B$3:G$2921,3,0)</f>
        <v>100м2</v>
      </c>
      <c r="D344" s="4">
        <v>4.8200000000000007E-2</v>
      </c>
      <c r="E344" s="5" t="e">
        <f>VLOOKUP(A344,N$3:S$1271,4,FALSE)</f>
        <v>#N/A</v>
      </c>
      <c r="F344" s="6">
        <f t="shared" si="20"/>
        <v>4.8200000000000007E-2</v>
      </c>
      <c r="G344" s="7">
        <f>VLOOKUP(A344,[1]Sheet!B$3:G$2921,5,0)</f>
        <v>11790.26</v>
      </c>
      <c r="H344" s="5" t="e">
        <f>VLOOKUP(A344,N$3:S$1271,5,FALSE)</f>
        <v>#N/A</v>
      </c>
      <c r="I344" s="6">
        <f t="shared" si="21"/>
        <v>11790.26</v>
      </c>
      <c r="J344" s="7">
        <f>VLOOKUP(A344,[1]Sheet!B$3:G$2921,6,0)</f>
        <v>155.63</v>
      </c>
      <c r="K344" s="8" t="e">
        <f t="shared" si="22"/>
        <v>#N/A</v>
      </c>
      <c r="L344" s="6">
        <f t="shared" si="23"/>
        <v>155.63</v>
      </c>
    </row>
    <row r="345" spans="1:12" x14ac:dyDescent="0.25">
      <c r="A345" s="9" t="s">
        <v>344</v>
      </c>
      <c r="B345" s="2" t="str">
        <f>VLOOKUP(A345,[1]Sheet!B$3:G$2921,2,0)</f>
        <v>Улаштування стяжок легкобетонних
товщиною 20 мм</v>
      </c>
      <c r="C345" s="3" t="str">
        <f>VLOOKUP(A345,[1]Sheet!B$3:G$2921,3,0)</f>
        <v>100м2</v>
      </c>
      <c r="D345" s="4">
        <v>5.1999999999999993</v>
      </c>
      <c r="E345" s="5" t="e">
        <f>VLOOKUP(A345,N$3:S$1271,4,FALSE)</f>
        <v>#N/A</v>
      </c>
      <c r="F345" s="6">
        <f t="shared" si="20"/>
        <v>5.1999999999999993</v>
      </c>
      <c r="G345" s="7">
        <f>VLOOKUP(A345,[1]Sheet!B$3:G$2921,5,0)</f>
        <v>9251.5</v>
      </c>
      <c r="H345" s="5" t="e">
        <f>VLOOKUP(A345,N$3:S$1271,5,FALSE)</f>
        <v>#N/A</v>
      </c>
      <c r="I345" s="6">
        <f t="shared" si="21"/>
        <v>9251.5</v>
      </c>
      <c r="J345" s="7">
        <f>VLOOKUP(A345,[1]Sheet!B$3:G$2921,6,0)</f>
        <v>42556.9</v>
      </c>
      <c r="K345" s="8" t="e">
        <f t="shared" si="22"/>
        <v>#N/A</v>
      </c>
      <c r="L345" s="6">
        <f t="shared" si="23"/>
        <v>42556.9</v>
      </c>
    </row>
    <row r="346" spans="1:12" x14ac:dyDescent="0.25">
      <c r="A346" s="9" t="s">
        <v>345</v>
      </c>
      <c r="B346" s="2" t="str">
        <f>VLOOKUP(A346,[1]Sheet!B$3:G$2921,2,0)</f>
        <v>Додавати або виключати на кожнi 5 мм
змiни товщини легкобетонних стяжок
(Додавати до товщ. 50 мм)</v>
      </c>
      <c r="C346" s="3" t="str">
        <f>VLOOKUP(A346,[1]Sheet!B$3:G$2921,3,0)</f>
        <v>100м2</v>
      </c>
      <c r="D346" s="4">
        <v>5.1999999999999993</v>
      </c>
      <c r="E346" s="5" t="e">
        <f>VLOOKUP(A346,N$3:S$1271,4,FALSE)</f>
        <v>#N/A</v>
      </c>
      <c r="F346" s="6">
        <f t="shared" si="20"/>
        <v>5.1999999999999993</v>
      </c>
      <c r="G346" s="7">
        <f>VLOOKUP(A346,[1]Sheet!B$3:G$2921,5,0)</f>
        <v>7019.49</v>
      </c>
      <c r="H346" s="5" t="e">
        <f>VLOOKUP(A346,N$3:S$1271,5,FALSE)</f>
        <v>#N/A</v>
      </c>
      <c r="I346" s="6">
        <f t="shared" si="21"/>
        <v>7019.49</v>
      </c>
      <c r="J346" s="7">
        <f>VLOOKUP(A346,[1]Sheet!B$3:G$2921,6,0)</f>
        <v>32289.65</v>
      </c>
      <c r="K346" s="8" t="e">
        <f t="shared" si="22"/>
        <v>#N/A</v>
      </c>
      <c r="L346" s="6">
        <f t="shared" si="23"/>
        <v>32289.65</v>
      </c>
    </row>
    <row r="347" spans="1:12" x14ac:dyDescent="0.25">
      <c r="A347" s="9" t="s">
        <v>346</v>
      </c>
      <c r="B347" s="2" t="str">
        <f>VLOOKUP(A347,[1]Sheet!B$3:G$2921,2,0)</f>
        <v>Улаштування покриттів бетонних
товщиною 30 мм</v>
      </c>
      <c r="C347" s="3" t="str">
        <f>VLOOKUP(A347,[1]Sheet!B$3:G$2921,3,0)</f>
        <v>100м2</v>
      </c>
      <c r="D347" s="4">
        <v>0.54510000000000003</v>
      </c>
      <c r="E347" s="5" t="e">
        <f>VLOOKUP(A347,N$3:S$1271,4,FALSE)</f>
        <v>#N/A</v>
      </c>
      <c r="F347" s="6">
        <f t="shared" si="20"/>
        <v>0.54510000000000003</v>
      </c>
      <c r="G347" s="7">
        <f>VLOOKUP(A347,[1]Sheet!B$3:G$2921,5,0)</f>
        <v>12475.85</v>
      </c>
      <c r="H347" s="5" t="e">
        <f>VLOOKUP(A347,N$3:S$1271,5,FALSE)</f>
        <v>#N/A</v>
      </c>
      <c r="I347" s="6">
        <f t="shared" si="21"/>
        <v>12475.85</v>
      </c>
      <c r="J347" s="7">
        <f>VLOOKUP(A347,[1]Sheet!B$3:G$2921,6,0)</f>
        <v>6800.59</v>
      </c>
      <c r="K347" s="8" t="e">
        <f t="shared" si="22"/>
        <v>#N/A</v>
      </c>
      <c r="L347" s="6">
        <f t="shared" si="23"/>
        <v>6800.59</v>
      </c>
    </row>
    <row r="348" spans="1:12" x14ac:dyDescent="0.25">
      <c r="A348" s="9" t="s">
        <v>347</v>
      </c>
      <c r="B348" s="2" t="str">
        <f>VLOOKUP(A348,[1]Sheet!B$3:G$2921,2,0)</f>
        <v>Додавати або виключати на кожнi 5 мм
змiни товщини бетонних покриттів
виключати до товщ. 20 мм</v>
      </c>
      <c r="C348" s="3" t="str">
        <f>VLOOKUP(A348,[1]Sheet!B$3:G$2921,3,0)</f>
        <v>100м2</v>
      </c>
      <c r="D348" s="4">
        <v>-0.54510000000000003</v>
      </c>
      <c r="E348" s="5" t="e">
        <f>VLOOKUP(A348,N$3:S$1271,4,FALSE)</f>
        <v>#N/A</v>
      </c>
      <c r="F348" s="6">
        <f t="shared" si="20"/>
        <v>-0.54510000000000003</v>
      </c>
      <c r="G348" s="7">
        <f>VLOOKUP(A348,[1]Sheet!B$3:G$2921,5,0)</f>
        <v>3127.89</v>
      </c>
      <c r="H348" s="5" t="e">
        <f>VLOOKUP(A348,N$3:S$1271,5,FALSE)</f>
        <v>#N/A</v>
      </c>
      <c r="I348" s="6">
        <f t="shared" si="21"/>
        <v>3127.89</v>
      </c>
      <c r="J348" s="7">
        <f>VLOOKUP(A348,[1]Sheet!B$3:G$2921,6,0)</f>
        <v>-1705.01</v>
      </c>
      <c r="K348" s="8" t="e">
        <f t="shared" si="22"/>
        <v>#N/A</v>
      </c>
      <c r="L348" s="6">
        <f t="shared" si="23"/>
        <v>-1705.01</v>
      </c>
    </row>
    <row r="349" spans="1:12" x14ac:dyDescent="0.25">
      <c r="A349" s="9" t="s">
        <v>348</v>
      </c>
      <c r="B349" s="2" t="str">
        <f>VLOOKUP(A349,[1]Sheet!B$3:G$2921,2,0)</f>
        <v>Улаштування покриттів мозаїчних
[терраццо] товщиною 20 мм без малюнка</v>
      </c>
      <c r="C349" s="3" t="str">
        <f>VLOOKUP(A349,[1]Sheet!B$3:G$2921,3,0)</f>
        <v>100м2</v>
      </c>
      <c r="D349" s="4">
        <v>0.1986</v>
      </c>
      <c r="E349" s="5" t="e">
        <f>VLOOKUP(A349,N$3:S$1271,4,FALSE)</f>
        <v>#N/A</v>
      </c>
      <c r="F349" s="6">
        <f t="shared" si="20"/>
        <v>0.1986</v>
      </c>
      <c r="G349" s="7">
        <f>VLOOKUP(A349,[1]Sheet!B$3:G$2921,5,0)</f>
        <v>30903.01</v>
      </c>
      <c r="H349" s="5" t="e">
        <f>VLOOKUP(A349,N$3:S$1271,5,FALSE)</f>
        <v>#N/A</v>
      </c>
      <c r="I349" s="6">
        <f t="shared" si="21"/>
        <v>30903.01</v>
      </c>
      <c r="J349" s="7">
        <f>VLOOKUP(A349,[1]Sheet!B$3:G$2921,6,0)</f>
        <v>6137.34</v>
      </c>
      <c r="K349" s="8" t="e">
        <f t="shared" si="22"/>
        <v>#N/A</v>
      </c>
      <c r="L349" s="6">
        <f t="shared" si="23"/>
        <v>6137.34</v>
      </c>
    </row>
    <row r="350" spans="1:12" x14ac:dyDescent="0.25">
      <c r="A350" s="9" t="s">
        <v>349</v>
      </c>
      <c r="B350" s="2" t="str">
        <f>VLOOKUP(A350,[1]Sheet!B$3:G$2921,2,0)</f>
        <v>Улаштування покриття
двокомпонентного поліуретанового
товщиною 3 мм</v>
      </c>
      <c r="C350" s="3" t="str">
        <f>VLOOKUP(A350,[1]Sheet!B$3:G$2921,3,0)</f>
        <v>100м2</v>
      </c>
      <c r="D350" s="4">
        <v>6.9455999999999998</v>
      </c>
      <c r="E350" s="5" t="e">
        <f>VLOOKUP(A350,N$3:S$1271,4,FALSE)</f>
        <v>#N/A</v>
      </c>
      <c r="F350" s="6">
        <f t="shared" si="20"/>
        <v>6.9455999999999998</v>
      </c>
      <c r="G350" s="7">
        <f>VLOOKUP(A350,[1]Sheet!B$3:G$2921,5,0)</f>
        <v>7375.27</v>
      </c>
      <c r="H350" s="5" t="e">
        <f>VLOOKUP(A350,N$3:S$1271,5,FALSE)</f>
        <v>#N/A</v>
      </c>
      <c r="I350" s="6">
        <f t="shared" si="21"/>
        <v>7375.27</v>
      </c>
      <c r="J350" s="7">
        <f>VLOOKUP(A350,[1]Sheet!B$3:G$2921,6,0)</f>
        <v>8303.08</v>
      </c>
      <c r="K350" s="8" t="e">
        <f t="shared" si="22"/>
        <v>#N/A</v>
      </c>
      <c r="L350" s="6">
        <f t="shared" si="23"/>
        <v>8303.08</v>
      </c>
    </row>
    <row r="351" spans="1:12" x14ac:dyDescent="0.25">
      <c r="A351" s="9" t="s">
        <v>350</v>
      </c>
      <c r="B351" s="2" t="str">
        <f>VLOOKUP(A351,[1]Sheet!B$3:G$2921,2,0)</f>
        <v>Додавати або виключати на 1 мм змiни
товщини полiвiнiлацетатних покриттів
(Додавати до товщ.8 мм)</v>
      </c>
      <c r="C351" s="3" t="str">
        <f>VLOOKUP(A351,[1]Sheet!B$3:G$2921,3,0)</f>
        <v>100м2</v>
      </c>
      <c r="D351" s="4">
        <v>5.3</v>
      </c>
      <c r="E351" s="5" t="e">
        <f>VLOOKUP(A351,N$3:S$1271,4,FALSE)</f>
        <v>#N/A</v>
      </c>
      <c r="F351" s="6">
        <f t="shared" si="20"/>
        <v>5.3</v>
      </c>
      <c r="G351" s="7">
        <f>VLOOKUP(A351,[1]Sheet!B$3:G$2921,5,0)</f>
        <v>6903.98</v>
      </c>
      <c r="H351" s="5" t="e">
        <f>VLOOKUP(A351,N$3:S$1271,5,FALSE)</f>
        <v>#N/A</v>
      </c>
      <c r="I351" s="6">
        <f t="shared" si="21"/>
        <v>6903.98</v>
      </c>
      <c r="J351" s="7">
        <f>VLOOKUP(A351,[1]Sheet!B$3:G$2921,6,0)</f>
        <v>36591.089999999997</v>
      </c>
      <c r="K351" s="8" t="e">
        <f t="shared" si="22"/>
        <v>#N/A</v>
      </c>
      <c r="L351" s="6">
        <f t="shared" si="23"/>
        <v>36591.089999999997</v>
      </c>
    </row>
    <row r="352" spans="1:12" x14ac:dyDescent="0.25">
      <c r="A352" s="9" t="s">
        <v>351</v>
      </c>
      <c r="B352" s="2" t="str">
        <f>VLOOKUP(A352,[1]Sheet!B$3:G$2921,2,0)</f>
        <v>Додавати або виключати на 1 мм змiни
товщини полiвiнiлацетатних покриттів
(Додавати до товщ.10 мм)</v>
      </c>
      <c r="C352" s="3" t="str">
        <f>VLOOKUP(A352,[1]Sheet!B$3:G$2921,3,0)</f>
        <v>100м2</v>
      </c>
      <c r="D352" s="4">
        <v>1.6456</v>
      </c>
      <c r="E352" s="5" t="e">
        <f>VLOOKUP(A352,N$3:S$1271,4,FALSE)</f>
        <v>#N/A</v>
      </c>
      <c r="F352" s="6">
        <f t="shared" si="20"/>
        <v>1.6456</v>
      </c>
      <c r="G352" s="7">
        <f>VLOOKUP(A352,[1]Sheet!B$3:G$2921,5,0)</f>
        <v>9665.57</v>
      </c>
      <c r="H352" s="5" t="e">
        <f>VLOOKUP(A352,N$3:S$1271,5,FALSE)</f>
        <v>#N/A</v>
      </c>
      <c r="I352" s="6">
        <f t="shared" si="21"/>
        <v>9665.57</v>
      </c>
      <c r="J352" s="7">
        <f>VLOOKUP(A352,[1]Sheet!B$3:G$2921,6,0)</f>
        <v>10881.5</v>
      </c>
      <c r="K352" s="8" t="e">
        <f t="shared" si="22"/>
        <v>#N/A</v>
      </c>
      <c r="L352" s="6">
        <f t="shared" si="23"/>
        <v>10881.5</v>
      </c>
    </row>
    <row r="353" spans="1:12" x14ac:dyDescent="0.25">
      <c r="A353" s="9" t="s">
        <v>352</v>
      </c>
      <c r="B353" s="2" t="str">
        <f>VLOOKUP(A353,[1]Sheet!B$3:G$2921,2,0)</f>
        <v>Улаштування покриттів з керамічних
плиток на розчині із сухої клеючої суміші,
кількість плиток в 1 м2 понад 7 до 12 шт</v>
      </c>
      <c r="C353" s="3" t="str">
        <f>VLOOKUP(A353,[1]Sheet!B$3:G$2921,3,0)</f>
        <v>100м2</v>
      </c>
      <c r="D353" s="4">
        <v>6.8566000000000003</v>
      </c>
      <c r="E353" s="5" t="e">
        <f>VLOOKUP(A353,N$3:S$1271,4,FALSE)</f>
        <v>#N/A</v>
      </c>
      <c r="F353" s="6">
        <f t="shared" si="20"/>
        <v>6.8566000000000003</v>
      </c>
      <c r="G353" s="7">
        <f>VLOOKUP(A353,[1]Sheet!B$3:G$2921,5,0)</f>
        <v>11447.04</v>
      </c>
      <c r="H353" s="5" t="e">
        <f>VLOOKUP(A353,N$3:S$1271,5,FALSE)</f>
        <v>#N/A</v>
      </c>
      <c r="I353" s="6">
        <f t="shared" si="21"/>
        <v>11447.04</v>
      </c>
      <c r="J353" s="7">
        <f>VLOOKUP(A353,[1]Sheet!B$3:G$2921,6,0)</f>
        <v>69295.8</v>
      </c>
      <c r="K353" s="8" t="e">
        <f t="shared" si="22"/>
        <v>#N/A</v>
      </c>
      <c r="L353" s="6">
        <f t="shared" si="23"/>
        <v>69295.8</v>
      </c>
    </row>
    <row r="354" spans="1:12" x14ac:dyDescent="0.25">
      <c r="A354" s="9" t="s">
        <v>353</v>
      </c>
      <c r="B354" s="2" t="str">
        <f>VLOOKUP(A354,[1]Sheet!B$3:G$2921,2,0)</f>
        <v>Улаштування покриттів дощатих
товщиною 36 мм</v>
      </c>
      <c r="C354" s="3" t="str">
        <f>VLOOKUP(A354,[1]Sheet!B$3:G$2921,3,0)</f>
        <v>100м2</v>
      </c>
      <c r="D354" s="4">
        <v>4.6591999999999995E-2</v>
      </c>
      <c r="E354" s="5" t="e">
        <f>VLOOKUP(A354,N$3:S$1271,4,FALSE)</f>
        <v>#N/A</v>
      </c>
      <c r="F354" s="6">
        <f t="shared" si="20"/>
        <v>4.6591999999999995E-2</v>
      </c>
      <c r="G354" s="7">
        <f>VLOOKUP(A354,[1]Sheet!B$3:G$2921,5,0)</f>
        <v>5658.91</v>
      </c>
      <c r="H354" s="5" t="e">
        <f>VLOOKUP(A354,N$3:S$1271,5,FALSE)</f>
        <v>#N/A</v>
      </c>
      <c r="I354" s="6">
        <f t="shared" si="21"/>
        <v>5658.91</v>
      </c>
      <c r="J354" s="7">
        <f>VLOOKUP(A354,[1]Sheet!B$3:G$2921,6,0)</f>
        <v>263.66000000000003</v>
      </c>
      <c r="K354" s="8" t="e">
        <f t="shared" si="22"/>
        <v>#N/A</v>
      </c>
      <c r="L354" s="6">
        <f t="shared" si="23"/>
        <v>263.66000000000003</v>
      </c>
    </row>
    <row r="355" spans="1:12" x14ac:dyDescent="0.25">
      <c r="A355" s="9" t="s">
        <v>354</v>
      </c>
      <c r="B355" s="2" t="str">
        <f>VLOOKUP(A355,[1]Sheet!B$3:G$2921,2,0)</f>
        <v>Улаштування покриттів з плит
деревноволокнистих</v>
      </c>
      <c r="C355" s="3" t="str">
        <f>VLOOKUP(A355,[1]Sheet!B$3:G$2921,3,0)</f>
        <v>100м2</v>
      </c>
      <c r="D355" s="4">
        <v>1.7810000000000001</v>
      </c>
      <c r="E355" s="5" t="e">
        <f>VLOOKUP(A355,N$3:S$1271,4,FALSE)</f>
        <v>#N/A</v>
      </c>
      <c r="F355" s="6">
        <f t="shared" si="20"/>
        <v>1.7810000000000001</v>
      </c>
      <c r="G355" s="7">
        <f>VLOOKUP(A355,[1]Sheet!B$3:G$2921,5,0)</f>
        <v>3459.6</v>
      </c>
      <c r="H355" s="5" t="e">
        <f>VLOOKUP(A355,N$3:S$1271,5,FALSE)</f>
        <v>#N/A</v>
      </c>
      <c r="I355" s="6">
        <f t="shared" si="21"/>
        <v>3459.6</v>
      </c>
      <c r="J355" s="7">
        <f>VLOOKUP(A355,[1]Sheet!B$3:G$2921,6,0)</f>
        <v>6161.55</v>
      </c>
      <c r="K355" s="8" t="e">
        <f t="shared" si="22"/>
        <v>#N/A</v>
      </c>
      <c r="L355" s="6">
        <f t="shared" si="23"/>
        <v>6161.55</v>
      </c>
    </row>
    <row r="356" spans="1:12" x14ac:dyDescent="0.25">
      <c r="A356" s="9" t="s">
        <v>355</v>
      </c>
      <c r="B356" s="2" t="str">
        <f>VLOOKUP(A356,[1]Sheet!B$3:G$2921,2,0)</f>
        <v>Улаштування покриттів з лiнолеуму ПВХ-
TARKETT на клеї зі зварюванням
полотнища у стиках</v>
      </c>
      <c r="C356" s="3" t="str">
        <f>VLOOKUP(A356,[1]Sheet!B$3:G$2921,3,0)</f>
        <v>100м2</v>
      </c>
      <c r="D356" s="4">
        <v>1.3364</v>
      </c>
      <c r="E356" s="5" t="e">
        <f>VLOOKUP(A356,N$3:S$1271,4,FALSE)</f>
        <v>#N/A</v>
      </c>
      <c r="F356" s="6">
        <f t="shared" si="20"/>
        <v>1.3364</v>
      </c>
      <c r="G356" s="7">
        <f>VLOOKUP(A356,[1]Sheet!B$3:G$2921,5,0)</f>
        <v>6540.35</v>
      </c>
      <c r="H356" s="5" t="e">
        <f>VLOOKUP(A356,N$3:S$1271,5,FALSE)</f>
        <v>#N/A</v>
      </c>
      <c r="I356" s="6">
        <f t="shared" si="21"/>
        <v>6540.35</v>
      </c>
      <c r="J356" s="7">
        <f>VLOOKUP(A356,[1]Sheet!B$3:G$2921,6,0)</f>
        <v>8256.5400000000009</v>
      </c>
      <c r="K356" s="8" t="e">
        <f t="shared" si="22"/>
        <v>#N/A</v>
      </c>
      <c r="L356" s="6">
        <f t="shared" si="23"/>
        <v>8256.5400000000009</v>
      </c>
    </row>
    <row r="357" spans="1:12" x14ac:dyDescent="0.25">
      <c r="A357" s="9" t="s">
        <v>356</v>
      </c>
      <c r="B357" s="2" t="str">
        <f>VLOOKUP(A357,[1]Sheet!B$3:G$2921,2,0)</f>
        <v>Улаштування покриттів з лiнолеуму
полiвiнiлхлоридного насухо з готових
килимів розміром на приміщення
(Улаштування покриттів з модульного
антиковзаючего пластикового покриття
"Aquafloor")</v>
      </c>
      <c r="C357" s="3" t="str">
        <f>VLOOKUP(A357,[1]Sheet!B$3:G$2921,3,0)</f>
        <v>100м2</v>
      </c>
      <c r="D357" s="4">
        <v>0.61130000000000007</v>
      </c>
      <c r="E357" s="5" t="e">
        <f>VLOOKUP(A357,N$3:S$1271,4,FALSE)</f>
        <v>#N/A</v>
      </c>
      <c r="F357" s="6">
        <f t="shared" si="20"/>
        <v>0.61130000000000007</v>
      </c>
      <c r="G357" s="7">
        <f>VLOOKUP(A357,[1]Sheet!B$3:G$2921,5,0)</f>
        <v>2163.1999999999998</v>
      </c>
      <c r="H357" s="5" t="e">
        <f>VLOOKUP(A357,N$3:S$1271,5,FALSE)</f>
        <v>#N/A</v>
      </c>
      <c r="I357" s="6">
        <f t="shared" si="21"/>
        <v>2163.1999999999998</v>
      </c>
      <c r="J357" s="7">
        <f>VLOOKUP(A357,[1]Sheet!B$3:G$2921,6,0)</f>
        <v>1322.36</v>
      </c>
      <c r="K357" s="8" t="e">
        <f t="shared" si="22"/>
        <v>#N/A</v>
      </c>
      <c r="L357" s="6">
        <f t="shared" si="23"/>
        <v>1322.36</v>
      </c>
    </row>
    <row r="358" spans="1:12" x14ac:dyDescent="0.25">
      <c r="A358" s="9" t="s">
        <v>357</v>
      </c>
      <c r="B358" s="2" t="str">
        <f>VLOOKUP(A358,[1]Sheet!B$3:G$2921,2,0)</f>
        <v>Улаштування гiдроiзоляцiї обклеювальної
iзолом на мастицi бiтумiноль, перший шар</v>
      </c>
      <c r="C358" s="3" t="str">
        <f>VLOOKUP(A358,[1]Sheet!B$3:G$2921,3,0)</f>
        <v>100м2</v>
      </c>
      <c r="D358" s="4">
        <v>0.69359999999999999</v>
      </c>
      <c r="E358" s="5" t="e">
        <f>VLOOKUP(A358,N$3:S$1271,4,FALSE)</f>
        <v>#N/A</v>
      </c>
      <c r="F358" s="6">
        <f t="shared" si="20"/>
        <v>0.69359999999999999</v>
      </c>
      <c r="G358" s="7">
        <f>VLOOKUP(A358,[1]Sheet!B$3:G$2921,5,0)</f>
        <v>19960.32</v>
      </c>
      <c r="H358" s="5" t="e">
        <f>VLOOKUP(A358,N$3:S$1271,5,FALSE)</f>
        <v>#N/A</v>
      </c>
      <c r="I358" s="6">
        <f t="shared" si="21"/>
        <v>19960.32</v>
      </c>
      <c r="J358" s="7">
        <f>VLOOKUP(A358,[1]Sheet!B$3:G$2921,6,0)</f>
        <v>13844.48</v>
      </c>
      <c r="K358" s="8" t="e">
        <f t="shared" si="22"/>
        <v>#N/A</v>
      </c>
      <c r="L358" s="6">
        <f t="shared" si="23"/>
        <v>13844.48</v>
      </c>
    </row>
    <row r="359" spans="1:12" x14ac:dyDescent="0.25">
      <c r="A359" s="9" t="s">
        <v>358</v>
      </c>
      <c r="B359" s="2" t="str">
        <f>VLOOKUP(A359,[1]Sheet!B$3:G$2921,2,0)</f>
        <v>Улаштування гiдроiзоляцiї обклеювальної
iзолом на мастицi бiтумiноль, наступний
шар</v>
      </c>
      <c r="C359" s="3" t="str">
        <f>VLOOKUP(A359,[1]Sheet!B$3:G$2921,3,0)</f>
        <v>100м2</v>
      </c>
      <c r="D359" s="4">
        <v>0.69359999999999999</v>
      </c>
      <c r="E359" s="5" t="e">
        <f>VLOOKUP(A359,N$3:S$1271,4,FALSE)</f>
        <v>#N/A</v>
      </c>
      <c r="F359" s="6">
        <f t="shared" si="20"/>
        <v>0.69359999999999999</v>
      </c>
      <c r="G359" s="7">
        <f>VLOOKUP(A359,[1]Sheet!B$3:G$2921,5,0)</f>
        <v>13128.83</v>
      </c>
      <c r="H359" s="5" t="e">
        <f>VLOOKUP(A359,N$3:S$1271,5,FALSE)</f>
        <v>#N/A</v>
      </c>
      <c r="I359" s="6">
        <f t="shared" si="21"/>
        <v>13128.83</v>
      </c>
      <c r="J359" s="7">
        <f>VLOOKUP(A359,[1]Sheet!B$3:G$2921,6,0)</f>
        <v>9106.16</v>
      </c>
      <c r="K359" s="8" t="e">
        <f t="shared" si="22"/>
        <v>#N/A</v>
      </c>
      <c r="L359" s="6">
        <f t="shared" si="23"/>
        <v>9106.16</v>
      </c>
    </row>
    <row r="360" spans="1:12" x14ac:dyDescent="0.25">
      <c r="A360" s="9" t="s">
        <v>359</v>
      </c>
      <c r="B360" s="2" t="str">
        <f>VLOOKUP(A360,[1]Sheet!B$3:G$2921,2,0)</f>
        <v>Улаштування плiнтусiв дерев'яних з
кріпленням шурупами</v>
      </c>
      <c r="C360" s="3" t="str">
        <f>VLOOKUP(A360,[1]Sheet!B$3:G$2921,3,0)</f>
        <v>100м</v>
      </c>
      <c r="D360" s="4">
        <v>1.7977999999999998</v>
      </c>
      <c r="E360" s="5" t="e">
        <f>VLOOKUP(A360,N$3:S$1271,4,FALSE)</f>
        <v>#N/A</v>
      </c>
      <c r="F360" s="6">
        <f t="shared" si="20"/>
        <v>1.7977999999999998</v>
      </c>
      <c r="G360" s="7">
        <f>VLOOKUP(A360,[1]Sheet!B$3:G$2921,5,0)</f>
        <v>4290.01</v>
      </c>
      <c r="H360" s="5" t="e">
        <f>VLOOKUP(A360,N$3:S$1271,5,FALSE)</f>
        <v>#N/A</v>
      </c>
      <c r="I360" s="6">
        <f t="shared" si="21"/>
        <v>4290.01</v>
      </c>
      <c r="J360" s="7">
        <f>VLOOKUP(A360,[1]Sheet!B$3:G$2921,6,0)</f>
        <v>7528.11</v>
      </c>
      <c r="K360" s="8" t="e">
        <f t="shared" si="22"/>
        <v>#N/A</v>
      </c>
      <c r="L360" s="6">
        <f t="shared" si="23"/>
        <v>7528.11</v>
      </c>
    </row>
    <row r="361" spans="1:12" x14ac:dyDescent="0.25">
      <c r="A361" s="9" t="s">
        <v>360</v>
      </c>
      <c r="B361" s="2" t="str">
        <f>VLOOKUP(A361,[1]Sheet!B$3:G$2921,2,0)</f>
        <v>Улаштування плiнтусiв бетонних</v>
      </c>
      <c r="C361" s="3" t="str">
        <f>VLOOKUP(A361,[1]Sheet!B$3:G$2921,3,0)</f>
        <v>100м</v>
      </c>
      <c r="D361" s="4">
        <v>0.57279999999999998</v>
      </c>
      <c r="E361" s="5" t="e">
        <f>VLOOKUP(A361,N$3:S$1271,4,FALSE)</f>
        <v>#N/A</v>
      </c>
      <c r="F361" s="6">
        <f t="shared" si="20"/>
        <v>0.57279999999999998</v>
      </c>
      <c r="G361" s="7">
        <f>VLOOKUP(A361,[1]Sheet!B$3:G$2921,5,0)</f>
        <v>1241.22</v>
      </c>
      <c r="H361" s="5" t="e">
        <f>VLOOKUP(A361,N$3:S$1271,5,FALSE)</f>
        <v>#N/A</v>
      </c>
      <c r="I361" s="6">
        <f t="shared" si="21"/>
        <v>1241.22</v>
      </c>
      <c r="J361" s="7">
        <f>VLOOKUP(A361,[1]Sheet!B$3:G$2921,6,0)</f>
        <v>251.72</v>
      </c>
      <c r="K361" s="8" t="e">
        <f t="shared" si="22"/>
        <v>#N/A</v>
      </c>
      <c r="L361" s="6">
        <f t="shared" si="23"/>
        <v>251.72</v>
      </c>
    </row>
    <row r="362" spans="1:12" x14ac:dyDescent="0.25">
      <c r="A362" s="9" t="s">
        <v>361</v>
      </c>
      <c r="B362" s="2" t="str">
        <f>VLOOKUP(A362,[1]Sheet!B$3:G$2921,2,0)</f>
        <v>Улаштування гiдроiзоляцiї обмазувальної в
один шар товщиною 2 мм</v>
      </c>
      <c r="C362" s="3" t="str">
        <f>VLOOKUP(A362,[1]Sheet!B$3:G$2921,3,0)</f>
        <v>100м2</v>
      </c>
      <c r="D362" s="4">
        <v>0.70879999999999999</v>
      </c>
      <c r="E362" s="5" t="e">
        <f>VLOOKUP(A362,N$3:S$1271,4,FALSE)</f>
        <v>#N/A</v>
      </c>
      <c r="F362" s="6">
        <f t="shared" si="20"/>
        <v>0.70879999999999999</v>
      </c>
      <c r="G362" s="7">
        <f>VLOOKUP(A362,[1]Sheet!B$3:G$2921,5,0)</f>
        <v>2237.0700000000002</v>
      </c>
      <c r="H362" s="5" t="e">
        <f>VLOOKUP(A362,N$3:S$1271,5,FALSE)</f>
        <v>#N/A</v>
      </c>
      <c r="I362" s="6">
        <f t="shared" si="21"/>
        <v>2237.0700000000002</v>
      </c>
      <c r="J362" s="7">
        <f>VLOOKUP(A362,[1]Sheet!B$3:G$2921,6,0)</f>
        <v>1585.64</v>
      </c>
      <c r="K362" s="8" t="e">
        <f t="shared" si="22"/>
        <v>#N/A</v>
      </c>
      <c r="L362" s="6">
        <f t="shared" si="23"/>
        <v>1585.64</v>
      </c>
    </row>
    <row r="363" spans="1:12" x14ac:dyDescent="0.25">
      <c r="A363" s="9" t="s">
        <v>362</v>
      </c>
      <c r="B363" s="2" t="str">
        <f>VLOOKUP(A363,[1]Sheet!B$3:G$2921,2,0)</f>
        <v>Додавати на кожний наступний шар
гiдроiзоляцiї обмазувальної товщиною 1
мм (до 3мм)</v>
      </c>
      <c r="C363" s="3" t="str">
        <f>VLOOKUP(A363,[1]Sheet!B$3:G$2921,3,0)</f>
        <v>100м2</v>
      </c>
      <c r="D363" s="4">
        <v>0.70879999999999999</v>
      </c>
      <c r="E363" s="5" t="e">
        <f>VLOOKUP(A363,N$3:S$1271,4,FALSE)</f>
        <v>#N/A</v>
      </c>
      <c r="F363" s="6">
        <f t="shared" si="20"/>
        <v>0.70879999999999999</v>
      </c>
      <c r="G363" s="7">
        <f>VLOOKUP(A363,[1]Sheet!B$3:G$2921,5,0)</f>
        <v>727.58</v>
      </c>
      <c r="H363" s="5" t="e">
        <f>VLOOKUP(A363,N$3:S$1271,5,FALSE)</f>
        <v>#N/A</v>
      </c>
      <c r="I363" s="6">
        <f t="shared" si="21"/>
        <v>727.58</v>
      </c>
      <c r="J363" s="7">
        <f>VLOOKUP(A363,[1]Sheet!B$3:G$2921,6,0)</f>
        <v>515.71</v>
      </c>
      <c r="K363" s="8" t="e">
        <f t="shared" si="22"/>
        <v>#N/A</v>
      </c>
      <c r="L363" s="6">
        <f t="shared" si="23"/>
        <v>515.71</v>
      </c>
    </row>
    <row r="364" spans="1:12" x14ac:dyDescent="0.25">
      <c r="A364" s="9" t="s">
        <v>363</v>
      </c>
      <c r="B364" s="2" t="str">
        <f>VLOOKUP(A364,[1]Sheet!B$3:G$2921,2,0)</f>
        <v>Улаштування тепло- i звукоiзоляцiї
суцiльної з плит або мат мiнераловатних
або скловолокнистих</v>
      </c>
      <c r="C364" s="3" t="str">
        <f>VLOOKUP(A364,[1]Sheet!B$3:G$2921,3,0)</f>
        <v>100м2</v>
      </c>
      <c r="D364" s="4">
        <v>11.496700000000001</v>
      </c>
      <c r="E364" s="5" t="e">
        <f>VLOOKUP(A364,N$3:S$1271,4,FALSE)</f>
        <v>#N/A</v>
      </c>
      <c r="F364" s="6">
        <f t="shared" si="20"/>
        <v>11.496700000000001</v>
      </c>
      <c r="G364" s="7">
        <f>VLOOKUP(A364,[1]Sheet!B$3:G$2921,5,0)</f>
        <v>2128.41</v>
      </c>
      <c r="H364" s="5" t="e">
        <f>VLOOKUP(A364,N$3:S$1271,5,FALSE)</f>
        <v>#N/A</v>
      </c>
      <c r="I364" s="6">
        <f t="shared" si="21"/>
        <v>2128.41</v>
      </c>
      <c r="J364" s="7">
        <f>VLOOKUP(A364,[1]Sheet!B$3:G$2921,6,0)</f>
        <v>12884.54</v>
      </c>
      <c r="K364" s="8" t="e">
        <f t="shared" si="22"/>
        <v>#N/A</v>
      </c>
      <c r="L364" s="6">
        <f t="shared" si="23"/>
        <v>12884.54</v>
      </c>
    </row>
    <row r="365" spans="1:12" x14ac:dyDescent="0.25">
      <c r="A365" s="9" t="s">
        <v>364</v>
      </c>
      <c r="B365" s="2" t="str">
        <f>VLOOKUP(A365,[1]Sheet!B$3:G$2921,2,0)</f>
        <v>Улаштування тепло- i звукоiзоляцiї
суцiльної з плит деревноволокнистих</v>
      </c>
      <c r="C365" s="3" t="str">
        <f>VLOOKUP(A365,[1]Sheet!B$3:G$2921,3,0)</f>
        <v>100м2</v>
      </c>
      <c r="D365" s="4">
        <v>5.3</v>
      </c>
      <c r="E365" s="5" t="e">
        <f>VLOOKUP(A365,N$3:S$1271,4,FALSE)</f>
        <v>#N/A</v>
      </c>
      <c r="F365" s="6">
        <f t="shared" si="20"/>
        <v>5.3</v>
      </c>
      <c r="G365" s="7">
        <f>VLOOKUP(A365,[1]Sheet!B$3:G$2921,5,0)</f>
        <v>549.74</v>
      </c>
      <c r="H365" s="5" t="e">
        <f>VLOOKUP(A365,N$3:S$1271,5,FALSE)</f>
        <v>#N/A</v>
      </c>
      <c r="I365" s="6">
        <f t="shared" si="21"/>
        <v>549.74</v>
      </c>
      <c r="J365" s="7">
        <f>VLOOKUP(A365,[1]Sheet!B$3:G$2921,6,0)</f>
        <v>2913.62</v>
      </c>
      <c r="K365" s="8" t="e">
        <f t="shared" si="22"/>
        <v>#N/A</v>
      </c>
      <c r="L365" s="6">
        <f t="shared" si="23"/>
        <v>2913.62</v>
      </c>
    </row>
    <row r="366" spans="1:12" x14ac:dyDescent="0.25">
      <c r="A366" s="9" t="s">
        <v>365</v>
      </c>
      <c r="B366" s="2" t="str">
        <f>VLOOKUP(A366,[1]Sheet!B$3:G$2921,2,0)</f>
        <v>Фарбування фасадiв виключати</v>
      </c>
      <c r="C366" s="3" t="str">
        <f>VLOOKUP(A366,[1]Sheet!B$3:G$2921,3,0)</f>
        <v>100м2</v>
      </c>
      <c r="D366" s="4">
        <v>-0.66</v>
      </c>
      <c r="E366" s="5" t="e">
        <f>VLOOKUP(A366,N$3:S$1271,4,FALSE)</f>
        <v>#N/A</v>
      </c>
      <c r="F366" s="6">
        <f t="shared" si="20"/>
        <v>-0.66</v>
      </c>
      <c r="G366" s="7">
        <f>VLOOKUP(A366,[1]Sheet!B$3:G$2921,5,0)</f>
        <v>651.36</v>
      </c>
      <c r="H366" s="5" t="e">
        <f>VLOOKUP(A366,N$3:S$1271,5,FALSE)</f>
        <v>#N/A</v>
      </c>
      <c r="I366" s="6">
        <f t="shared" si="21"/>
        <v>651.36</v>
      </c>
      <c r="J366" s="7">
        <f>VLOOKUP(A366,[1]Sheet!B$3:G$2921,6,0)</f>
        <v>-428.59</v>
      </c>
      <c r="K366" s="8" t="e">
        <f t="shared" si="22"/>
        <v>#N/A</v>
      </c>
      <c r="L366" s="6">
        <f t="shared" si="23"/>
        <v>-428.59</v>
      </c>
    </row>
    <row r="367" spans="1:12" x14ac:dyDescent="0.25">
      <c r="A367" s="9" t="s">
        <v>366</v>
      </c>
      <c r="B367" s="2" t="str">
        <f>VLOOKUP(A367,[1]Sheet!B$3:G$2921,2,0)</f>
        <v>Полiпшене фарбування плит перекриття</v>
      </c>
      <c r="C367" s="3" t="str">
        <f>VLOOKUP(A367,[1]Sheet!B$3:G$2921,3,0)</f>
        <v>100м2</v>
      </c>
      <c r="D367" s="4">
        <v>1.7810000000000001</v>
      </c>
      <c r="E367" s="5" t="e">
        <f>VLOOKUP(A367,N$3:S$1271,4,FALSE)</f>
        <v>#N/A</v>
      </c>
      <c r="F367" s="6">
        <f t="shared" si="20"/>
        <v>1.7810000000000001</v>
      </c>
      <c r="G367" s="7">
        <f>VLOOKUP(A367,[1]Sheet!B$3:G$2921,5,0)</f>
        <v>5385.47</v>
      </c>
      <c r="H367" s="5" t="e">
        <f>VLOOKUP(A367,N$3:S$1271,5,FALSE)</f>
        <v>#N/A</v>
      </c>
      <c r="I367" s="6">
        <f t="shared" si="21"/>
        <v>5385.47</v>
      </c>
      <c r="J367" s="7">
        <f>VLOOKUP(A367,[1]Sheet!B$3:G$2921,6,0)</f>
        <v>9591.52</v>
      </c>
      <c r="K367" s="8" t="e">
        <f t="shared" si="22"/>
        <v>#N/A</v>
      </c>
      <c r="L367" s="6">
        <f t="shared" si="23"/>
        <v>9591.52</v>
      </c>
    </row>
    <row r="368" spans="1:12" x14ac:dyDescent="0.25">
      <c r="A368" s="9" t="s">
        <v>367</v>
      </c>
      <c r="B368" s="2" t="str">
        <f>VLOOKUP(A368,[1]Sheet!B$3:G$2921,2,0)</f>
        <v>Покриття пiдлоги лаком за 2 рази</v>
      </c>
      <c r="C368" s="3" t="str">
        <f>VLOOKUP(A368,[1]Sheet!B$3:G$2921,3,0)</f>
        <v>100м2</v>
      </c>
      <c r="D368" s="4">
        <v>0.06</v>
      </c>
      <c r="E368" s="5" t="e">
        <f>VLOOKUP(A368,N$3:S$1271,4,FALSE)</f>
        <v>#N/A</v>
      </c>
      <c r="F368" s="6">
        <f t="shared" si="20"/>
        <v>0.06</v>
      </c>
      <c r="G368" s="7">
        <f>VLOOKUP(A368,[1]Sheet!B$3:G$2921,5,0)</f>
        <v>2889.25</v>
      </c>
      <c r="H368" s="5" t="e">
        <f>VLOOKUP(A368,N$3:S$1271,5,FALSE)</f>
        <v>#N/A</v>
      </c>
      <c r="I368" s="6">
        <f t="shared" si="21"/>
        <v>2889.25</v>
      </c>
      <c r="J368" s="7">
        <f>VLOOKUP(A368,[1]Sheet!B$3:G$2921,6,0)</f>
        <v>173.36</v>
      </c>
      <c r="K368" s="8" t="e">
        <f t="shared" si="22"/>
        <v>#N/A</v>
      </c>
      <c r="L368" s="6">
        <f t="shared" si="23"/>
        <v>173.36</v>
      </c>
    </row>
    <row r="369" spans="1:12" x14ac:dyDescent="0.25">
      <c r="A369" s="9" t="s">
        <v>368</v>
      </c>
      <c r="B369" s="2" t="str">
        <f>VLOOKUP(A369,[1]Sheet!B$3:G$2921,2,0)</f>
        <v>Олiйне фарбування бiлилами з додаванням
кольору сталевих балок, труб дiаметром
понад 50 мм тощо за два рази</v>
      </c>
      <c r="C369" s="3" t="str">
        <f>VLOOKUP(A369,[1]Sheet!B$3:G$2921,3,0)</f>
        <v>100м2</v>
      </c>
      <c r="D369" s="4">
        <v>2.2805</v>
      </c>
      <c r="E369" s="5" t="e">
        <f>VLOOKUP(A369,N$3:S$1271,4,FALSE)</f>
        <v>#N/A</v>
      </c>
      <c r="F369" s="6">
        <f t="shared" si="20"/>
        <v>2.2805</v>
      </c>
      <c r="G369" s="7">
        <f>VLOOKUP(A369,[1]Sheet!B$3:G$2921,5,0)</f>
        <v>4034.36</v>
      </c>
      <c r="H369" s="5" t="e">
        <f>VLOOKUP(A369,N$3:S$1271,5,FALSE)</f>
        <v>#N/A</v>
      </c>
      <c r="I369" s="6">
        <f t="shared" si="21"/>
        <v>4034.36</v>
      </c>
      <c r="J369" s="7">
        <f>VLOOKUP(A369,[1]Sheet!B$3:G$2921,6,0)</f>
        <v>2081.73</v>
      </c>
      <c r="K369" s="8" t="e">
        <f t="shared" si="22"/>
        <v>#N/A</v>
      </c>
      <c r="L369" s="6">
        <f t="shared" si="23"/>
        <v>2081.73</v>
      </c>
    </row>
    <row r="370" spans="1:12" x14ac:dyDescent="0.25">
      <c r="A370" s="9" t="s">
        <v>369</v>
      </c>
      <c r="B370" s="2" t="str">
        <f>VLOOKUP(A370,[1]Sheet!B$3:G$2921,2,0)</f>
        <v>Олiйне фарбування бiлилами з додаванням
кольору грат, рам, труб дiаметром менше
50 мм тощо за два рази</v>
      </c>
      <c r="C370" s="3" t="str">
        <f>VLOOKUP(A370,[1]Sheet!B$3:G$2921,3,0)</f>
        <v>100м2</v>
      </c>
      <c r="D370" s="4">
        <v>2.7066999999999997</v>
      </c>
      <c r="E370" s="5" t="e">
        <f>VLOOKUP(A370,N$3:S$1271,4,FALSE)</f>
        <v>#N/A</v>
      </c>
      <c r="F370" s="6">
        <f t="shared" si="20"/>
        <v>2.7066999999999997</v>
      </c>
      <c r="G370" s="7">
        <f>VLOOKUP(A370,[1]Sheet!B$3:G$2921,5,0)</f>
        <v>7076.82</v>
      </c>
      <c r="H370" s="5" t="e">
        <f>VLOOKUP(A370,N$3:S$1271,5,FALSE)</f>
        <v>#N/A</v>
      </c>
      <c r="I370" s="6">
        <f t="shared" si="21"/>
        <v>7076.82</v>
      </c>
      <c r="J370" s="7">
        <f>VLOOKUP(A370,[1]Sheet!B$3:G$2921,6,0)</f>
        <v>472.02</v>
      </c>
      <c r="K370" s="8" t="e">
        <f t="shared" si="22"/>
        <v>#N/A</v>
      </c>
      <c r="L370" s="6">
        <f t="shared" si="23"/>
        <v>472.02</v>
      </c>
    </row>
    <row r="371" spans="1:12" x14ac:dyDescent="0.25">
      <c r="A371" s="9" t="s">
        <v>370</v>
      </c>
      <c r="B371" s="2" t="str">
        <f>VLOOKUP(A371,[1]Sheet!B$3:G$2921,2,0)</f>
        <v>Фарбування суриком грат, рам, радiаторiв,
труб дiаметром менше 50 мм тощо за два
рази (драбин)</v>
      </c>
      <c r="C371" s="3" t="str">
        <f>VLOOKUP(A371,[1]Sheet!B$3:G$2921,3,0)</f>
        <v>100м2</v>
      </c>
      <c r="D371" s="4">
        <v>4.1891999999999999E-2</v>
      </c>
      <c r="E371" s="5" t="e">
        <f>VLOOKUP(A371,N$3:S$1271,4,FALSE)</f>
        <v>#N/A</v>
      </c>
      <c r="F371" s="6">
        <f t="shared" si="20"/>
        <v>4.1891999999999999E-2</v>
      </c>
      <c r="G371" s="7">
        <f>VLOOKUP(A371,[1]Sheet!B$3:G$2921,5,0)</f>
        <v>9290.8799999999992</v>
      </c>
      <c r="H371" s="5" t="e">
        <f>VLOOKUP(A371,N$3:S$1271,5,FALSE)</f>
        <v>#N/A</v>
      </c>
      <c r="I371" s="6">
        <f t="shared" si="21"/>
        <v>9290.8799999999992</v>
      </c>
      <c r="J371" s="7">
        <f>VLOOKUP(A371,[1]Sheet!B$3:G$2921,6,0)</f>
        <v>203.4</v>
      </c>
      <c r="K371" s="8" t="e">
        <f t="shared" si="22"/>
        <v>#N/A</v>
      </c>
      <c r="L371" s="6">
        <f t="shared" si="23"/>
        <v>203.4</v>
      </c>
    </row>
    <row r="372" spans="1:12" x14ac:dyDescent="0.25">
      <c r="A372" s="9" t="s">
        <v>371</v>
      </c>
      <c r="B372" s="2" t="str">
        <f>VLOOKUP(A372,[1]Sheet!B$3:G$2921,2,0)</f>
        <v>Полiпшене фарбування стiн
полiвiнiлацетатними водоемульсiйними
сумiшами по штукатурцi</v>
      </c>
      <c r="C372" s="3" t="str">
        <f>VLOOKUP(A372,[1]Sheet!B$3:G$2921,3,0)</f>
        <v>100м2</v>
      </c>
      <c r="D372" s="4">
        <v>8.500000000000002E-2</v>
      </c>
      <c r="E372" s="5" t="e">
        <f>VLOOKUP(A372,N$3:S$1271,4,FALSE)</f>
        <v>#N/A</v>
      </c>
      <c r="F372" s="6">
        <f t="shared" si="20"/>
        <v>8.500000000000002E-2</v>
      </c>
      <c r="G372" s="7">
        <f>VLOOKUP(A372,[1]Sheet!B$3:G$2921,5,0)</f>
        <v>8024.09</v>
      </c>
      <c r="H372" s="5" t="e">
        <f>VLOOKUP(A372,N$3:S$1271,5,FALSE)</f>
        <v>#N/A</v>
      </c>
      <c r="I372" s="6">
        <f t="shared" si="21"/>
        <v>8024.09</v>
      </c>
      <c r="J372" s="7">
        <f>VLOOKUP(A372,[1]Sheet!B$3:G$2921,6,0)</f>
        <v>682.05</v>
      </c>
      <c r="K372" s="8" t="e">
        <f t="shared" si="22"/>
        <v>#N/A</v>
      </c>
      <c r="L372" s="6">
        <f t="shared" si="23"/>
        <v>682.05</v>
      </c>
    </row>
    <row r="373" spans="1:12" x14ac:dyDescent="0.25">
      <c r="A373" s="9" t="s">
        <v>372</v>
      </c>
      <c r="B373" s="2" t="str">
        <f>VLOOKUP(A373,[1]Sheet!B$3:G$2921,2,0)</f>
        <v>Полiпшене фарбування стiн
полiвiнiлацетатними водоемульсiйними
сумiшами по збiрних конструкцiях,
пiдготовлених пiд фарбування</v>
      </c>
      <c r="C373" s="3" t="str">
        <f>VLOOKUP(A373,[1]Sheet!B$3:G$2921,3,0)</f>
        <v>100м2</v>
      </c>
      <c r="D373" s="4">
        <v>15.095800000000001</v>
      </c>
      <c r="E373" s="5" t="e">
        <f>VLOOKUP(A373,N$3:S$1271,4,FALSE)</f>
        <v>#N/A</v>
      </c>
      <c r="F373" s="6">
        <f t="shared" si="20"/>
        <v>15.095800000000001</v>
      </c>
      <c r="G373" s="7">
        <f>VLOOKUP(A373,[1]Sheet!B$3:G$2921,5,0)</f>
        <v>2621.71</v>
      </c>
      <c r="H373" s="5" t="e">
        <f>VLOOKUP(A373,N$3:S$1271,5,FALSE)</f>
        <v>#N/A</v>
      </c>
      <c r="I373" s="6">
        <f t="shared" si="21"/>
        <v>2621.71</v>
      </c>
      <c r="J373" s="7">
        <f>VLOOKUP(A373,[1]Sheet!B$3:G$2921,6,0)</f>
        <v>10180.1</v>
      </c>
      <c r="K373" s="8" t="e">
        <f t="shared" si="22"/>
        <v>#N/A</v>
      </c>
      <c r="L373" s="6">
        <f t="shared" si="23"/>
        <v>10180.1</v>
      </c>
    </row>
    <row r="374" spans="1:12" x14ac:dyDescent="0.25">
      <c r="A374" s="9" t="s">
        <v>373</v>
      </c>
      <c r="B374" s="2" t="str">
        <f>VLOOKUP(A374,[1]Sheet!B$3:G$2921,2,0)</f>
        <v>Полiпшене фарбування стель
полiвiнiлацетатними водоемульсiйними
сумiшами по збiрних конструкцiях,
пiдготовлених пiд фарбування</v>
      </c>
      <c r="C374" s="3" t="str">
        <f>VLOOKUP(A374,[1]Sheet!B$3:G$2921,3,0)</f>
        <v>100м2</v>
      </c>
      <c r="D374" s="4">
        <v>0.1154</v>
      </c>
      <c r="E374" s="5" t="e">
        <f>VLOOKUP(A374,N$3:S$1271,4,FALSE)</f>
        <v>#N/A</v>
      </c>
      <c r="F374" s="6">
        <f t="shared" si="20"/>
        <v>0.1154</v>
      </c>
      <c r="G374" s="7">
        <f>VLOOKUP(A374,[1]Sheet!B$3:G$2921,5,0)</f>
        <v>2948.61</v>
      </c>
      <c r="H374" s="5" t="e">
        <f>VLOOKUP(A374,N$3:S$1271,5,FALSE)</f>
        <v>#N/A</v>
      </c>
      <c r="I374" s="6">
        <f t="shared" si="21"/>
        <v>2948.61</v>
      </c>
      <c r="J374" s="7">
        <f>VLOOKUP(A374,[1]Sheet!B$3:G$2921,6,0)</f>
        <v>340.27</v>
      </c>
      <c r="K374" s="8" t="e">
        <f t="shared" si="22"/>
        <v>#N/A</v>
      </c>
      <c r="L374" s="6">
        <f t="shared" si="23"/>
        <v>340.27</v>
      </c>
    </row>
    <row r="375" spans="1:12" x14ac:dyDescent="0.25">
      <c r="A375" s="9" t="s">
        <v>374</v>
      </c>
      <c r="B375" s="2" t="str">
        <f>VLOOKUP(A375,[1]Sheet!B$3:G$2921,2,0)</f>
        <v>Шпаклювання стiн шпаклiвкою "Кнауф"</v>
      </c>
      <c r="C375" s="3" t="str">
        <f>VLOOKUP(A375,[1]Sheet!B$3:G$2921,3,0)</f>
        <v>100м2</v>
      </c>
      <c r="D375" s="4">
        <v>15.095800000000001</v>
      </c>
      <c r="E375" s="5" t="e">
        <f>VLOOKUP(A375,N$3:S$1271,4,FALSE)</f>
        <v>#N/A</v>
      </c>
      <c r="F375" s="6">
        <f t="shared" si="20"/>
        <v>15.095800000000001</v>
      </c>
      <c r="G375" s="7">
        <f>VLOOKUP(A375,[1]Sheet!B$3:G$2921,5,0)</f>
        <v>4420.88</v>
      </c>
      <c r="H375" s="5" t="e">
        <f>VLOOKUP(A375,N$3:S$1271,5,FALSE)</f>
        <v>#N/A</v>
      </c>
      <c r="I375" s="6">
        <f t="shared" si="21"/>
        <v>4420.88</v>
      </c>
      <c r="J375" s="7">
        <f>VLOOKUP(A375,[1]Sheet!B$3:G$2921,6,0)</f>
        <v>17166.28</v>
      </c>
      <c r="K375" s="8" t="e">
        <f t="shared" si="22"/>
        <v>#N/A</v>
      </c>
      <c r="L375" s="6">
        <f t="shared" si="23"/>
        <v>17166.28</v>
      </c>
    </row>
    <row r="376" spans="1:12" x14ac:dyDescent="0.25">
      <c r="A376" s="9" t="s">
        <v>375</v>
      </c>
      <c r="B376" s="2" t="str">
        <f>VLOOKUP(A376,[1]Sheet!B$3:G$2921,2,0)</f>
        <v>Шпаклювання стель шпаклiвкою "Кнауф"</v>
      </c>
      <c r="C376" s="3" t="str">
        <f>VLOOKUP(A376,[1]Sheet!B$3:G$2921,3,0)</f>
        <v>100м2</v>
      </c>
      <c r="D376" s="4">
        <v>0.1154</v>
      </c>
      <c r="E376" s="5" t="e">
        <f>VLOOKUP(A376,N$3:S$1271,4,FALSE)</f>
        <v>#N/A</v>
      </c>
      <c r="F376" s="6">
        <f t="shared" si="20"/>
        <v>0.1154</v>
      </c>
      <c r="G376" s="7">
        <f>VLOOKUP(A376,[1]Sheet!B$3:G$2921,5,0)</f>
        <v>5798.68</v>
      </c>
      <c r="H376" s="5" t="e">
        <f>VLOOKUP(A376,N$3:S$1271,5,FALSE)</f>
        <v>#N/A</v>
      </c>
      <c r="I376" s="6">
        <f t="shared" si="21"/>
        <v>5798.68</v>
      </c>
      <c r="J376" s="7">
        <f>VLOOKUP(A376,[1]Sheet!B$3:G$2921,6,0)</f>
        <v>669.17</v>
      </c>
      <c r="K376" s="8" t="e">
        <f t="shared" si="22"/>
        <v>#N/A</v>
      </c>
      <c r="L376" s="6">
        <f t="shared" si="23"/>
        <v>669.17</v>
      </c>
    </row>
    <row r="377" spans="1:12" x14ac:dyDescent="0.25">
      <c r="A377" s="9" t="s">
        <v>376</v>
      </c>
      <c r="B377" s="2" t="str">
        <f>VLOOKUP(A377,[1]Sheet!B$3:G$2921,2,0)</f>
        <v>Облицювання поверхонь стін керамiчними
плитками на розчині із сухої клеючої суміші,
число плиток в 1 м2 понад 12 до 20 шт</v>
      </c>
      <c r="C377" s="3" t="str">
        <f>VLOOKUP(A377,[1]Sheet!B$3:G$2921,3,0)</f>
        <v>100м2</v>
      </c>
      <c r="D377" s="4">
        <v>8.5667999999999989</v>
      </c>
      <c r="E377" s="5" t="e">
        <f>VLOOKUP(A377,N$3:S$1271,4,FALSE)</f>
        <v>#N/A</v>
      </c>
      <c r="F377" s="6">
        <f t="shared" si="20"/>
        <v>8.5667999999999989</v>
      </c>
      <c r="G377" s="7">
        <f>VLOOKUP(A377,[1]Sheet!B$3:G$2921,5,0)</f>
        <v>19192</v>
      </c>
      <c r="H377" s="5" t="e">
        <f>VLOOKUP(A377,N$3:S$1271,5,FALSE)</f>
        <v>#N/A</v>
      </c>
      <c r="I377" s="6">
        <f t="shared" si="21"/>
        <v>19192</v>
      </c>
      <c r="J377" s="7">
        <f>VLOOKUP(A377,[1]Sheet!B$3:G$2921,6,0)</f>
        <v>6026.29</v>
      </c>
      <c r="K377" s="8" t="e">
        <f t="shared" si="22"/>
        <v>#N/A</v>
      </c>
      <c r="L377" s="6">
        <f t="shared" si="23"/>
        <v>6026.29</v>
      </c>
    </row>
    <row r="378" spans="1:12" x14ac:dyDescent="0.25">
      <c r="A378" s="9" t="s">
        <v>377</v>
      </c>
      <c r="B378" s="2" t="str">
        <f>VLOOKUP(A378,[1]Sheet!B$3:G$2921,2,0)</f>
        <v>Обклеювання стiн полiвiнiлхлоридною
декоративно-оздоблювальною
самоклеючою плівкою (Фольгова
теплоізоляція з матеріалу Пінофол)</v>
      </c>
      <c r="C378" s="3" t="str">
        <f>VLOOKUP(A378,[1]Sheet!B$3:G$2921,3,0)</f>
        <v>100м2</v>
      </c>
      <c r="D378" s="4">
        <v>0.28100000000000003</v>
      </c>
      <c r="E378" s="5" t="e">
        <f>VLOOKUP(A378,N$3:S$1271,4,FALSE)</f>
        <v>#N/A</v>
      </c>
      <c r="F378" s="6">
        <f t="shared" si="20"/>
        <v>0.28100000000000003</v>
      </c>
      <c r="G378" s="7">
        <f>VLOOKUP(A378,[1]Sheet!B$3:G$2921,5,0)</f>
        <v>5287.24</v>
      </c>
      <c r="H378" s="5" t="e">
        <f>VLOOKUP(A378,N$3:S$1271,5,FALSE)</f>
        <v>#N/A</v>
      </c>
      <c r="I378" s="6">
        <f t="shared" si="21"/>
        <v>5287.24</v>
      </c>
      <c r="J378" s="7">
        <f>VLOOKUP(A378,[1]Sheet!B$3:G$2921,6,0)</f>
        <v>1485.71</v>
      </c>
      <c r="K378" s="8" t="e">
        <f t="shared" si="22"/>
        <v>#N/A</v>
      </c>
      <c r="L378" s="6">
        <f t="shared" si="23"/>
        <v>1485.71</v>
      </c>
    </row>
    <row r="379" spans="1:12" x14ac:dyDescent="0.25">
      <c r="A379" s="9" t="s">
        <v>378</v>
      </c>
      <c r="B379" s="2" t="str">
        <f>VLOOKUP(A379,[1]Sheet!B$3:G$2921,2,0)</f>
        <v>Улаштування покриттів східців і підсхідців
з керамiчних плиток розміром 30х30 см на
розчині із сухої клеючої суміші</v>
      </c>
      <c r="C379" s="3" t="str">
        <f>VLOOKUP(A379,[1]Sheet!B$3:G$2921,3,0)</f>
        <v>1 м2</v>
      </c>
      <c r="D379" s="4">
        <v>8.6</v>
      </c>
      <c r="E379" s="5" t="e">
        <f>VLOOKUP(A379,N$3:S$1271,4,FALSE)</f>
        <v>#N/A</v>
      </c>
      <c r="F379" s="6">
        <f t="shared" si="20"/>
        <v>8.6</v>
      </c>
      <c r="G379" s="7">
        <f>VLOOKUP(A379,[1]Sheet!B$3:G$2921,5,0)</f>
        <v>363.77</v>
      </c>
      <c r="H379" s="5" t="e">
        <f>VLOOKUP(A379,N$3:S$1271,5,FALSE)</f>
        <v>#N/A</v>
      </c>
      <c r="I379" s="6">
        <f t="shared" si="21"/>
        <v>363.77</v>
      </c>
      <c r="J379" s="7">
        <f>VLOOKUP(A379,[1]Sheet!B$3:G$2921,6,0)</f>
        <v>3128.42</v>
      </c>
      <c r="K379" s="8" t="e">
        <f t="shared" si="22"/>
        <v>#N/A</v>
      </c>
      <c r="L379" s="6">
        <f t="shared" si="23"/>
        <v>3128.42</v>
      </c>
    </row>
    <row r="380" spans="1:12" x14ac:dyDescent="0.25">
      <c r="A380" s="9" t="s">
        <v>379</v>
      </c>
      <c r="B380" s="2" t="str">
        <f>VLOOKUP(A380,[1]Sheet!B$3:G$2921,2,0)</f>
        <v>Просте штукатурення цементно-
вапняним розчином по каменю i бетону
стін вручну</v>
      </c>
      <c r="C380" s="3" t="str">
        <f>VLOOKUP(A380,[1]Sheet!B$3:G$2921,3,0)</f>
        <v>100м2</v>
      </c>
      <c r="D380" s="4">
        <v>1.1636000000000002</v>
      </c>
      <c r="E380" s="5" t="e">
        <f>VLOOKUP(A380,N$3:S$1271,4,FALSE)</f>
        <v>#N/A</v>
      </c>
      <c r="F380" s="6">
        <f t="shared" si="20"/>
        <v>1.1636000000000002</v>
      </c>
      <c r="G380" s="7">
        <f>VLOOKUP(A380,[1]Sheet!B$3:G$2921,5,0)</f>
        <v>10289.19</v>
      </c>
      <c r="H380" s="5" t="e">
        <f>VLOOKUP(A380,N$3:S$1271,5,FALSE)</f>
        <v>#N/A</v>
      </c>
      <c r="I380" s="6">
        <f t="shared" si="21"/>
        <v>10289.19</v>
      </c>
      <c r="J380" s="7">
        <f>VLOOKUP(A380,[1]Sheet!B$3:G$2921,6,0)</f>
        <v>1694.63</v>
      </c>
      <c r="K380" s="8" t="e">
        <f t="shared" si="22"/>
        <v>#N/A</v>
      </c>
      <c r="L380" s="6">
        <f t="shared" si="23"/>
        <v>1694.63</v>
      </c>
    </row>
    <row r="381" spans="1:12" x14ac:dyDescent="0.25">
      <c r="A381" s="9" t="s">
        <v>380</v>
      </c>
      <c r="B381" s="2" t="str">
        <f>VLOOKUP(A381,[1]Sheet!B$3:G$2921,2,0)</f>
        <v>Поліпшенене штукатурення цементно-
вапняним розчином по каменю i бетону
стін вручну</v>
      </c>
      <c r="C381" s="3" t="str">
        <f>VLOOKUP(A381,[1]Sheet!B$3:G$2921,3,0)</f>
        <v>100м2</v>
      </c>
      <c r="D381" s="4">
        <v>3.6510000000000002</v>
      </c>
      <c r="E381" s="5" t="e">
        <f>VLOOKUP(A381,N$3:S$1271,4,FALSE)</f>
        <v>#N/A</v>
      </c>
      <c r="F381" s="6">
        <f t="shared" si="20"/>
        <v>3.6510000000000002</v>
      </c>
      <c r="G381" s="7">
        <f>VLOOKUP(A381,[1]Sheet!B$3:G$2921,5,0)</f>
        <v>14425</v>
      </c>
      <c r="H381" s="5" t="e">
        <f>VLOOKUP(A381,N$3:S$1271,5,FALSE)</f>
        <v>#N/A</v>
      </c>
      <c r="I381" s="6">
        <f t="shared" si="21"/>
        <v>14425</v>
      </c>
      <c r="J381" s="7">
        <f>VLOOKUP(A381,[1]Sheet!B$3:G$2921,6,0)</f>
        <v>1658.88</v>
      </c>
      <c r="K381" s="8" t="e">
        <f t="shared" si="22"/>
        <v>#N/A</v>
      </c>
      <c r="L381" s="6">
        <f t="shared" si="23"/>
        <v>1658.88</v>
      </c>
    </row>
    <row r="382" spans="1:12" x14ac:dyDescent="0.25">
      <c r="A382" s="9" t="s">
        <v>381</v>
      </c>
      <c r="B382" s="2" t="str">
        <f>VLOOKUP(A382,[1]Sheet!B$3:G$2921,2,0)</f>
        <v>Поліпшенене штукатурення цементно-
вапняним розчином по каменю i бетону
стін вручну у примiщеннях висотою
бiльше 4 м iз готових риштувань</v>
      </c>
      <c r="C382" s="3" t="str">
        <f>VLOOKUP(A382,[1]Sheet!B$3:G$2921,3,0)</f>
        <v>100м2</v>
      </c>
      <c r="D382" s="4">
        <v>2.4323000000000001</v>
      </c>
      <c r="E382" s="5" t="e">
        <f>VLOOKUP(A382,N$3:S$1271,4,FALSE)</f>
        <v>#N/A</v>
      </c>
      <c r="F382" s="6">
        <f t="shared" si="20"/>
        <v>2.4323000000000001</v>
      </c>
      <c r="G382" s="7">
        <f>VLOOKUP(A382,[1]Sheet!B$3:G$2921,5,0)</f>
        <v>13631.65</v>
      </c>
      <c r="H382" s="5" t="e">
        <f>VLOOKUP(A382,N$3:S$1271,5,FALSE)</f>
        <v>#N/A</v>
      </c>
      <c r="I382" s="6">
        <f t="shared" si="21"/>
        <v>13631.65</v>
      </c>
      <c r="J382" s="7">
        <f>VLOOKUP(A382,[1]Sheet!B$3:G$2921,6,0)</f>
        <v>33156.26</v>
      </c>
      <c r="K382" s="8" t="e">
        <f t="shared" si="22"/>
        <v>#N/A</v>
      </c>
      <c r="L382" s="6">
        <f t="shared" si="23"/>
        <v>33156.26</v>
      </c>
    </row>
    <row r="383" spans="1:12" x14ac:dyDescent="0.25">
      <c r="A383" s="9" t="s">
        <v>382</v>
      </c>
      <c r="B383" s="2" t="str">
        <f>VLOOKUP(A383,[1]Sheet!B$3:G$2921,2,0)</f>
        <v>Штукатурення вiконних i дверних плоских
косякiв по каменю i бетону</v>
      </c>
      <c r="C383" s="3" t="str">
        <f>VLOOKUP(A383,[1]Sheet!B$3:G$2921,3,0)</f>
        <v>100м2</v>
      </c>
      <c r="D383" s="4">
        <v>8.500000000000002E-2</v>
      </c>
      <c r="E383" s="5" t="e">
        <f>VLOOKUP(A383,N$3:S$1271,4,FALSE)</f>
        <v>#N/A</v>
      </c>
      <c r="F383" s="6">
        <f t="shared" si="20"/>
        <v>8.500000000000002E-2</v>
      </c>
      <c r="G383" s="7">
        <f>VLOOKUP(A383,[1]Sheet!B$3:G$2921,5,0)</f>
        <v>30459.35</v>
      </c>
      <c r="H383" s="5" t="e">
        <f>VLOOKUP(A383,N$3:S$1271,5,FALSE)</f>
        <v>#N/A</v>
      </c>
      <c r="I383" s="6">
        <f t="shared" si="21"/>
        <v>30459.35</v>
      </c>
      <c r="J383" s="7">
        <f>VLOOKUP(A383,[1]Sheet!B$3:G$2921,6,0)</f>
        <v>2589.04</v>
      </c>
      <c r="K383" s="8" t="e">
        <f t="shared" si="22"/>
        <v>#N/A</v>
      </c>
      <c r="L383" s="6">
        <f t="shared" si="23"/>
        <v>2589.04</v>
      </c>
    </row>
    <row r="384" spans="1:12" x14ac:dyDescent="0.25">
      <c r="A384" s="9" t="s">
        <v>383</v>
      </c>
      <c r="B384" s="2" t="str">
        <f>VLOOKUP(A384,[1]Sheet!B$3:G$2921,2,0)</f>
        <v>Оббивання поверхонь стін iзоляцiйним
матерiалом</v>
      </c>
      <c r="C384" s="3" t="str">
        <f>VLOOKUP(A384,[1]Sheet!B$3:G$2921,3,0)</f>
        <v>100м2</v>
      </c>
      <c r="D384" s="4">
        <v>8.1242000000000001</v>
      </c>
      <c r="E384" s="5" t="e">
        <f>VLOOKUP(A384,N$3:S$1271,4,FALSE)</f>
        <v>#N/A</v>
      </c>
      <c r="F384" s="6">
        <f t="shared" si="20"/>
        <v>8.1242000000000001</v>
      </c>
      <c r="G384" s="7">
        <f>VLOOKUP(A384,[1]Sheet!B$3:G$2921,5,0)</f>
        <v>295.98</v>
      </c>
      <c r="H384" s="5" t="e">
        <f>VLOOKUP(A384,N$3:S$1271,5,FALSE)</f>
        <v>#N/A</v>
      </c>
      <c r="I384" s="6">
        <f t="shared" si="21"/>
        <v>295.98</v>
      </c>
      <c r="J384" s="7">
        <f>VLOOKUP(A384,[1]Sheet!B$3:G$2921,6,0)</f>
        <v>2084.94</v>
      </c>
      <c r="K384" s="8" t="e">
        <f t="shared" si="22"/>
        <v>#N/A</v>
      </c>
      <c r="L384" s="6">
        <f t="shared" si="23"/>
        <v>2084.94</v>
      </c>
    </row>
    <row r="385" spans="1:12" x14ac:dyDescent="0.25">
      <c r="A385" s="9" t="s">
        <v>384</v>
      </c>
      <c r="B385" s="2" t="str">
        <f>VLOOKUP(A385,[1]Sheet!B$3:G$2921,2,0)</f>
        <v>Полiпшене штукатурення по сiтцi стiн
без улаштування каркаса</v>
      </c>
      <c r="C385" s="3" t="str">
        <f>VLOOKUP(A385,[1]Sheet!B$3:G$2921,3,0)</f>
        <v>100м2</v>
      </c>
      <c r="D385" s="4">
        <v>0.29089999999999999</v>
      </c>
      <c r="E385" s="5" t="e">
        <f>VLOOKUP(A385,N$3:S$1271,4,FALSE)</f>
        <v>#N/A</v>
      </c>
      <c r="F385" s="6">
        <f t="shared" si="20"/>
        <v>0.29089999999999999</v>
      </c>
      <c r="G385" s="7">
        <f>VLOOKUP(A385,[1]Sheet!B$3:G$2921,5,0)</f>
        <v>36298.76</v>
      </c>
      <c r="H385" s="5" t="e">
        <f>VLOOKUP(A385,N$3:S$1271,5,FALSE)</f>
        <v>#N/A</v>
      </c>
      <c r="I385" s="6">
        <f t="shared" si="21"/>
        <v>36298.76</v>
      </c>
      <c r="J385" s="7">
        <f>VLOOKUP(A385,[1]Sheet!B$3:G$2921,6,0)</f>
        <v>10559.31</v>
      </c>
      <c r="K385" s="8" t="e">
        <f t="shared" si="22"/>
        <v>#N/A</v>
      </c>
      <c r="L385" s="6">
        <f t="shared" si="23"/>
        <v>10559.31</v>
      </c>
    </row>
    <row r="386" spans="1:12" x14ac:dyDescent="0.25">
      <c r="A386" s="9" t="s">
        <v>385</v>
      </c>
      <c r="B386" s="2" t="str">
        <f>VLOOKUP(A386,[1]Sheet!B$3:G$2921,2,0)</f>
        <v>Улаштування обшивки стін
гіпсокартонними і гіпсоволокнистими
листами на клеї</v>
      </c>
      <c r="C386" s="3" t="str">
        <f>VLOOKUP(A386,[1]Sheet!B$3:G$2921,3,0)</f>
        <v>100м2</v>
      </c>
      <c r="D386" s="4">
        <v>5.0035000000000007</v>
      </c>
      <c r="E386" s="5" t="e">
        <f>VLOOKUP(A386,N$3:S$1271,4,FALSE)</f>
        <v>#N/A</v>
      </c>
      <c r="F386" s="6">
        <f t="shared" ref="F386:F449" si="24">IFERROR(D386-E386,D386)</f>
        <v>5.0035000000000007</v>
      </c>
      <c r="G386" s="7">
        <f>VLOOKUP(A386,[1]Sheet!B$3:G$2921,5,0)</f>
        <v>5645.83</v>
      </c>
      <c r="H386" s="5" t="e">
        <f>VLOOKUP(A386,N$3:S$1271,5,FALSE)</f>
        <v>#N/A</v>
      </c>
      <c r="I386" s="6">
        <f t="shared" ref="I386:I449" si="25">IFERROR(G386-H386,G386)</f>
        <v>5645.83</v>
      </c>
      <c r="J386" s="7">
        <f>VLOOKUP(A386,[1]Sheet!B$3:G$2921,6,0)</f>
        <v>11009.37</v>
      </c>
      <c r="K386" s="8" t="e">
        <f t="shared" ref="K386:K449" si="26">VLOOKUP(A386,N$3:S$1271,6,FALSE)</f>
        <v>#N/A</v>
      </c>
      <c r="L386" s="6">
        <f t="shared" ref="L386:L449" si="27">IFERROR(J386-K386,J386)</f>
        <v>11009.37</v>
      </c>
    </row>
    <row r="387" spans="1:12" x14ac:dyDescent="0.25">
      <c r="A387" s="9" t="s">
        <v>386</v>
      </c>
      <c r="B387" s="2" t="str">
        <f>VLOOKUP(A387,[1]Sheet!B$3:G$2921,2,0)</f>
        <v>Улаштування обшивки укосів
гіпсокартонними і гіпсоволокнистими
листами з кріпленням на клеї</v>
      </c>
      <c r="C387" s="3" t="str">
        <f>VLOOKUP(A387,[1]Sheet!B$3:G$2921,3,0)</f>
        <v>100м2</v>
      </c>
      <c r="D387" s="4">
        <v>8.2000000000000003E-2</v>
      </c>
      <c r="E387" s="5" t="e">
        <f>VLOOKUP(A387,N$3:S$1271,4,FALSE)</f>
        <v>#N/A</v>
      </c>
      <c r="F387" s="6">
        <f t="shared" si="24"/>
        <v>8.2000000000000003E-2</v>
      </c>
      <c r="G387" s="7">
        <f>VLOOKUP(A387,[1]Sheet!B$3:G$2921,5,0)</f>
        <v>15933.89</v>
      </c>
      <c r="H387" s="5" t="e">
        <f>VLOOKUP(A387,N$3:S$1271,5,FALSE)</f>
        <v>#N/A</v>
      </c>
      <c r="I387" s="6">
        <f t="shared" si="25"/>
        <v>15933.89</v>
      </c>
      <c r="J387" s="7">
        <f>VLOOKUP(A387,[1]Sheet!B$3:G$2921,6,0)</f>
        <v>1306.58</v>
      </c>
      <c r="K387" s="8" t="e">
        <f t="shared" si="26"/>
        <v>#N/A</v>
      </c>
      <c r="L387" s="6">
        <f t="shared" si="27"/>
        <v>1306.58</v>
      </c>
    </row>
    <row r="388" spans="1:12" x14ac:dyDescent="0.25">
      <c r="A388" s="9" t="s">
        <v>387</v>
      </c>
      <c r="B388" s="2" t="str">
        <f>VLOOKUP(A388,[1]Sheet!B$3:G$2921,2,0)</f>
        <v>Улаштування обшивки укосів
гіпсокартонними і гіпсоволокнистими
листами з кріпленням шурупами з
улаштуванням металевого каркасу з
утепленням мінераловатними плитами</v>
      </c>
      <c r="C388" s="3" t="str">
        <f>VLOOKUP(A388,[1]Sheet!B$3:G$2921,3,0)</f>
        <v>100м2</v>
      </c>
      <c r="D388" s="4">
        <v>0.14200000000000002</v>
      </c>
      <c r="E388" s="5" t="e">
        <f>VLOOKUP(A388,N$3:S$1271,4,FALSE)</f>
        <v>#N/A</v>
      </c>
      <c r="F388" s="6">
        <f t="shared" si="24"/>
        <v>0.14200000000000002</v>
      </c>
      <c r="G388" s="7">
        <f>VLOOKUP(A388,[1]Sheet!B$3:G$2921,5,0)</f>
        <v>31684.94</v>
      </c>
      <c r="H388" s="5" t="e">
        <f>VLOOKUP(A388,N$3:S$1271,5,FALSE)</f>
        <v>#N/A</v>
      </c>
      <c r="I388" s="6">
        <f t="shared" si="25"/>
        <v>31684.94</v>
      </c>
      <c r="J388" s="7">
        <f>VLOOKUP(A388,[1]Sheet!B$3:G$2921,6,0)</f>
        <v>4499.26</v>
      </c>
      <c r="K388" s="8" t="e">
        <f t="shared" si="26"/>
        <v>#N/A</v>
      </c>
      <c r="L388" s="6">
        <f t="shared" si="27"/>
        <v>4499.26</v>
      </c>
    </row>
    <row r="389" spans="1:12" x14ac:dyDescent="0.25">
      <c r="A389" s="9" t="s">
        <v>388</v>
      </c>
      <c r="B389" s="2" t="str">
        <f>VLOOKUP(A389,[1]Sheet!B$3:G$2921,2,0)</f>
        <v>Улаштування обшивки колон периметром
до 1600 мм гіпсокартонними і
гіпсоволокнистими листами з
улаштуванням металевого каркасу</v>
      </c>
      <c r="C389" s="3" t="str">
        <f>VLOOKUP(A389,[1]Sheet!B$3:G$2921,3,0)</f>
        <v>100м2</v>
      </c>
      <c r="D389" s="4">
        <v>0.47850000000000004</v>
      </c>
      <c r="E389" s="5" t="e">
        <f>VLOOKUP(A389,N$3:S$1271,4,FALSE)</f>
        <v>#N/A</v>
      </c>
      <c r="F389" s="6">
        <f t="shared" si="24"/>
        <v>0.47850000000000004</v>
      </c>
      <c r="G389" s="7">
        <f>VLOOKUP(A389,[1]Sheet!B$3:G$2921,5,0)</f>
        <v>26967.97</v>
      </c>
      <c r="H389" s="5" t="e">
        <f>VLOOKUP(A389,N$3:S$1271,5,FALSE)</f>
        <v>#N/A</v>
      </c>
      <c r="I389" s="6">
        <f t="shared" si="25"/>
        <v>26967.97</v>
      </c>
      <c r="J389" s="7">
        <f>VLOOKUP(A389,[1]Sheet!B$3:G$2921,6,0)</f>
        <v>12904.17</v>
      </c>
      <c r="K389" s="8" t="e">
        <f t="shared" si="26"/>
        <v>#N/A</v>
      </c>
      <c r="L389" s="6">
        <f t="shared" si="27"/>
        <v>12904.17</v>
      </c>
    </row>
    <row r="390" spans="1:12" x14ac:dyDescent="0.25">
      <c r="A390" s="9" t="s">
        <v>389</v>
      </c>
      <c r="B390" s="2" t="str">
        <f>VLOOKUP(A390,[1]Sheet!B$3:G$2921,2,0)</f>
        <v>Улаштування коробу гіпсокартонними і
гіпсоволокнистими листами з
улаштуванням металевого каркасу (з двох
сторін)</v>
      </c>
      <c r="C390" s="3" t="str">
        <f>VLOOKUP(A390,[1]Sheet!B$3:G$2921,3,0)</f>
        <v>100м2</v>
      </c>
      <c r="D390" s="4">
        <v>0.05</v>
      </c>
      <c r="E390" s="5" t="e">
        <f>VLOOKUP(A390,N$3:S$1271,4,FALSE)</f>
        <v>#N/A</v>
      </c>
      <c r="F390" s="6">
        <f t="shared" si="24"/>
        <v>0.05</v>
      </c>
      <c r="G390" s="7">
        <f>VLOOKUP(A390,[1]Sheet!B$3:G$2921,5,0)</f>
        <v>26797.97</v>
      </c>
      <c r="H390" s="5" t="e">
        <f>VLOOKUP(A390,N$3:S$1271,5,FALSE)</f>
        <v>#N/A</v>
      </c>
      <c r="I390" s="6">
        <f t="shared" si="25"/>
        <v>26797.97</v>
      </c>
      <c r="J390" s="7">
        <f>VLOOKUP(A390,[1]Sheet!B$3:G$2921,6,0)</f>
        <v>1339.9</v>
      </c>
      <c r="K390" s="8" t="e">
        <f t="shared" si="26"/>
        <v>#N/A</v>
      </c>
      <c r="L390" s="6">
        <f t="shared" si="27"/>
        <v>1339.9</v>
      </c>
    </row>
    <row r="391" spans="1:12" x14ac:dyDescent="0.25">
      <c r="A391" s="9" t="s">
        <v>390</v>
      </c>
      <c r="B391" s="2" t="str">
        <f>VLOOKUP(A391,[1]Sheet!B$3:G$2921,2,0)</f>
        <v>Улаштування каркасу підвісних стель
"Армстронг"</v>
      </c>
      <c r="C391" s="3" t="str">
        <f>VLOOKUP(A391,[1]Sheet!B$3:G$2921,3,0)</f>
        <v>100м2</v>
      </c>
      <c r="D391" s="4">
        <v>5.2330000000000005</v>
      </c>
      <c r="E391" s="5" t="e">
        <f>VLOOKUP(A391,N$3:S$1271,4,FALSE)</f>
        <v>#N/A</v>
      </c>
      <c r="F391" s="6">
        <f t="shared" si="24"/>
        <v>5.2330000000000005</v>
      </c>
      <c r="G391" s="7">
        <f>VLOOKUP(A391,[1]Sheet!B$3:G$2921,5,0)</f>
        <v>9344.24</v>
      </c>
      <c r="H391" s="5" t="e">
        <f>VLOOKUP(A391,N$3:S$1271,5,FALSE)</f>
        <v>#N/A</v>
      </c>
      <c r="I391" s="6">
        <f t="shared" si="25"/>
        <v>9344.24</v>
      </c>
      <c r="J391" s="7">
        <f>VLOOKUP(A391,[1]Sheet!B$3:G$2921,6,0)</f>
        <v>13608.02</v>
      </c>
      <c r="K391" s="8" t="e">
        <f t="shared" si="26"/>
        <v>#N/A</v>
      </c>
      <c r="L391" s="6">
        <f t="shared" si="27"/>
        <v>13608.02</v>
      </c>
    </row>
    <row r="392" spans="1:12" x14ac:dyDescent="0.25">
      <c r="A392" s="9" t="s">
        <v>391</v>
      </c>
      <c r="B392" s="2" t="str">
        <f>VLOOKUP(A392,[1]Sheet!B$3:G$2921,2,0)</f>
        <v>Укладання плит стельових в каркас стелі
"Армстронг"</v>
      </c>
      <c r="C392" s="3" t="str">
        <f>VLOOKUP(A392,[1]Sheet!B$3:G$2921,3,0)</f>
        <v>100м2</v>
      </c>
      <c r="D392" s="4">
        <v>5.2330000000000005</v>
      </c>
      <c r="E392" s="5" t="e">
        <f>VLOOKUP(A392,N$3:S$1271,4,FALSE)</f>
        <v>#N/A</v>
      </c>
      <c r="F392" s="6">
        <f t="shared" si="24"/>
        <v>5.2330000000000005</v>
      </c>
      <c r="G392" s="7">
        <f>VLOOKUP(A392,[1]Sheet!B$3:G$2921,5,0)</f>
        <v>1116.8800000000001</v>
      </c>
      <c r="H392" s="5" t="e">
        <f>VLOOKUP(A392,N$3:S$1271,5,FALSE)</f>
        <v>#N/A</v>
      </c>
      <c r="I392" s="6">
        <f t="shared" si="25"/>
        <v>1116.8800000000001</v>
      </c>
      <c r="J392" s="7">
        <f>VLOOKUP(A392,[1]Sheet!B$3:G$2921,6,0)</f>
        <v>1626.51</v>
      </c>
      <c r="K392" s="8" t="e">
        <f t="shared" si="26"/>
        <v>#N/A</v>
      </c>
      <c r="L392" s="6">
        <f t="shared" si="27"/>
        <v>1626.51</v>
      </c>
    </row>
    <row r="393" spans="1:12" x14ac:dyDescent="0.25">
      <c r="A393" s="9" t="s">
        <v>392</v>
      </c>
      <c r="B393" s="2" t="str">
        <f>VLOOKUP(A393,[1]Sheet!B$3:G$2921,2,0)</f>
        <v>Утеплення фасадів мінеральними
плитами товщиною 100 мм з
опорядженням декоротивним розчином за
технологією "CEREZIT". Стіни гладкі</v>
      </c>
      <c r="C393" s="3" t="str">
        <f>VLOOKUP(A393,[1]Sheet!B$3:G$2921,3,0)</f>
        <v>100 м2</v>
      </c>
      <c r="D393" s="4">
        <v>0.88500000000000001</v>
      </c>
      <c r="E393" s="5" t="e">
        <f>VLOOKUP(A393,N$3:S$1271,4,FALSE)</f>
        <v>#N/A</v>
      </c>
      <c r="F393" s="6">
        <f t="shared" si="24"/>
        <v>0.88500000000000001</v>
      </c>
      <c r="G393" s="7">
        <f>VLOOKUP(A393,[1]Sheet!B$3:G$2921,5,0)</f>
        <v>39030.9</v>
      </c>
      <c r="H393" s="5" t="e">
        <f>VLOOKUP(A393,N$3:S$1271,5,FALSE)</f>
        <v>#N/A</v>
      </c>
      <c r="I393" s="6">
        <f t="shared" si="25"/>
        <v>39030.9</v>
      </c>
      <c r="J393" s="7">
        <f>VLOOKUP(A393,[1]Sheet!B$3:G$2921,6,0)</f>
        <v>8703.89</v>
      </c>
      <c r="K393" s="8" t="e">
        <f t="shared" si="26"/>
        <v>#N/A</v>
      </c>
      <c r="L393" s="6">
        <f t="shared" si="27"/>
        <v>8703.89</v>
      </c>
    </row>
    <row r="394" spans="1:12" x14ac:dyDescent="0.25">
      <c r="A394" s="9" t="s">
        <v>393</v>
      </c>
      <c r="B394" s="2" t="str">
        <f>VLOOKUP(A394,[1]Sheet!B$3:G$2921,2,0)</f>
        <v>Монтаж PS- панелей з утепленням з
риштувань</v>
      </c>
      <c r="C394" s="3" t="str">
        <f>VLOOKUP(A394,[1]Sheet!B$3:G$2921,3,0)</f>
        <v>100 м2</v>
      </c>
      <c r="D394" s="4">
        <v>1.116349</v>
      </c>
      <c r="E394" s="5" t="e">
        <f>VLOOKUP(A394,N$3:S$1271,4,FALSE)</f>
        <v>#N/A</v>
      </c>
      <c r="F394" s="6">
        <f t="shared" si="24"/>
        <v>1.116349</v>
      </c>
      <c r="G394" s="7">
        <f>VLOOKUP(A394,[1]Sheet!B$3:G$2921,5,0)</f>
        <v>16701.88</v>
      </c>
      <c r="H394" s="5" t="e">
        <f>VLOOKUP(A394,N$3:S$1271,5,FALSE)</f>
        <v>#N/A</v>
      </c>
      <c r="I394" s="6">
        <f t="shared" si="25"/>
        <v>16701.88</v>
      </c>
      <c r="J394" s="7">
        <f>VLOOKUP(A394,[1]Sheet!B$3:G$2921,6,0)</f>
        <v>106251.23</v>
      </c>
      <c r="K394" s="8" t="e">
        <f t="shared" si="26"/>
        <v>#N/A</v>
      </c>
      <c r="L394" s="6">
        <f t="shared" si="27"/>
        <v>106251.23</v>
      </c>
    </row>
    <row r="395" spans="1:12" x14ac:dyDescent="0.25">
      <c r="A395" s="9" t="s">
        <v>394</v>
      </c>
      <c r="B395" s="2" t="str">
        <f>VLOOKUP(A395,[1]Sheet!B$3:G$2921,2,0)</f>
        <v>Монтаж стінових касет без утеплення з
риштувань</v>
      </c>
      <c r="C395" s="3" t="str">
        <f>VLOOKUP(A395,[1]Sheet!B$3:G$2921,3,0)</f>
        <v>100 м2</v>
      </c>
      <c r="D395" s="4">
        <v>4.9219800000000005</v>
      </c>
      <c r="E395" s="5" t="e">
        <f>VLOOKUP(A395,N$3:S$1271,4,FALSE)</f>
        <v>#N/A</v>
      </c>
      <c r="F395" s="6">
        <f t="shared" si="24"/>
        <v>4.9219800000000005</v>
      </c>
      <c r="G395" s="7">
        <f>VLOOKUP(A395,[1]Sheet!B$3:G$2921,5,0)</f>
        <v>9594.69</v>
      </c>
      <c r="H395" s="5" t="e">
        <f>VLOOKUP(A395,N$3:S$1271,5,FALSE)</f>
        <v>#N/A</v>
      </c>
      <c r="I395" s="6">
        <f t="shared" si="25"/>
        <v>9594.69</v>
      </c>
      <c r="J395" s="7">
        <f>VLOOKUP(A395,[1]Sheet!B$3:G$2921,6,0)</f>
        <v>47129.88</v>
      </c>
      <c r="K395" s="8" t="e">
        <f t="shared" si="26"/>
        <v>#N/A</v>
      </c>
      <c r="L395" s="6">
        <f t="shared" si="27"/>
        <v>47129.88</v>
      </c>
    </row>
    <row r="396" spans="1:12" x14ac:dyDescent="0.25">
      <c r="A396" s="9" t="s">
        <v>395</v>
      </c>
      <c r="B396" s="2" t="str">
        <f>VLOOKUP(A396,[1]Sheet!B$3:G$2921,2,0)</f>
        <v>Обрамовування прорізів у зовнішніх стінах
оцинкованою сталлю з риштувань</v>
      </c>
      <c r="C396" s="3" t="str">
        <f>VLOOKUP(A396,[1]Sheet!B$3:G$2921,3,0)</f>
        <v>100 м2</v>
      </c>
      <c r="D396" s="4">
        <v>1.0548250000000001</v>
      </c>
      <c r="E396" s="5" t="e">
        <f>VLOOKUP(A396,N$3:S$1271,4,FALSE)</f>
        <v>#N/A</v>
      </c>
      <c r="F396" s="6">
        <f t="shared" si="24"/>
        <v>1.0548250000000001</v>
      </c>
      <c r="G396" s="7">
        <f>VLOOKUP(A396,[1]Sheet!B$3:G$2921,5,0)</f>
        <v>9423.11</v>
      </c>
      <c r="H396" s="5" t="e">
        <f>VLOOKUP(A396,N$3:S$1271,5,FALSE)</f>
        <v>#N/A</v>
      </c>
      <c r="I396" s="6">
        <f t="shared" si="25"/>
        <v>9423.11</v>
      </c>
      <c r="J396" s="7">
        <f>VLOOKUP(A396,[1]Sheet!B$3:G$2921,6,0)</f>
        <v>9689.83</v>
      </c>
      <c r="K396" s="8" t="e">
        <f t="shared" si="26"/>
        <v>#N/A</v>
      </c>
      <c r="L396" s="6">
        <f t="shared" si="27"/>
        <v>9689.83</v>
      </c>
    </row>
    <row r="397" spans="1:12" x14ac:dyDescent="0.25">
      <c r="A397" s="9" t="s">
        <v>396</v>
      </c>
      <c r="B397" s="2" t="str">
        <f>VLOOKUP(A397,[1]Sheet!B$3:G$2921,2,0)</f>
        <v>Укладання трубопроводiв iз
полiетиленових труб дiаметром 110 мм з
гідравличним випробуванням</v>
      </c>
      <c r="C397" s="3" t="str">
        <f>VLOOKUP(A397,[1]Sheet!B$3:G$2921,3,0)</f>
        <v>1000м</v>
      </c>
      <c r="D397" s="4">
        <v>7.7000000000000002E-3</v>
      </c>
      <c r="E397" s="5" t="e">
        <f>VLOOKUP(A397,N$3:S$1271,4,FALSE)</f>
        <v>#N/A</v>
      </c>
      <c r="F397" s="6">
        <f t="shared" si="24"/>
        <v>7.7000000000000002E-3</v>
      </c>
      <c r="G397" s="7">
        <f>VLOOKUP(A397,[1]Sheet!B$3:G$2921,5,0)</f>
        <v>29058.5</v>
      </c>
      <c r="H397" s="5" t="e">
        <f>VLOOKUP(A397,N$3:S$1271,5,FALSE)</f>
        <v>#N/A</v>
      </c>
      <c r="I397" s="6">
        <f t="shared" si="25"/>
        <v>29058.5</v>
      </c>
      <c r="J397" s="7">
        <f>VLOOKUP(A397,[1]Sheet!B$3:G$2921,6,0)</f>
        <v>223.75</v>
      </c>
      <c r="K397" s="8" t="e">
        <f t="shared" si="26"/>
        <v>#N/A</v>
      </c>
      <c r="L397" s="6">
        <f t="shared" si="27"/>
        <v>223.75</v>
      </c>
    </row>
    <row r="398" spans="1:12" x14ac:dyDescent="0.25">
      <c r="A398" s="9" t="s">
        <v>397</v>
      </c>
      <c r="B398" s="2" t="str">
        <f>VLOOKUP(A398,[1]Sheet!B$3:G$2921,2,0)</f>
        <v>Укладання трубопроводiв iз
полiетиленових труб дiаметром 250 мм з
гідравличним випробуванням</v>
      </c>
      <c r="C398" s="3" t="str">
        <f>VLOOKUP(A398,[1]Sheet!B$3:G$2921,3,0)</f>
        <v>1000м</v>
      </c>
      <c r="D398" s="4">
        <v>1.3999999999999999E-2</v>
      </c>
      <c r="E398" s="5" t="e">
        <f>VLOOKUP(A398,N$3:S$1271,4,FALSE)</f>
        <v>#N/A</v>
      </c>
      <c r="F398" s="6">
        <f t="shared" si="24"/>
        <v>1.3999999999999999E-2</v>
      </c>
      <c r="G398" s="7">
        <f>VLOOKUP(A398,[1]Sheet!B$3:G$2921,5,0)</f>
        <v>49496</v>
      </c>
      <c r="H398" s="5" t="e">
        <f>VLOOKUP(A398,N$3:S$1271,5,FALSE)</f>
        <v>#N/A</v>
      </c>
      <c r="I398" s="6">
        <f t="shared" si="25"/>
        <v>49496</v>
      </c>
      <c r="J398" s="7">
        <f>VLOOKUP(A398,[1]Sheet!B$3:G$2921,6,0)</f>
        <v>247.48</v>
      </c>
      <c r="K398" s="8" t="e">
        <f t="shared" si="26"/>
        <v>#N/A</v>
      </c>
      <c r="L398" s="6">
        <f t="shared" si="27"/>
        <v>247.48</v>
      </c>
    </row>
    <row r="399" spans="1:12" x14ac:dyDescent="0.25">
      <c r="A399" s="9" t="s">
        <v>398</v>
      </c>
      <c r="B399" s="2" t="str">
        <f>VLOOKUP(A399,[1]Sheet!B$3:G$2921,2,0)</f>
        <v>Нанесення дуже посиленої антикорозiйної
бiтумно-гумової iзоляцiї на сталевi
трубопроводи дiаметром 300 мм</v>
      </c>
      <c r="C399" s="3" t="str">
        <f>VLOOKUP(A399,[1]Sheet!B$3:G$2921,3,0)</f>
        <v>1000м</v>
      </c>
      <c r="D399" s="4">
        <v>7.7000000000000002E-3</v>
      </c>
      <c r="E399" s="5" t="e">
        <f>VLOOKUP(A399,N$3:S$1271,4,FALSE)</f>
        <v>#N/A</v>
      </c>
      <c r="F399" s="6">
        <f t="shared" si="24"/>
        <v>7.7000000000000002E-3</v>
      </c>
      <c r="G399" s="7">
        <f>VLOOKUP(A399,[1]Sheet!B$3:G$2921,5,0)</f>
        <v>392230.27</v>
      </c>
      <c r="H399" s="5" t="e">
        <f>VLOOKUP(A399,N$3:S$1271,5,FALSE)</f>
        <v>#N/A</v>
      </c>
      <c r="I399" s="6">
        <f t="shared" si="25"/>
        <v>392230.27</v>
      </c>
      <c r="J399" s="7">
        <f>VLOOKUP(A399,[1]Sheet!B$3:G$2921,6,0)</f>
        <v>3020.17</v>
      </c>
      <c r="K399" s="8" t="e">
        <f t="shared" si="26"/>
        <v>#N/A</v>
      </c>
      <c r="L399" s="6">
        <f t="shared" si="27"/>
        <v>3020.17</v>
      </c>
    </row>
    <row r="400" spans="1:12" x14ac:dyDescent="0.25">
      <c r="A400" s="9" t="s">
        <v>399</v>
      </c>
      <c r="B400" s="2" t="str">
        <f>VLOOKUP(A400,[1]Sheet!B$3:G$2921,2,0)</f>
        <v>Протягування в футляр полiетиленових
труб дiаметром до 100мм</v>
      </c>
      <c r="C400" s="3" t="str">
        <f>VLOOKUP(A400,[1]Sheet!B$3:G$2921,3,0)</f>
        <v>100м</v>
      </c>
      <c r="D400" s="4">
        <v>7.6999999999999999E-2</v>
      </c>
      <c r="E400" s="5" t="e">
        <f>VLOOKUP(A400,N$3:S$1271,4,FALSE)</f>
        <v>#N/A</v>
      </c>
      <c r="F400" s="6">
        <f t="shared" si="24"/>
        <v>7.6999999999999999E-2</v>
      </c>
      <c r="G400" s="7">
        <f>VLOOKUP(A400,[1]Sheet!B$3:G$2921,5,0)</f>
        <v>10506.1</v>
      </c>
      <c r="H400" s="5" t="e">
        <f>VLOOKUP(A400,N$3:S$1271,5,FALSE)</f>
        <v>#N/A</v>
      </c>
      <c r="I400" s="6">
        <f t="shared" si="25"/>
        <v>10506.1</v>
      </c>
      <c r="J400" s="7">
        <f>VLOOKUP(A400,[1]Sheet!B$3:G$2921,6,0)</f>
        <v>808.97</v>
      </c>
      <c r="K400" s="8" t="e">
        <f t="shared" si="26"/>
        <v>#N/A</v>
      </c>
      <c r="L400" s="6">
        <f t="shared" si="27"/>
        <v>808.97</v>
      </c>
    </row>
    <row r="401" spans="1:12" x14ac:dyDescent="0.25">
      <c r="A401" s="9" t="s">
        <v>400</v>
      </c>
      <c r="B401" s="2" t="str">
        <f>VLOOKUP(A401,[1]Sheet!B$3:G$2921,2,0)</f>
        <v>Забивання бiтумом та пасмом смоляним
кiнцiв футляра дiаметром 300 мм</v>
      </c>
      <c r="C401" s="3" t="str">
        <f>VLOOKUP(A401,[1]Sheet!B$3:G$2921,3,0)</f>
        <v>1 футляр</v>
      </c>
      <c r="D401" s="4">
        <v>1</v>
      </c>
      <c r="E401" s="5" t="e">
        <f>VLOOKUP(A401,N$3:S$1271,4,FALSE)</f>
        <v>#N/A</v>
      </c>
      <c r="F401" s="6">
        <f t="shared" si="24"/>
        <v>1</v>
      </c>
      <c r="G401" s="7">
        <f>VLOOKUP(A401,[1]Sheet!B$3:G$2921,5,0)</f>
        <v>1004.06</v>
      </c>
      <c r="H401" s="5" t="e">
        <f>VLOOKUP(A401,N$3:S$1271,5,FALSE)</f>
        <v>#N/A</v>
      </c>
      <c r="I401" s="6">
        <f t="shared" si="25"/>
        <v>1004.06</v>
      </c>
      <c r="J401" s="7">
        <f>VLOOKUP(A401,[1]Sheet!B$3:G$2921,6,0)</f>
        <v>1004.06</v>
      </c>
      <c r="K401" s="8" t="e">
        <f t="shared" si="26"/>
        <v>#N/A</v>
      </c>
      <c r="L401" s="6">
        <f t="shared" si="27"/>
        <v>1004.06</v>
      </c>
    </row>
    <row r="402" spans="1:12" x14ac:dyDescent="0.25">
      <c r="A402" s="9" t="s">
        <v>401</v>
      </c>
      <c r="B402" s="2" t="str">
        <f>VLOOKUP(A402,[1]Sheet!B$3:G$2921,2,0)</f>
        <v>Демонтаж сталевих водопровiдних труб,
дiаметр труб 150 мм</v>
      </c>
      <c r="C402" s="3" t="str">
        <f>VLOOKUP(A402,[1]Sheet!B$3:G$2921,3,0)</f>
        <v>1000м</v>
      </c>
      <c r="D402" s="4">
        <v>3.6000000000000004E-2</v>
      </c>
      <c r="E402" s="5" t="e">
        <f>VLOOKUP(A402,N$3:S$1271,4,FALSE)</f>
        <v>#N/A</v>
      </c>
      <c r="F402" s="6">
        <f t="shared" si="24"/>
        <v>3.6000000000000004E-2</v>
      </c>
      <c r="G402" s="7">
        <f>VLOOKUP(A402,[1]Sheet!B$3:G$2921,5,0)</f>
        <v>21589.5</v>
      </c>
      <c r="H402" s="5" t="e">
        <f>VLOOKUP(A402,N$3:S$1271,5,FALSE)</f>
        <v>#N/A</v>
      </c>
      <c r="I402" s="6">
        <f t="shared" si="25"/>
        <v>21589.5</v>
      </c>
      <c r="J402" s="7">
        <f>VLOOKUP(A402,[1]Sheet!B$3:G$2921,6,0)</f>
        <v>777.22</v>
      </c>
      <c r="K402" s="8" t="e">
        <f t="shared" si="26"/>
        <v>#N/A</v>
      </c>
      <c r="L402" s="6">
        <f t="shared" si="27"/>
        <v>777.22</v>
      </c>
    </row>
    <row r="403" spans="1:12" x14ac:dyDescent="0.25">
      <c r="A403" s="9" t="s">
        <v>402</v>
      </c>
      <c r="B403" s="2" t="str">
        <f>VLOOKUP(A403,[1]Sheet!B$3:G$2921,2,0)</f>
        <v>Укладання футляра iз стальних труб
вiдкритим способом дiаметром 300 мм</v>
      </c>
      <c r="C403" s="3" t="str">
        <f>VLOOKUP(A403,[1]Sheet!B$3:G$2921,3,0)</f>
        <v>1000м</v>
      </c>
      <c r="D403" s="4">
        <v>7.7000000000000002E-3</v>
      </c>
      <c r="E403" s="5" t="e">
        <f>VLOOKUP(A403,N$3:S$1271,4,FALSE)</f>
        <v>#N/A</v>
      </c>
      <c r="F403" s="6">
        <f t="shared" si="24"/>
        <v>7.7000000000000002E-3</v>
      </c>
      <c r="G403" s="7">
        <f>VLOOKUP(A403,[1]Sheet!B$3:G$2921,5,0)</f>
        <v>99064.59</v>
      </c>
      <c r="H403" s="5" t="e">
        <f>VLOOKUP(A403,N$3:S$1271,5,FALSE)</f>
        <v>#N/A</v>
      </c>
      <c r="I403" s="6">
        <f t="shared" si="25"/>
        <v>99064.59</v>
      </c>
      <c r="J403" s="7">
        <f>VLOOKUP(A403,[1]Sheet!B$3:G$2921,6,0)</f>
        <v>762.8</v>
      </c>
      <c r="K403" s="8" t="e">
        <f t="shared" si="26"/>
        <v>#N/A</v>
      </c>
      <c r="L403" s="6">
        <f t="shared" si="27"/>
        <v>762.8</v>
      </c>
    </row>
    <row r="404" spans="1:12" x14ac:dyDescent="0.25">
      <c r="A404" s="9" t="s">
        <v>403</v>
      </c>
      <c r="B404" s="2" t="str">
        <f>VLOOKUP(A404,[1]Sheet!B$3:G$2921,2,0)</f>
        <v>Ізоляція трубопроводів трубками із
спіненого каучуку, поліетилену</v>
      </c>
      <c r="C404" s="3" t="str">
        <f>VLOOKUP(A404,[1]Sheet!B$3:G$2921,3,0)</f>
        <v>10 м</v>
      </c>
      <c r="D404" s="4">
        <v>97.5</v>
      </c>
      <c r="E404" s="5" t="e">
        <f>VLOOKUP(A404,N$3:S$1271,4,FALSE)</f>
        <v>#N/A</v>
      </c>
      <c r="F404" s="6">
        <f t="shared" si="24"/>
        <v>97.5</v>
      </c>
      <c r="G404" s="7">
        <f>VLOOKUP(A404,[1]Sheet!B$3:G$2921,5,0)</f>
        <v>234.29</v>
      </c>
      <c r="H404" s="5" t="e">
        <f>VLOOKUP(A404,N$3:S$1271,5,FALSE)</f>
        <v>#N/A</v>
      </c>
      <c r="I404" s="6">
        <f t="shared" si="25"/>
        <v>234.29</v>
      </c>
      <c r="J404" s="7">
        <f>VLOOKUP(A404,[1]Sheet!B$3:G$2921,6,0)</f>
        <v>2249.1799999999998</v>
      </c>
      <c r="K404" s="8" t="e">
        <f t="shared" si="26"/>
        <v>#N/A</v>
      </c>
      <c r="L404" s="6">
        <f t="shared" si="27"/>
        <v>2249.1799999999998</v>
      </c>
    </row>
    <row r="405" spans="1:12" x14ac:dyDescent="0.25">
      <c r="A405" s="9" t="s">
        <v>404</v>
      </c>
      <c r="B405" s="2" t="str">
        <f>VLOOKUP(A405,[1]Sheet!B$3:G$2921,2,0)</f>
        <v>Iзоляцiя трубопроводiв дiаметром 25 мм
напiвцилiндрами з мiнеральної вати на
синтетичному зв'язуючому, товщина
iзоляцiйного шару 40 мм</v>
      </c>
      <c r="C405" s="3" t="str">
        <f>VLOOKUP(A405,[1]Sheet!B$3:G$2921,3,0)</f>
        <v>10м</v>
      </c>
      <c r="D405" s="4">
        <v>0.65</v>
      </c>
      <c r="E405" s="5" t="e">
        <f>VLOOKUP(A405,N$3:S$1271,4,FALSE)</f>
        <v>#N/A</v>
      </c>
      <c r="F405" s="6">
        <f t="shared" si="24"/>
        <v>0.65</v>
      </c>
      <c r="G405" s="7">
        <f>VLOOKUP(A405,[1]Sheet!B$3:G$2921,5,0)</f>
        <v>222.93</v>
      </c>
      <c r="H405" s="5" t="e">
        <f>VLOOKUP(A405,N$3:S$1271,5,FALSE)</f>
        <v>#N/A</v>
      </c>
      <c r="I405" s="6">
        <f t="shared" si="25"/>
        <v>222.93</v>
      </c>
      <c r="J405" s="7">
        <f>VLOOKUP(A405,[1]Sheet!B$3:G$2921,6,0)</f>
        <v>144.9</v>
      </c>
      <c r="K405" s="8" t="e">
        <f t="shared" si="26"/>
        <v>#N/A</v>
      </c>
      <c r="L405" s="6">
        <f t="shared" si="27"/>
        <v>144.9</v>
      </c>
    </row>
    <row r="406" spans="1:12" x14ac:dyDescent="0.25">
      <c r="A406" s="9" t="s">
        <v>405</v>
      </c>
      <c r="B406" s="2" t="str">
        <f>VLOOKUP(A406,[1]Sheet!B$3:G$2921,2,0)</f>
        <v>Iзоляцiя трубопроводiв дiаметром 76 мм
напiвцилiндрами з мiнеральної вати на
синтетичному зв'язуючому, товщина
iзоляцiйного шару до 40 мм</v>
      </c>
      <c r="C406" s="3" t="str">
        <f>VLOOKUP(A406,[1]Sheet!B$3:G$2921,3,0)</f>
        <v>10м</v>
      </c>
      <c r="D406" s="4">
        <v>2.6</v>
      </c>
      <c r="E406" s="5" t="e">
        <f>VLOOKUP(A406,N$3:S$1271,4,FALSE)</f>
        <v>#N/A</v>
      </c>
      <c r="F406" s="6">
        <f t="shared" si="24"/>
        <v>2.6</v>
      </c>
      <c r="G406" s="7">
        <f>VLOOKUP(A406,[1]Sheet!B$3:G$2921,5,0)</f>
        <v>341.46</v>
      </c>
      <c r="H406" s="5" t="e">
        <f>VLOOKUP(A406,N$3:S$1271,5,FALSE)</f>
        <v>#N/A</v>
      </c>
      <c r="I406" s="6">
        <f t="shared" si="25"/>
        <v>341.46</v>
      </c>
      <c r="J406" s="7">
        <f>VLOOKUP(A406,[1]Sheet!B$3:G$2921,6,0)</f>
        <v>887.8</v>
      </c>
      <c r="K406" s="8" t="e">
        <f t="shared" si="26"/>
        <v>#N/A</v>
      </c>
      <c r="L406" s="6">
        <f t="shared" si="27"/>
        <v>887.8</v>
      </c>
    </row>
    <row r="407" spans="1:12" x14ac:dyDescent="0.25">
      <c r="A407" s="9" t="s">
        <v>406</v>
      </c>
      <c r="B407" s="2" t="str">
        <f>VLOOKUP(A407,[1]Sheet!B$3:G$2921,2,0)</f>
        <v>Iзоляцiя трубопроводiв дiаметром 89 мм
напiвцилiндрами з мiнеральної вати на
синтетичному зв'язуючому, товщина
iзоляцiйного шару 40 мм</v>
      </c>
      <c r="C407" s="3" t="str">
        <f>VLOOKUP(A407,[1]Sheet!B$3:G$2921,3,0)</f>
        <v>10м</v>
      </c>
      <c r="D407" s="4">
        <v>10</v>
      </c>
      <c r="E407" s="5" t="e">
        <f>VLOOKUP(A407,N$3:S$1271,4,FALSE)</f>
        <v>#N/A</v>
      </c>
      <c r="F407" s="6">
        <f t="shared" si="24"/>
        <v>10</v>
      </c>
      <c r="G407" s="7">
        <f>VLOOKUP(A407,[1]Sheet!B$3:G$2921,5,0)</f>
        <v>406.12</v>
      </c>
      <c r="H407" s="5" t="e">
        <f>VLOOKUP(A407,N$3:S$1271,5,FALSE)</f>
        <v>#N/A</v>
      </c>
      <c r="I407" s="6">
        <f t="shared" si="25"/>
        <v>406.12</v>
      </c>
      <c r="J407" s="7">
        <f>VLOOKUP(A407,[1]Sheet!B$3:G$2921,6,0)</f>
        <v>4061.2</v>
      </c>
      <c r="K407" s="8" t="e">
        <f t="shared" si="26"/>
        <v>#N/A</v>
      </c>
      <c r="L407" s="6">
        <f t="shared" si="27"/>
        <v>4061.2</v>
      </c>
    </row>
    <row r="408" spans="1:12" x14ac:dyDescent="0.25">
      <c r="A408" s="9" t="s">
        <v>407</v>
      </c>
      <c r="B408" s="2" t="str">
        <f>VLOOKUP(A408,[1]Sheet!B$3:G$2921,2,0)</f>
        <v>Iзоляцiя трубопроводiв дiаметром 108 мм
напiвцилiндрами з мiнеральної вати на
синтетичному зв'язуючому, товщина
iзоляцiйного шару 40 мм</v>
      </c>
      <c r="C408" s="3" t="str">
        <f>VLOOKUP(A408,[1]Sheet!B$3:G$2921,3,0)</f>
        <v>10м</v>
      </c>
      <c r="D408" s="4">
        <v>0.35</v>
      </c>
      <c r="E408" s="5" t="e">
        <f>VLOOKUP(A408,N$3:S$1271,4,FALSE)</f>
        <v>#N/A</v>
      </c>
      <c r="F408" s="6">
        <f t="shared" si="24"/>
        <v>0.35</v>
      </c>
      <c r="G408" s="7">
        <f>VLOOKUP(A408,[1]Sheet!B$3:G$2921,5,0)</f>
        <v>395.34</v>
      </c>
      <c r="H408" s="5" t="e">
        <f>VLOOKUP(A408,N$3:S$1271,5,FALSE)</f>
        <v>#N/A</v>
      </c>
      <c r="I408" s="6">
        <f t="shared" si="25"/>
        <v>395.34</v>
      </c>
      <c r="J408" s="7">
        <f>VLOOKUP(A408,[1]Sheet!B$3:G$2921,6,0)</f>
        <v>138.37</v>
      </c>
      <c r="K408" s="8" t="e">
        <f t="shared" si="26"/>
        <v>#N/A</v>
      </c>
      <c r="L408" s="6">
        <f t="shared" si="27"/>
        <v>138.37</v>
      </c>
    </row>
    <row r="409" spans="1:12" x14ac:dyDescent="0.25">
      <c r="A409" s="9" t="s">
        <v>408</v>
      </c>
      <c r="B409" s="2" t="str">
        <f>VLOOKUP(A409,[1]Sheet!B$3:G$2921,2,0)</f>
        <v>Iзоляцiя трубопроводiв дiаметром 32 мм
напiвцилiндрами з мiнеральної вати на
синтетичному зв'язуючому, товщина
iзоляцiйного шару 30 мм</v>
      </c>
      <c r="C409" s="3" t="str">
        <f>VLOOKUP(A409,[1]Sheet!B$3:G$2921,3,0)</f>
        <v>10м</v>
      </c>
      <c r="D409" s="4">
        <v>0.55000000000000004</v>
      </c>
      <c r="E409" s="5" t="e">
        <f>VLOOKUP(A409,N$3:S$1271,4,FALSE)</f>
        <v>#N/A</v>
      </c>
      <c r="F409" s="6">
        <f t="shared" si="24"/>
        <v>0.55000000000000004</v>
      </c>
      <c r="G409" s="7">
        <f>VLOOKUP(A409,[1]Sheet!B$3:G$2921,5,0)</f>
        <v>222.93</v>
      </c>
      <c r="H409" s="5" t="e">
        <f>VLOOKUP(A409,N$3:S$1271,5,FALSE)</f>
        <v>#N/A</v>
      </c>
      <c r="I409" s="6">
        <f t="shared" si="25"/>
        <v>222.93</v>
      </c>
      <c r="J409" s="7">
        <f>VLOOKUP(A409,[1]Sheet!B$3:G$2921,6,0)</f>
        <v>122.61</v>
      </c>
      <c r="K409" s="8" t="e">
        <f t="shared" si="26"/>
        <v>#N/A</v>
      </c>
      <c r="L409" s="6">
        <f t="shared" si="27"/>
        <v>122.61</v>
      </c>
    </row>
    <row r="410" spans="1:12" x14ac:dyDescent="0.25">
      <c r="A410" s="9" t="s">
        <v>409</v>
      </c>
      <c r="B410" s="2" t="str">
        <f>VLOOKUP(A410,[1]Sheet!B$3:G$2921,2,0)</f>
        <v>Iзоляцiя плоских поверхонь плитами
мiнераловатними</v>
      </c>
      <c r="C410" s="3" t="str">
        <f>VLOOKUP(A410,[1]Sheet!B$3:G$2921,3,0)</f>
        <v>10 м2</v>
      </c>
      <c r="D410" s="4">
        <v>66.391999999999996</v>
      </c>
      <c r="E410" s="5" t="e">
        <f>VLOOKUP(A410,N$3:S$1271,4,FALSE)</f>
        <v>#N/A</v>
      </c>
      <c r="F410" s="6">
        <f t="shared" si="24"/>
        <v>66.391999999999996</v>
      </c>
      <c r="G410" s="7">
        <f>VLOOKUP(A410,[1]Sheet!B$3:G$2921,5,0)</f>
        <v>732.57</v>
      </c>
      <c r="H410" s="5" t="e">
        <f>VLOOKUP(A410,N$3:S$1271,5,FALSE)</f>
        <v>#N/A</v>
      </c>
      <c r="I410" s="6">
        <f t="shared" si="25"/>
        <v>732.57</v>
      </c>
      <c r="J410" s="7">
        <f>VLOOKUP(A410,[1]Sheet!B$3:G$2921,6,0)</f>
        <v>1007.28</v>
      </c>
      <c r="K410" s="8" t="e">
        <f t="shared" si="26"/>
        <v>#N/A</v>
      </c>
      <c r="L410" s="6">
        <f t="shared" si="27"/>
        <v>1007.28</v>
      </c>
    </row>
    <row r="411" spans="1:12" x14ac:dyDescent="0.25">
      <c r="A411" s="9" t="s">
        <v>410</v>
      </c>
      <c r="B411" s="2" t="str">
        <f>VLOOKUP(A411,[1]Sheet!B$3:G$2921,2,0)</f>
        <v>Iзоляцiя фасонних поверхонь матами
мiнераловатними прошивними на
склотканинi або металевiй сiтцi</v>
      </c>
      <c r="C411" s="3" t="str">
        <f>VLOOKUP(A411,[1]Sheet!B$3:G$2921,3,0)</f>
        <v>10 м2</v>
      </c>
      <c r="D411" s="4">
        <v>0.72</v>
      </c>
      <c r="E411" s="5" t="e">
        <f>VLOOKUP(A411,N$3:S$1271,4,FALSE)</f>
        <v>#N/A</v>
      </c>
      <c r="F411" s="6">
        <f t="shared" si="24"/>
        <v>0.72</v>
      </c>
      <c r="G411" s="7">
        <f>VLOOKUP(A411,[1]Sheet!B$3:G$2921,5,0)</f>
        <v>1252.18</v>
      </c>
      <c r="H411" s="5" t="e">
        <f>VLOOKUP(A411,N$3:S$1271,5,FALSE)</f>
        <v>#N/A</v>
      </c>
      <c r="I411" s="6">
        <f t="shared" si="25"/>
        <v>1252.18</v>
      </c>
      <c r="J411" s="7">
        <f>VLOOKUP(A411,[1]Sheet!B$3:G$2921,6,0)</f>
        <v>375.65</v>
      </c>
      <c r="K411" s="8" t="e">
        <f t="shared" si="26"/>
        <v>#N/A</v>
      </c>
      <c r="L411" s="6">
        <f t="shared" si="27"/>
        <v>375.65</v>
      </c>
    </row>
    <row r="412" spans="1:12" x14ac:dyDescent="0.25">
      <c r="A412" s="9" t="s">
        <v>411</v>
      </c>
      <c r="B412" s="2" t="str">
        <f>VLOOKUP(A412,[1]Sheet!B$3:G$2921,2,0)</f>
        <v>Iзоляцiя трубопроводiв дiаметром 38 мм
напiвцилiндрами з мiнеральної вати на
синтетичному зв'язуючому, товщина
iзоляцiйного шару 30 мм</v>
      </c>
      <c r="C412" s="3" t="str">
        <f>VLOOKUP(A412,[1]Sheet!B$3:G$2921,3,0)</f>
        <v>10м</v>
      </c>
      <c r="D412" s="4">
        <v>0.35</v>
      </c>
      <c r="E412" s="5" t="e">
        <f>VLOOKUP(A412,N$3:S$1271,4,FALSE)</f>
        <v>#N/A</v>
      </c>
      <c r="F412" s="6">
        <f t="shared" si="24"/>
        <v>0.35</v>
      </c>
      <c r="G412" s="7">
        <f>VLOOKUP(A412,[1]Sheet!B$3:G$2921,5,0)</f>
        <v>233.7</v>
      </c>
      <c r="H412" s="5" t="e">
        <f>VLOOKUP(A412,N$3:S$1271,5,FALSE)</f>
        <v>#N/A</v>
      </c>
      <c r="I412" s="6">
        <f t="shared" si="25"/>
        <v>233.7</v>
      </c>
      <c r="J412" s="7">
        <f>VLOOKUP(A412,[1]Sheet!B$3:G$2921,6,0)</f>
        <v>81.8</v>
      </c>
      <c r="K412" s="8" t="e">
        <f t="shared" si="26"/>
        <v>#N/A</v>
      </c>
      <c r="L412" s="6">
        <f t="shared" si="27"/>
        <v>81.8</v>
      </c>
    </row>
    <row r="413" spans="1:12" x14ac:dyDescent="0.25">
      <c r="A413" s="9" t="s">
        <v>412</v>
      </c>
      <c r="B413" s="2" t="str">
        <f>VLOOKUP(A413,[1]Sheet!B$3:G$2921,2,0)</f>
        <v>Покриття iзоляцiї фасонних поверхонь
оцинкованою сталлю</v>
      </c>
      <c r="C413" s="3" t="str">
        <f>VLOOKUP(A413,[1]Sheet!B$3:G$2921,3,0)</f>
        <v>10 м2</v>
      </c>
      <c r="D413" s="4">
        <v>1.0580000000000001</v>
      </c>
      <c r="E413" s="5" t="e">
        <f>VLOOKUP(A413,N$3:S$1271,4,FALSE)</f>
        <v>#N/A</v>
      </c>
      <c r="F413" s="6">
        <f t="shared" si="24"/>
        <v>1.0580000000000001</v>
      </c>
      <c r="G413" s="7">
        <f>VLOOKUP(A413,[1]Sheet!B$3:G$2921,5,0)</f>
        <v>2558.27</v>
      </c>
      <c r="H413" s="5" t="e">
        <f>VLOOKUP(A413,N$3:S$1271,5,FALSE)</f>
        <v>#N/A</v>
      </c>
      <c r="I413" s="6">
        <f t="shared" si="25"/>
        <v>2558.27</v>
      </c>
      <c r="J413" s="7">
        <f>VLOOKUP(A413,[1]Sheet!B$3:G$2921,6,0)</f>
        <v>1151.22</v>
      </c>
      <c r="K413" s="8" t="e">
        <f t="shared" si="26"/>
        <v>#N/A</v>
      </c>
      <c r="L413" s="6">
        <f t="shared" si="27"/>
        <v>1151.22</v>
      </c>
    </row>
    <row r="414" spans="1:12" x14ac:dyDescent="0.25">
      <c r="A414" s="9" t="s">
        <v>413</v>
      </c>
      <c r="B414" s="2" t="str">
        <f>VLOOKUP(A414,[1]Sheet!B$3:G$2921,2,0)</f>
        <v>Iзоляцiя трубопроводiв дiаметром 45 мм
напiвцилiндрами з мiнеральної вати на
синтетичному зв'язуючому, товщина
iзоляцiйного шару 30 мм</v>
      </c>
      <c r="C414" s="3" t="str">
        <f>VLOOKUP(A414,[1]Sheet!B$3:G$2921,3,0)</f>
        <v>10м</v>
      </c>
      <c r="D414" s="4">
        <v>0.8</v>
      </c>
      <c r="E414" s="5" t="e">
        <f>VLOOKUP(A414,N$3:S$1271,4,FALSE)</f>
        <v>#N/A</v>
      </c>
      <c r="F414" s="6">
        <f t="shared" si="24"/>
        <v>0.8</v>
      </c>
      <c r="G414" s="7">
        <f>VLOOKUP(A414,[1]Sheet!B$3:G$2921,5,0)</f>
        <v>244.48</v>
      </c>
      <c r="H414" s="5" t="e">
        <f>VLOOKUP(A414,N$3:S$1271,5,FALSE)</f>
        <v>#N/A</v>
      </c>
      <c r="I414" s="6">
        <f t="shared" si="25"/>
        <v>244.48</v>
      </c>
      <c r="J414" s="7">
        <f>VLOOKUP(A414,[1]Sheet!B$3:G$2921,6,0)</f>
        <v>195.58</v>
      </c>
      <c r="K414" s="8" t="e">
        <f t="shared" si="26"/>
        <v>#N/A</v>
      </c>
      <c r="L414" s="6">
        <f t="shared" si="27"/>
        <v>195.58</v>
      </c>
    </row>
    <row r="415" spans="1:12" x14ac:dyDescent="0.25">
      <c r="A415" s="9" t="s">
        <v>414</v>
      </c>
      <c r="B415" s="2" t="str">
        <f>VLOOKUP(A415,[1]Sheet!B$3:G$2921,2,0)</f>
        <v>Гідроізоляція провідника</v>
      </c>
      <c r="C415" s="3" t="str">
        <f>VLOOKUP(A415,[1]Sheet!B$3:G$2921,3,0)</f>
        <v>10 м</v>
      </c>
      <c r="D415" s="4">
        <v>2</v>
      </c>
      <c r="E415" s="5" t="e">
        <f>VLOOKUP(A415,N$3:S$1271,4,FALSE)</f>
        <v>#N/A</v>
      </c>
      <c r="F415" s="6">
        <f t="shared" si="24"/>
        <v>2</v>
      </c>
      <c r="G415" s="7">
        <f>VLOOKUP(A415,[1]Sheet!B$3:G$2921,5,0)</f>
        <v>240.05</v>
      </c>
      <c r="H415" s="5" t="e">
        <f>VLOOKUP(A415,N$3:S$1271,5,FALSE)</f>
        <v>#N/A</v>
      </c>
      <c r="I415" s="6">
        <f t="shared" si="25"/>
        <v>240.05</v>
      </c>
      <c r="J415" s="7">
        <f>VLOOKUP(A415,[1]Sheet!B$3:G$2921,6,0)</f>
        <v>480.1</v>
      </c>
      <c r="K415" s="8" t="e">
        <f t="shared" si="26"/>
        <v>#N/A</v>
      </c>
      <c r="L415" s="6">
        <f t="shared" si="27"/>
        <v>480.1</v>
      </c>
    </row>
    <row r="416" spans="1:12" x14ac:dyDescent="0.25">
      <c r="A416" s="9" t="s">
        <v>415</v>
      </c>
      <c r="B416" s="2" t="str">
        <f>VLOOKUP(A416,[1]Sheet!B$3:G$2921,2,0)</f>
        <v>Теплоiзоляцiя покриттiв i перекриттiв
виробами з волокнистих i зернистих
матерiалiв "насухо"</v>
      </c>
      <c r="C416" s="3" t="str">
        <f>VLOOKUP(A416,[1]Sheet!B$3:G$2921,3,0)</f>
        <v>1 м3</v>
      </c>
      <c r="D416" s="4">
        <v>2.1</v>
      </c>
      <c r="E416" s="5" t="e">
        <f>VLOOKUP(A416,N$3:S$1271,4,FALSE)</f>
        <v>#N/A</v>
      </c>
      <c r="F416" s="6">
        <f t="shared" si="24"/>
        <v>2.1</v>
      </c>
      <c r="G416" s="7">
        <f>VLOOKUP(A416,[1]Sheet!B$3:G$2921,5,0)</f>
        <v>1153.6099999999999</v>
      </c>
      <c r="H416" s="5" t="e">
        <f>VLOOKUP(A416,N$3:S$1271,5,FALSE)</f>
        <v>#N/A</v>
      </c>
      <c r="I416" s="6">
        <f t="shared" si="25"/>
        <v>1153.6099999999999</v>
      </c>
      <c r="J416" s="7">
        <f>VLOOKUP(A416,[1]Sheet!B$3:G$2921,6,0)</f>
        <v>1730.42</v>
      </c>
      <c r="K416" s="8" t="e">
        <f t="shared" si="26"/>
        <v>#N/A</v>
      </c>
      <c r="L416" s="6">
        <f t="shared" si="27"/>
        <v>1730.42</v>
      </c>
    </row>
    <row r="417" spans="1:12" x14ac:dyDescent="0.25">
      <c r="A417" s="9" t="s">
        <v>416</v>
      </c>
      <c r="B417" s="2" t="str">
        <f>VLOOKUP(A417,[1]Sheet!B$3:G$2921,2,0)</f>
        <v>Улаштування одношарової основи зі
щебеню за товщини 15 см</v>
      </c>
      <c r="C417" s="3" t="str">
        <f>VLOOKUP(A417,[1]Sheet!B$3:G$2921,3,0)</f>
        <v>1000м2</v>
      </c>
      <c r="D417" s="4">
        <v>0.42600000000000005</v>
      </c>
      <c r="E417" s="5" t="e">
        <f>VLOOKUP(A417,N$3:S$1271,4,FALSE)</f>
        <v>#N/A</v>
      </c>
      <c r="F417" s="6">
        <f t="shared" si="24"/>
        <v>0.42600000000000005</v>
      </c>
      <c r="G417" s="7">
        <f>VLOOKUP(A417,[1]Sheet!B$3:G$2921,5,0)</f>
        <v>219424.35</v>
      </c>
      <c r="H417" s="5" t="e">
        <f>VLOOKUP(A417,N$3:S$1271,5,FALSE)</f>
        <v>#N/A</v>
      </c>
      <c r="I417" s="6">
        <f t="shared" si="25"/>
        <v>219424.35</v>
      </c>
      <c r="J417" s="7">
        <f>VLOOKUP(A417,[1]Sheet!B$3:G$2921,6,0)</f>
        <v>89525.13</v>
      </c>
      <c r="K417" s="8" t="e">
        <f t="shared" si="26"/>
        <v>#N/A</v>
      </c>
      <c r="L417" s="6">
        <f t="shared" si="27"/>
        <v>89525.13</v>
      </c>
    </row>
    <row r="418" spans="1:12" x14ac:dyDescent="0.25">
      <c r="A418" s="9" t="s">
        <v>417</v>
      </c>
      <c r="B418" s="2" t="str">
        <f>VLOOKUP(A418,[1]Sheet!B$3:G$2921,2,0)</f>
        <v>Улаштування основи тротуарів із щебеню
за товщини шару 12 см</v>
      </c>
      <c r="C418" s="3" t="str">
        <f>VLOOKUP(A418,[1]Sheet!B$3:G$2921,3,0)</f>
        <v>100м2</v>
      </c>
      <c r="D418" s="4">
        <v>2.58</v>
      </c>
      <c r="E418" s="5" t="e">
        <f>VLOOKUP(A418,N$3:S$1271,4,FALSE)</f>
        <v>#N/A</v>
      </c>
      <c r="F418" s="6">
        <f t="shared" si="24"/>
        <v>2.58</v>
      </c>
      <c r="G418" s="7">
        <f>VLOOKUP(A418,[1]Sheet!B$3:G$2921,5,0)</f>
        <v>20497.240000000002</v>
      </c>
      <c r="H418" s="5" t="e">
        <f>VLOOKUP(A418,N$3:S$1271,5,FALSE)</f>
        <v>#N/A</v>
      </c>
      <c r="I418" s="6">
        <f t="shared" si="25"/>
        <v>20497.240000000002</v>
      </c>
      <c r="J418" s="7">
        <f>VLOOKUP(A418,[1]Sheet!B$3:G$2921,6,0)</f>
        <v>38124.870000000003</v>
      </c>
      <c r="K418" s="8" t="e">
        <f t="shared" si="26"/>
        <v>#N/A</v>
      </c>
      <c r="L418" s="6">
        <f t="shared" si="27"/>
        <v>38124.870000000003</v>
      </c>
    </row>
    <row r="419" spans="1:12" x14ac:dyDescent="0.25">
      <c r="A419" s="9" t="s">
        <v>418</v>
      </c>
      <c r="B419" s="2" t="str">
        <f>VLOOKUP(A419,[1]Sheet!B$3:G$2921,2,0)</f>
        <v>Улаштування основи тротуарів зі щебеню
, при зміні товщини на кожний 1 см
додавати або виключати до норми 27-17-3
(добавити) до товщини 15 см</v>
      </c>
      <c r="C419" s="3" t="str">
        <f>VLOOKUP(A419,[1]Sheet!B$3:G$2921,3,0)</f>
        <v>100м2</v>
      </c>
      <c r="D419" s="4">
        <v>1.86</v>
      </c>
      <c r="E419" s="5" t="e">
        <f>VLOOKUP(A419,N$3:S$1271,4,FALSE)</f>
        <v>#N/A</v>
      </c>
      <c r="F419" s="6">
        <f t="shared" si="24"/>
        <v>1.86</v>
      </c>
      <c r="G419" s="7">
        <f>VLOOKUP(A419,[1]Sheet!B$3:G$2921,5,0)</f>
        <v>3952.99</v>
      </c>
      <c r="H419" s="5" t="e">
        <f>VLOOKUP(A419,N$3:S$1271,5,FALSE)</f>
        <v>#N/A</v>
      </c>
      <c r="I419" s="6">
        <f t="shared" si="25"/>
        <v>3952.99</v>
      </c>
      <c r="J419" s="7">
        <f>VLOOKUP(A419,[1]Sheet!B$3:G$2921,6,0)</f>
        <v>7352.56</v>
      </c>
      <c r="K419" s="8" t="e">
        <f t="shared" si="26"/>
        <v>#N/A</v>
      </c>
      <c r="L419" s="6">
        <f t="shared" si="27"/>
        <v>7352.56</v>
      </c>
    </row>
    <row r="420" spans="1:12" x14ac:dyDescent="0.25">
      <c r="A420" s="9" t="s">
        <v>419</v>
      </c>
      <c r="B420" s="2" t="str">
        <f>VLOOKUP(A420,[1]Sheet!B$3:G$2921,2,0)</f>
        <v>Улаштування асфальтобетонного
покриття доріжок і тротуарів двошарових,
верхній шар із дрібнозернистої
асфальтобетонної суміші за товщини 3 см</v>
      </c>
      <c r="C420" s="3" t="str">
        <f>VLOOKUP(A420,[1]Sheet!B$3:G$2921,3,0)</f>
        <v>100м2</v>
      </c>
      <c r="D420" s="4">
        <v>4.26</v>
      </c>
      <c r="E420" s="5" t="e">
        <f>VLOOKUP(A420,N$3:S$1271,4,FALSE)</f>
        <v>#N/A</v>
      </c>
      <c r="F420" s="6">
        <f t="shared" si="24"/>
        <v>4.26</v>
      </c>
      <c r="G420" s="7">
        <f>VLOOKUP(A420,[1]Sheet!B$3:G$2921,5,0)</f>
        <v>1970.57</v>
      </c>
      <c r="H420" s="5" t="e">
        <f>VLOOKUP(A420,N$3:S$1271,5,FALSE)</f>
        <v>#N/A</v>
      </c>
      <c r="I420" s="6">
        <f t="shared" si="25"/>
        <v>1970.57</v>
      </c>
      <c r="J420" s="7">
        <f>VLOOKUP(A420,[1]Sheet!B$3:G$2921,6,0)</f>
        <v>8039.93</v>
      </c>
      <c r="K420" s="8" t="e">
        <f t="shared" si="26"/>
        <v>#N/A</v>
      </c>
      <c r="L420" s="6">
        <f t="shared" si="27"/>
        <v>8039.93</v>
      </c>
    </row>
    <row r="421" spans="1:12" x14ac:dyDescent="0.25">
      <c r="A421" s="9" t="s">
        <v>420</v>
      </c>
      <c r="B421" s="2" t="str">
        <f>VLOOKUP(A421,[1]Sheet!B$3:G$2921,2,0)</f>
        <v>Улаштування асфальтобетонного
покриття доріжок і тротуарів двошарових,
нижній шар із крупнозернистої
асфальтобетонної суміші за товщини 4,5
см</v>
      </c>
      <c r="C421" s="3" t="str">
        <f>VLOOKUP(A421,[1]Sheet!B$3:G$2921,3,0)</f>
        <v>100м2</v>
      </c>
      <c r="D421" s="4">
        <v>4.26</v>
      </c>
      <c r="E421" s="5" t="e">
        <f>VLOOKUP(A421,N$3:S$1271,4,FALSE)</f>
        <v>#N/A</v>
      </c>
      <c r="F421" s="6">
        <f t="shared" si="24"/>
        <v>4.26</v>
      </c>
      <c r="G421" s="7">
        <f>VLOOKUP(A421,[1]Sheet!B$3:G$2921,5,0)</f>
        <v>1970.57</v>
      </c>
      <c r="H421" s="5" t="e">
        <f>VLOOKUP(A421,N$3:S$1271,5,FALSE)</f>
        <v>#N/A</v>
      </c>
      <c r="I421" s="6">
        <f t="shared" si="25"/>
        <v>1970.57</v>
      </c>
      <c r="J421" s="7">
        <f>VLOOKUP(A421,[1]Sheet!B$3:G$2921,6,0)</f>
        <v>8039.93</v>
      </c>
      <c r="K421" s="8" t="e">
        <f t="shared" si="26"/>
        <v>#N/A</v>
      </c>
      <c r="L421" s="6">
        <f t="shared" si="27"/>
        <v>8039.93</v>
      </c>
    </row>
    <row r="422" spans="1:12" x14ac:dyDescent="0.25">
      <c r="A422" s="9" t="s">
        <v>421</v>
      </c>
      <c r="B422" s="2" t="str">
        <f>VLOOKUP(A422,[1]Sheet!B$3:G$2921,2,0)</f>
        <v>Улаштування асфальтобетонного
покриття доріжок і тротуарів
одношарових, на кожні 0,5 см зміни
товщини шару додавати або вилучати
до/з норм 27-22-3 – 27-22-4 (добавити) до
товщини 4 см</v>
      </c>
      <c r="C422" s="3" t="str">
        <f>VLOOKUP(A422,[1]Sheet!B$3:G$2921,3,0)</f>
        <v>100м2</v>
      </c>
      <c r="D422" s="4">
        <v>4.26</v>
      </c>
      <c r="E422" s="5" t="e">
        <f>VLOOKUP(A422,N$3:S$1271,4,FALSE)</f>
        <v>#N/A</v>
      </c>
      <c r="F422" s="6">
        <f t="shared" si="24"/>
        <v>4.26</v>
      </c>
      <c r="G422" s="7">
        <f>VLOOKUP(A422,[1]Sheet!B$3:G$2921,5,0)</f>
        <v>7741.16</v>
      </c>
      <c r="H422" s="5" t="e">
        <f>VLOOKUP(A422,N$3:S$1271,5,FALSE)</f>
        <v>#N/A</v>
      </c>
      <c r="I422" s="6">
        <f t="shared" si="25"/>
        <v>7741.16</v>
      </c>
      <c r="J422" s="7">
        <f>VLOOKUP(A422,[1]Sheet!B$3:G$2921,6,0)</f>
        <v>31583.93</v>
      </c>
      <c r="K422" s="8" t="e">
        <f t="shared" si="26"/>
        <v>#N/A</v>
      </c>
      <c r="L422" s="6">
        <f t="shared" si="27"/>
        <v>31583.93</v>
      </c>
    </row>
    <row r="423" spans="1:12" x14ac:dyDescent="0.25">
      <c r="A423" s="9" t="s">
        <v>422</v>
      </c>
      <c r="B423" s="2" t="str">
        <f>VLOOKUP(A423,[1]Sheet!B$3:G$2921,2,0)</f>
        <v>Улаштування асфальтобетонного покриття
доріжок і тротуарів одношарових, на кожні 0,
5 см зміни товщини шару додавати або
вилучати до/з норм 27-22-3 – 27-22-4
(додавати до товщ. 8 см)</v>
      </c>
      <c r="C423" s="3" t="str">
        <f>VLOOKUP(A423,[1]Sheet!B$3:G$2921,3,0)</f>
        <v>100м2</v>
      </c>
      <c r="D423" s="4">
        <v>4.26</v>
      </c>
      <c r="E423" s="5" t="e">
        <f>VLOOKUP(A423,N$3:S$1271,4,FALSE)</f>
        <v>#N/A</v>
      </c>
      <c r="F423" s="6">
        <f t="shared" si="24"/>
        <v>4.26</v>
      </c>
      <c r="G423" s="7">
        <f>VLOOKUP(A423,[1]Sheet!B$3:G$2921,5,0)</f>
        <v>563.15</v>
      </c>
      <c r="H423" s="5" t="e">
        <f>VLOOKUP(A423,N$3:S$1271,5,FALSE)</f>
        <v>#N/A</v>
      </c>
      <c r="I423" s="6">
        <f t="shared" si="25"/>
        <v>563.15</v>
      </c>
      <c r="J423" s="7">
        <f>VLOOKUP(A423,[1]Sheet!B$3:G$2921,6,0)</f>
        <v>2297.65</v>
      </c>
      <c r="K423" s="8" t="e">
        <f t="shared" si="26"/>
        <v>#N/A</v>
      </c>
      <c r="L423" s="6">
        <f t="shared" si="27"/>
        <v>2297.65</v>
      </c>
    </row>
    <row r="424" spans="1:12" x14ac:dyDescent="0.25">
      <c r="A424" s="9" t="s">
        <v>423</v>
      </c>
      <c r="B424" s="2" t="str">
        <f>VLOOKUP(A424,[1]Sheet!B$3:G$2921,2,0)</f>
        <v>Улаштування покриття з фігурних
елементів мощення з використанням
готової піщано-цементної суміші
тротуарів, шириною до 2 м</v>
      </c>
      <c r="C424" s="3" t="str">
        <f>VLOOKUP(A424,[1]Sheet!B$3:G$2921,3,0)</f>
        <v>1000 м2</v>
      </c>
      <c r="D424" s="4">
        <v>0.25800000000000001</v>
      </c>
      <c r="E424" s="5" t="e">
        <f>VLOOKUP(A424,N$3:S$1271,4,FALSE)</f>
        <v>#N/A</v>
      </c>
      <c r="F424" s="6">
        <f t="shared" si="24"/>
        <v>0.25800000000000001</v>
      </c>
      <c r="G424" s="7">
        <f>VLOOKUP(A424,[1]Sheet!B$3:G$2921,5,0)</f>
        <v>75989.89</v>
      </c>
      <c r="H424" s="5" t="e">
        <f>VLOOKUP(A424,N$3:S$1271,5,FALSE)</f>
        <v>#N/A</v>
      </c>
      <c r="I424" s="6">
        <f t="shared" si="25"/>
        <v>75989.89</v>
      </c>
      <c r="J424" s="7">
        <f>VLOOKUP(A424,[1]Sheet!B$3:G$2921,6,0)</f>
        <v>14134.12</v>
      </c>
      <c r="K424" s="8" t="e">
        <f t="shared" si="26"/>
        <v>#N/A</v>
      </c>
      <c r="L424" s="6">
        <f t="shared" si="27"/>
        <v>14134.12</v>
      </c>
    </row>
    <row r="425" spans="1:12" x14ac:dyDescent="0.25">
      <c r="A425" s="9" t="s">
        <v>424</v>
      </c>
      <c r="B425" s="2" t="str">
        <f>VLOOKUP(A425,[1]Sheet!B$3:G$2921,2,0)</f>
        <v>Розбирання покриття з фігурних
елементів мощення (15% в сміття)</v>
      </c>
      <c r="C425" s="3" t="str">
        <f>VLOOKUP(A425,[1]Sheet!B$3:G$2921,3,0)</f>
        <v>1000 м2</v>
      </c>
      <c r="D425" s="4">
        <v>8.500000000000002E-2</v>
      </c>
      <c r="E425" s="5" t="e">
        <f>VLOOKUP(A425,N$3:S$1271,4,FALSE)</f>
        <v>#N/A</v>
      </c>
      <c r="F425" s="6">
        <f t="shared" si="24"/>
        <v>8.500000000000002E-2</v>
      </c>
      <c r="G425" s="7">
        <f>VLOOKUP(A425,[1]Sheet!B$3:G$2921,5,0)</f>
        <v>55895.51</v>
      </c>
      <c r="H425" s="5" t="e">
        <f>VLOOKUP(A425,N$3:S$1271,5,FALSE)</f>
        <v>#N/A</v>
      </c>
      <c r="I425" s="6">
        <f t="shared" si="25"/>
        <v>55895.51</v>
      </c>
      <c r="J425" s="7">
        <f>VLOOKUP(A425,[1]Sheet!B$3:G$2921,6,0)</f>
        <v>4751.12</v>
      </c>
      <c r="K425" s="8" t="e">
        <f t="shared" si="26"/>
        <v>#N/A</v>
      </c>
      <c r="L425" s="6">
        <f t="shared" si="27"/>
        <v>4751.12</v>
      </c>
    </row>
    <row r="426" spans="1:12" x14ac:dyDescent="0.25">
      <c r="A426" s="9" t="s">
        <v>425</v>
      </c>
      <c r="B426" s="2" t="str">
        <f>VLOOKUP(A426,[1]Sheet!B$3:G$2921,2,0)</f>
        <v>Установлення бетонних бортових каменів
на бетонну основу до 100 мм</v>
      </c>
      <c r="C426" s="3" t="str">
        <f>VLOOKUP(A426,[1]Sheet!B$3:G$2921,3,0)</f>
        <v>100 м</v>
      </c>
      <c r="D426" s="4">
        <v>0.501</v>
      </c>
      <c r="E426" s="5" t="e">
        <f>VLOOKUP(A426,N$3:S$1271,4,FALSE)</f>
        <v>#N/A</v>
      </c>
      <c r="F426" s="6">
        <f t="shared" si="24"/>
        <v>0.501</v>
      </c>
      <c r="G426" s="7">
        <f>VLOOKUP(A426,[1]Sheet!B$3:G$2921,5,0)</f>
        <v>7718.38</v>
      </c>
      <c r="H426" s="5" t="e">
        <f>VLOOKUP(A426,N$3:S$1271,5,FALSE)</f>
        <v>#N/A</v>
      </c>
      <c r="I426" s="6">
        <f t="shared" si="25"/>
        <v>7718.38</v>
      </c>
      <c r="J426" s="7">
        <f>VLOOKUP(A426,[1]Sheet!B$3:G$2921,6,0)</f>
        <v>239.27</v>
      </c>
      <c r="K426" s="8" t="e">
        <f t="shared" si="26"/>
        <v>#N/A</v>
      </c>
      <c r="L426" s="6">
        <f t="shared" si="27"/>
        <v>239.27</v>
      </c>
    </row>
    <row r="427" spans="1:12" x14ac:dyDescent="0.25">
      <c r="A427" s="9" t="s">
        <v>426</v>
      </c>
      <c r="B427" s="2" t="str">
        <f>VLOOKUP(A427,[1]Sheet!B$3:G$2921,2,0)</f>
        <v>Установлення бетонних бортових каменів
на бетонну основу понад 100 мм до 150 мм</v>
      </c>
      <c r="C427" s="3" t="str">
        <f>VLOOKUP(A427,[1]Sheet!B$3:G$2921,3,0)</f>
        <v>100 м</v>
      </c>
      <c r="D427" s="4">
        <v>0.65000000000000013</v>
      </c>
      <c r="E427" s="5" t="e">
        <f>VLOOKUP(A427,N$3:S$1271,4,FALSE)</f>
        <v>#N/A</v>
      </c>
      <c r="F427" s="6">
        <f t="shared" si="24"/>
        <v>0.65000000000000013</v>
      </c>
      <c r="G427" s="7">
        <f>VLOOKUP(A427,[1]Sheet!B$3:G$2921,5,0)</f>
        <v>8389.52</v>
      </c>
      <c r="H427" s="5" t="e">
        <f>VLOOKUP(A427,N$3:S$1271,5,FALSE)</f>
        <v>#N/A</v>
      </c>
      <c r="I427" s="6">
        <f t="shared" si="25"/>
        <v>8389.52</v>
      </c>
      <c r="J427" s="7">
        <f>VLOOKUP(A427,[1]Sheet!B$3:G$2921,6,0)</f>
        <v>419.48</v>
      </c>
      <c r="K427" s="8" t="e">
        <f t="shared" si="26"/>
        <v>#N/A</v>
      </c>
      <c r="L427" s="6">
        <f t="shared" si="27"/>
        <v>419.48</v>
      </c>
    </row>
    <row r="428" spans="1:12" x14ac:dyDescent="0.25">
      <c r="A428" s="9" t="s">
        <v>427</v>
      </c>
      <c r="B428" s="2" t="str">
        <f>VLOOKUP(A428,[1]Sheet!B$3:G$2921,2,0)</f>
        <v>Розбирання дорожніх покриттів та основ
щебеневих</v>
      </c>
      <c r="C428" s="3" t="str">
        <f>VLOOKUP(A428,[1]Sheet!B$3:G$2921,3,0)</f>
        <v>100 м3</v>
      </c>
      <c r="D428" s="4">
        <v>0.10200000000000001</v>
      </c>
      <c r="E428" s="5" t="e">
        <f>VLOOKUP(A428,N$3:S$1271,4,FALSE)</f>
        <v>#N/A</v>
      </c>
      <c r="F428" s="6">
        <f t="shared" si="24"/>
        <v>0.10200000000000001</v>
      </c>
      <c r="G428" s="7">
        <f>VLOOKUP(A428,[1]Sheet!B$3:G$2921,5,0)</f>
        <v>2645.04</v>
      </c>
      <c r="H428" s="5" t="e">
        <f>VLOOKUP(A428,N$3:S$1271,5,FALSE)</f>
        <v>#N/A</v>
      </c>
      <c r="I428" s="6">
        <f t="shared" si="25"/>
        <v>2645.04</v>
      </c>
      <c r="J428" s="7">
        <f>VLOOKUP(A428,[1]Sheet!B$3:G$2921,6,0)</f>
        <v>269.79000000000002</v>
      </c>
      <c r="K428" s="8" t="e">
        <f t="shared" si="26"/>
        <v>#N/A</v>
      </c>
      <c r="L428" s="6">
        <f t="shared" si="27"/>
        <v>269.79000000000002</v>
      </c>
    </row>
    <row r="429" spans="1:12" x14ac:dyDescent="0.25">
      <c r="A429" s="9" t="s">
        <v>428</v>
      </c>
      <c r="B429" s="2" t="str">
        <f>VLOOKUP(A429,[1]Sheet!B$3:G$2921,2,0)</f>
        <v>Улаштування бетонної подушкі бетон
важкий В 7,5 (М 100), крупнiсть
заповнювача 20-40мм</v>
      </c>
      <c r="C429" s="3" t="str">
        <f>VLOOKUP(A429,[1]Sheet!B$3:G$2921,3,0)</f>
        <v>100м3</v>
      </c>
      <c r="D429" s="4">
        <v>0.32793</v>
      </c>
      <c r="E429" s="5" t="e">
        <f>VLOOKUP(A429,N$3:S$1271,4,FALSE)</f>
        <v>#N/A</v>
      </c>
      <c r="F429" s="6">
        <f t="shared" si="24"/>
        <v>0.32793</v>
      </c>
      <c r="G429" s="7">
        <f>VLOOKUP(A429,[1]Sheet!B$3:G$2921,5,0)</f>
        <v>280629.59000000003</v>
      </c>
      <c r="H429" s="5" t="e">
        <f>VLOOKUP(A429,N$3:S$1271,5,FALSE)</f>
        <v>#N/A</v>
      </c>
      <c r="I429" s="6">
        <f t="shared" si="25"/>
        <v>280629.59000000003</v>
      </c>
      <c r="J429" s="7">
        <f>VLOOKUP(A429,[1]Sheet!B$3:G$2921,6,0)</f>
        <v>308.69</v>
      </c>
      <c r="K429" s="8" t="e">
        <f t="shared" si="26"/>
        <v>#N/A</v>
      </c>
      <c r="L429" s="6">
        <f t="shared" si="27"/>
        <v>308.69</v>
      </c>
    </row>
    <row r="430" spans="1:12" x14ac:dyDescent="0.25">
      <c r="A430" s="9" t="s">
        <v>429</v>
      </c>
      <c r="B430" s="2" t="str">
        <f>VLOOKUP(A430,[1]Sheet!B$3:G$2921,2,0)</f>
        <v>Установлення закладних деталей вагою
понад 20 кг</v>
      </c>
      <c r="C430" s="3" t="str">
        <f>VLOOKUP(A430,[1]Sheet!B$3:G$2921,3,0)</f>
        <v>т</v>
      </c>
      <c r="D430" s="4">
        <v>5.9950000000000003E-2</v>
      </c>
      <c r="E430" s="5" t="e">
        <f>VLOOKUP(A430,N$3:S$1271,4,FALSE)</f>
        <v>#N/A</v>
      </c>
      <c r="F430" s="6">
        <f t="shared" si="24"/>
        <v>5.9950000000000003E-2</v>
      </c>
      <c r="G430" s="7">
        <f>VLOOKUP(A430,[1]Sheet!B$3:G$2921,5,0)</f>
        <v>1754.65</v>
      </c>
      <c r="H430" s="5" t="e">
        <f>VLOOKUP(A430,N$3:S$1271,5,FALSE)</f>
        <v>#N/A</v>
      </c>
      <c r="I430" s="6">
        <f t="shared" si="25"/>
        <v>1754.65</v>
      </c>
      <c r="J430" s="7">
        <f>VLOOKUP(A430,[1]Sheet!B$3:G$2921,6,0)</f>
        <v>105.19</v>
      </c>
      <c r="K430" s="8" t="e">
        <f t="shared" si="26"/>
        <v>#N/A</v>
      </c>
      <c r="L430" s="6">
        <f t="shared" si="27"/>
        <v>105.19</v>
      </c>
    </row>
    <row r="431" spans="1:12" x14ac:dyDescent="0.25">
      <c r="A431" s="9" t="s">
        <v>430</v>
      </c>
      <c r="B431" s="2" t="str">
        <f>VLOOKUP(A431,[1]Sheet!B$3:G$2921,2,0)</f>
        <v>Улаштування фундаментiв стовпiв
бетонних з бетону С8/10</v>
      </c>
      <c r="C431" s="3" t="str">
        <f>VLOOKUP(A431,[1]Sheet!B$3:G$2921,3,0)</f>
        <v>100м3</v>
      </c>
      <c r="D431" s="4">
        <v>4.7200000000000006E-2</v>
      </c>
      <c r="E431" s="5" t="e">
        <f>VLOOKUP(A431,N$3:S$1271,4,FALSE)</f>
        <v>#N/A</v>
      </c>
      <c r="F431" s="6">
        <f t="shared" si="24"/>
        <v>4.7200000000000006E-2</v>
      </c>
      <c r="G431" s="7">
        <f>VLOOKUP(A431,[1]Sheet!B$3:G$2921,5,0)</f>
        <v>348450.06</v>
      </c>
      <c r="H431" s="5" t="e">
        <f>VLOOKUP(A431,N$3:S$1271,5,FALSE)</f>
        <v>#N/A</v>
      </c>
      <c r="I431" s="6">
        <f t="shared" si="25"/>
        <v>348450.06</v>
      </c>
      <c r="J431" s="7">
        <f>VLOOKUP(A431,[1]Sheet!B$3:G$2921,6,0)</f>
        <v>2090.6999999999998</v>
      </c>
      <c r="K431" s="8" t="e">
        <f t="shared" si="26"/>
        <v>#N/A</v>
      </c>
      <c r="L431" s="6">
        <f t="shared" si="27"/>
        <v>2090.6999999999998</v>
      </c>
    </row>
    <row r="432" spans="1:12" x14ac:dyDescent="0.25">
      <c r="A432" s="9" t="s">
        <v>431</v>
      </c>
      <c r="B432" s="2" t="str">
        <f>VLOOKUP(A432,[1]Sheet!B$3:G$2921,2,0)</f>
        <v>Установлення закладних деталей вагою
до 5 кг</v>
      </c>
      <c r="C432" s="3" t="str">
        <f>VLOOKUP(A432,[1]Sheet!B$3:G$2921,3,0)</f>
        <v>т</v>
      </c>
      <c r="D432" s="4">
        <v>9.2620000000000008E-2</v>
      </c>
      <c r="E432" s="5" t="e">
        <f>VLOOKUP(A432,N$3:S$1271,4,FALSE)</f>
        <v>#N/A</v>
      </c>
      <c r="F432" s="6">
        <f t="shared" si="24"/>
        <v>9.2620000000000008E-2</v>
      </c>
      <c r="G432" s="7">
        <f>VLOOKUP(A432,[1]Sheet!B$3:G$2921,5,0)</f>
        <v>15697.6</v>
      </c>
      <c r="H432" s="5" t="e">
        <f>VLOOKUP(A432,N$3:S$1271,5,FALSE)</f>
        <v>#N/A</v>
      </c>
      <c r="I432" s="6">
        <f t="shared" si="25"/>
        <v>15697.6</v>
      </c>
      <c r="J432" s="7">
        <f>VLOOKUP(A432,[1]Sheet!B$3:G$2921,6,0)</f>
        <v>54.94</v>
      </c>
      <c r="K432" s="8" t="e">
        <f t="shared" si="26"/>
        <v>#N/A</v>
      </c>
      <c r="L432" s="6">
        <f t="shared" si="27"/>
        <v>54.94</v>
      </c>
    </row>
    <row r="433" spans="1:12" x14ac:dyDescent="0.25">
      <c r="A433" s="9" t="s">
        <v>432</v>
      </c>
      <c r="B433" s="2" t="str">
        <f>VLOOKUP(A433,[1]Sheet!B$3:G$2921,2,0)</f>
        <v>Установлення закладних деталей вагою
понад 5 кг до 10 кг</v>
      </c>
      <c r="C433" s="3" t="str">
        <f>VLOOKUP(A433,[1]Sheet!B$3:G$2921,3,0)</f>
        <v>т</v>
      </c>
      <c r="D433" s="4">
        <v>0.17799000000000001</v>
      </c>
      <c r="E433" s="5" t="e">
        <f>VLOOKUP(A433,N$3:S$1271,4,FALSE)</f>
        <v>#N/A</v>
      </c>
      <c r="F433" s="6">
        <f t="shared" si="24"/>
        <v>0.17799000000000001</v>
      </c>
      <c r="G433" s="7">
        <f>VLOOKUP(A433,[1]Sheet!B$3:G$2921,5,0)</f>
        <v>9039.0499999999993</v>
      </c>
      <c r="H433" s="5" t="e">
        <f>VLOOKUP(A433,N$3:S$1271,5,FALSE)</f>
        <v>#N/A</v>
      </c>
      <c r="I433" s="6">
        <f t="shared" si="25"/>
        <v>9039.0499999999993</v>
      </c>
      <c r="J433" s="7">
        <f>VLOOKUP(A433,[1]Sheet!B$3:G$2921,6,0)</f>
        <v>892.61</v>
      </c>
      <c r="K433" s="8" t="e">
        <f t="shared" si="26"/>
        <v>#N/A</v>
      </c>
      <c r="L433" s="6">
        <f t="shared" si="27"/>
        <v>892.61</v>
      </c>
    </row>
    <row r="434" spans="1:12" x14ac:dyDescent="0.25">
      <c r="A434" s="9" t="s">
        <v>433</v>
      </c>
      <c r="B434" s="2" t="str">
        <f>VLOOKUP(A434,[1]Sheet!B$3:G$2921,2,0)</f>
        <v>Установлення закладних деталей вагою
понад 10 кг до 20 кг</v>
      </c>
      <c r="C434" s="3" t="str">
        <f>VLOOKUP(A434,[1]Sheet!B$3:G$2921,3,0)</f>
        <v>т</v>
      </c>
      <c r="D434" s="4">
        <v>1.746E-2</v>
      </c>
      <c r="E434" s="5" t="e">
        <f>VLOOKUP(A434,N$3:S$1271,4,FALSE)</f>
        <v>#N/A</v>
      </c>
      <c r="F434" s="6">
        <f t="shared" si="24"/>
        <v>1.746E-2</v>
      </c>
      <c r="G434" s="7">
        <f>VLOOKUP(A434,[1]Sheet!B$3:G$2921,5,0)</f>
        <v>62826.14</v>
      </c>
      <c r="H434" s="5" t="e">
        <f>VLOOKUP(A434,N$3:S$1271,5,FALSE)</f>
        <v>#N/A</v>
      </c>
      <c r="I434" s="6">
        <f t="shared" si="25"/>
        <v>62826.14</v>
      </c>
      <c r="J434" s="7">
        <f>VLOOKUP(A434,[1]Sheet!B$3:G$2921,6,0)</f>
        <v>1096.94</v>
      </c>
      <c r="K434" s="8" t="e">
        <f t="shared" si="26"/>
        <v>#N/A</v>
      </c>
      <c r="L434" s="6">
        <f t="shared" si="27"/>
        <v>1096.94</v>
      </c>
    </row>
    <row r="435" spans="1:12" x14ac:dyDescent="0.25">
      <c r="A435" s="9" t="s">
        <v>434</v>
      </c>
      <c r="B435" s="2" t="str">
        <f>VLOOKUP(A435,[1]Sheet!B$3:G$2921,2,0)</f>
        <v>Улаштування бетоних опор розміром
200х300х90(h) з кроком 1,5м під
трубопровід діам.110мм у каналі</v>
      </c>
      <c r="C435" s="3" t="str">
        <f>VLOOKUP(A435,[1]Sheet!B$3:G$2921,3,0)</f>
        <v>100м3</v>
      </c>
      <c r="D435" s="4">
        <v>4.7000000000000002E-3</v>
      </c>
      <c r="E435" s="5" t="e">
        <f>VLOOKUP(A435,N$3:S$1271,4,FALSE)</f>
        <v>#N/A</v>
      </c>
      <c r="F435" s="6">
        <f t="shared" si="24"/>
        <v>4.7000000000000002E-3</v>
      </c>
      <c r="G435" s="7">
        <f>VLOOKUP(A435,[1]Sheet!B$3:G$2921,5,0)</f>
        <v>29213.87</v>
      </c>
      <c r="H435" s="5" t="e">
        <f>VLOOKUP(A435,N$3:S$1271,5,FALSE)</f>
        <v>#N/A</v>
      </c>
      <c r="I435" s="6">
        <f t="shared" si="25"/>
        <v>29213.87</v>
      </c>
      <c r="J435" s="7">
        <f>VLOOKUP(A435,[1]Sheet!B$3:G$2921,6,0)</f>
        <v>70.11</v>
      </c>
      <c r="K435" s="8" t="e">
        <f t="shared" si="26"/>
        <v>#N/A</v>
      </c>
      <c r="L435" s="6">
        <f t="shared" si="27"/>
        <v>70.11</v>
      </c>
    </row>
    <row r="436" spans="1:12" x14ac:dyDescent="0.25">
      <c r="A436" s="9" t="s">
        <v>435</v>
      </c>
      <c r="B436" s="2" t="str">
        <f>VLOOKUP(A436,[1]Sheet!B$3:G$2921,2,0)</f>
        <v>Улаштування стрiчкових фундаментiв
бетонних бетон важкий В 15 (М 200),
крупнiсть заповнювача 20-40мм</v>
      </c>
      <c r="C436" s="3" t="str">
        <f>VLOOKUP(A436,[1]Sheet!B$3:G$2921,3,0)</f>
        <v>100м3</v>
      </c>
      <c r="D436" s="4">
        <v>2.2000000000000001E-3</v>
      </c>
      <c r="E436" s="5" t="e">
        <f>VLOOKUP(A436,N$3:S$1271,4,FALSE)</f>
        <v>#N/A</v>
      </c>
      <c r="F436" s="6">
        <f t="shared" si="24"/>
        <v>2.2000000000000001E-3</v>
      </c>
      <c r="G436" s="7">
        <f>VLOOKUP(A436,[1]Sheet!B$3:G$2921,5,0)</f>
        <v>349767.09</v>
      </c>
      <c r="H436" s="5" t="e">
        <f>VLOOKUP(A436,N$3:S$1271,5,FALSE)</f>
        <v>#N/A</v>
      </c>
      <c r="I436" s="6">
        <f t="shared" si="25"/>
        <v>349767.09</v>
      </c>
      <c r="J436" s="7">
        <f>VLOOKUP(A436,[1]Sheet!B$3:G$2921,6,0)</f>
        <v>769.49</v>
      </c>
      <c r="K436" s="8" t="e">
        <f t="shared" si="26"/>
        <v>#N/A</v>
      </c>
      <c r="L436" s="6">
        <f t="shared" si="27"/>
        <v>769.49</v>
      </c>
    </row>
    <row r="437" spans="1:12" x14ac:dyDescent="0.25">
      <c r="A437" s="9" t="s">
        <v>436</v>
      </c>
      <c r="B437" s="2" t="str">
        <f>VLOOKUP(A437,[1]Sheet!B$3:G$2921,2,0)</f>
        <v>Улаштування залiзобетонних пiдпiрних
стiн i стiн пiдвалiв висотою до 3 м,
товщиною до 300 мм бетон важкий В 15
(М 200), крупнiсть заповнювача бiльше 40
мм</v>
      </c>
      <c r="C437" s="3" t="str">
        <f>VLOOKUP(A437,[1]Sheet!B$3:G$2921,3,0)</f>
        <v>100м3</v>
      </c>
      <c r="D437" s="4">
        <v>8.320000000000001E-2</v>
      </c>
      <c r="E437" s="5" t="e">
        <f>VLOOKUP(A437,N$3:S$1271,4,FALSE)</f>
        <v>#N/A</v>
      </c>
      <c r="F437" s="6">
        <f t="shared" si="24"/>
        <v>8.320000000000001E-2</v>
      </c>
      <c r="G437" s="7">
        <f>VLOOKUP(A437,[1]Sheet!B$3:G$2921,5,0)</f>
        <v>423158.58</v>
      </c>
      <c r="H437" s="5" t="e">
        <f>VLOOKUP(A437,N$3:S$1271,5,FALSE)</f>
        <v>#N/A</v>
      </c>
      <c r="I437" s="6">
        <f t="shared" si="25"/>
        <v>423158.58</v>
      </c>
      <c r="J437" s="7">
        <f>VLOOKUP(A437,[1]Sheet!B$3:G$2921,6,0)</f>
        <v>35206.79</v>
      </c>
      <c r="K437" s="8" t="e">
        <f t="shared" si="26"/>
        <v>#N/A</v>
      </c>
      <c r="L437" s="6">
        <f t="shared" si="27"/>
        <v>35206.79</v>
      </c>
    </row>
    <row r="438" spans="1:12" x14ac:dyDescent="0.25">
      <c r="A438" s="9" t="s">
        <v>437</v>
      </c>
      <c r="B438" s="2" t="str">
        <f>VLOOKUP(A438,[1]Sheet!B$3:G$2921,2,0)</f>
        <v>Улаштування балок фундаментних
/бетон важкий В 20 (М250), крупнiсть
заповнювача 20-40мм/</v>
      </c>
      <c r="C438" s="3" t="str">
        <f>VLOOKUP(A438,[1]Sheet!B$3:G$2921,3,0)</f>
        <v>100м3</v>
      </c>
      <c r="D438" s="4">
        <v>8.5000000000000006E-3</v>
      </c>
      <c r="E438" s="5" t="e">
        <f>VLOOKUP(A438,N$3:S$1271,4,FALSE)</f>
        <v>#N/A</v>
      </c>
      <c r="F438" s="6">
        <f t="shared" si="24"/>
        <v>8.5000000000000006E-3</v>
      </c>
      <c r="G438" s="7">
        <f>VLOOKUP(A438,[1]Sheet!B$3:G$2921,5,0)</f>
        <v>489974.82</v>
      </c>
      <c r="H438" s="5" t="e">
        <f>VLOOKUP(A438,N$3:S$1271,5,FALSE)</f>
        <v>#N/A</v>
      </c>
      <c r="I438" s="6">
        <f t="shared" si="25"/>
        <v>489974.82</v>
      </c>
      <c r="J438" s="7">
        <f>VLOOKUP(A438,[1]Sheet!B$3:G$2921,6,0)</f>
        <v>3331.83</v>
      </c>
      <c r="K438" s="8" t="e">
        <f t="shared" si="26"/>
        <v>#N/A</v>
      </c>
      <c r="L438" s="6">
        <f t="shared" si="27"/>
        <v>3331.83</v>
      </c>
    </row>
    <row r="439" spans="1:12" x14ac:dyDescent="0.25">
      <c r="A439" s="9" t="s">
        <v>438</v>
      </c>
      <c r="B439" s="2" t="str">
        <f>VLOOKUP(A439,[1]Sheet!B$3:G$2921,2,0)</f>
        <v>Улаштування перекриттiв каналiв бетон
важкий В 25 (М 350), крупнiсть
заповнювача 10-20мм</v>
      </c>
      <c r="C439" s="3" t="str">
        <f>VLOOKUP(A439,[1]Sheet!B$3:G$2921,3,0)</f>
        <v>100м3</v>
      </c>
      <c r="D439" s="4">
        <v>1.7000000000000001E-3</v>
      </c>
      <c r="E439" s="5" t="e">
        <f>VLOOKUP(A439,N$3:S$1271,4,FALSE)</f>
        <v>#N/A</v>
      </c>
      <c r="F439" s="6">
        <f t="shared" si="24"/>
        <v>1.7000000000000001E-3</v>
      </c>
      <c r="G439" s="7">
        <f>VLOOKUP(A439,[1]Sheet!B$3:G$2921,5,0)</f>
        <v>489195.21</v>
      </c>
      <c r="H439" s="5" t="e">
        <f>VLOOKUP(A439,N$3:S$1271,5,FALSE)</f>
        <v>#N/A</v>
      </c>
      <c r="I439" s="6">
        <f t="shared" si="25"/>
        <v>489195.21</v>
      </c>
      <c r="J439" s="7">
        <f>VLOOKUP(A439,[1]Sheet!B$3:G$2921,6,0)</f>
        <v>831.63</v>
      </c>
      <c r="K439" s="8" t="e">
        <f t="shared" si="26"/>
        <v>#N/A</v>
      </c>
      <c r="L439" s="6">
        <f t="shared" si="27"/>
        <v>831.63</v>
      </c>
    </row>
    <row r="440" spans="1:12" x14ac:dyDescent="0.25">
      <c r="A440" s="9" t="s">
        <v>439</v>
      </c>
      <c r="B440" s="2" t="str">
        <f>VLOOKUP(A440,[1]Sheet!B$3:G$2921,2,0)</f>
        <v>Улаштування перекриттiв по стальних
балках i монолiтних дiлянок при збiрному
залiзобетонному перекриттi площею до 5
м2, приведеною товщиною до 100 мм з
бетону С12/15</v>
      </c>
      <c r="C440" s="3" t="str">
        <f>VLOOKUP(A440,[1]Sheet!B$3:G$2921,3,0)</f>
        <v>100м3</v>
      </c>
      <c r="D440" s="4">
        <v>4.2000000000000006E-3</v>
      </c>
      <c r="E440" s="5" t="e">
        <f>VLOOKUP(A440,N$3:S$1271,4,FALSE)</f>
        <v>#N/A</v>
      </c>
      <c r="F440" s="6">
        <f t="shared" si="24"/>
        <v>4.2000000000000006E-3</v>
      </c>
      <c r="G440" s="7">
        <f>VLOOKUP(A440,[1]Sheet!B$3:G$2921,5,0)</f>
        <v>532215.56000000006</v>
      </c>
      <c r="H440" s="5" t="e">
        <f>VLOOKUP(A440,N$3:S$1271,5,FALSE)</f>
        <v>#N/A</v>
      </c>
      <c r="I440" s="6">
        <f t="shared" si="25"/>
        <v>532215.56000000006</v>
      </c>
      <c r="J440" s="7">
        <f>VLOOKUP(A440,[1]Sheet!B$3:G$2921,6,0)</f>
        <v>638.66</v>
      </c>
      <c r="K440" s="8" t="e">
        <f t="shared" si="26"/>
        <v>#N/A</v>
      </c>
      <c r="L440" s="6">
        <f t="shared" si="27"/>
        <v>638.66</v>
      </c>
    </row>
    <row r="441" spans="1:12" x14ac:dyDescent="0.25">
      <c r="A441" s="9" t="s">
        <v>440</v>
      </c>
      <c r="B441" s="2" t="str">
        <f>VLOOKUP(A441,[1]Sheet!B$3:G$2921,2,0)</f>
        <v>Улаштування стiн i плоских днищ круглих
споруд при товщинi стiн до 150 мм</v>
      </c>
      <c r="C441" s="3" t="str">
        <f>VLOOKUP(A441,[1]Sheet!B$3:G$2921,3,0)</f>
        <v>100 м3</v>
      </c>
      <c r="D441" s="4">
        <v>4.9000000000000002E-2</v>
      </c>
      <c r="E441" s="5" t="e">
        <f>VLOOKUP(A441,N$3:S$1271,4,FALSE)</f>
        <v>#N/A</v>
      </c>
      <c r="F441" s="6">
        <f t="shared" si="24"/>
        <v>4.9000000000000002E-2</v>
      </c>
      <c r="G441" s="7">
        <f>VLOOKUP(A441,[1]Sheet!B$3:G$2921,5,0)</f>
        <v>558022.01</v>
      </c>
      <c r="H441" s="5" t="e">
        <f>VLOOKUP(A441,N$3:S$1271,5,FALSE)</f>
        <v>#N/A</v>
      </c>
      <c r="I441" s="6">
        <f t="shared" si="25"/>
        <v>558022.01</v>
      </c>
      <c r="J441" s="7">
        <f>VLOOKUP(A441,[1]Sheet!B$3:G$2921,6,0)</f>
        <v>5022.2</v>
      </c>
      <c r="K441" s="8" t="e">
        <f t="shared" si="26"/>
        <v>#N/A</v>
      </c>
      <c r="L441" s="6">
        <f t="shared" si="27"/>
        <v>5022.2</v>
      </c>
    </row>
    <row r="442" spans="1:12" x14ac:dyDescent="0.25">
      <c r="A442" s="9" t="s">
        <v>441</v>
      </c>
      <c r="B442" s="2" t="str">
        <f>VLOOKUP(A442,[1]Sheet!B$3:G$2921,2,0)</f>
        <v>Улаштування стiн i плоских днищ
прямокутних споруд при товщинi стiн до
150 мм</v>
      </c>
      <c r="C442" s="3" t="str">
        <f>VLOOKUP(A442,[1]Sheet!B$3:G$2921,3,0)</f>
        <v>100 м3</v>
      </c>
      <c r="D442" s="4">
        <v>0.25900000000000001</v>
      </c>
      <c r="E442" s="5" t="e">
        <f>VLOOKUP(A442,N$3:S$1271,4,FALSE)</f>
        <v>#N/A</v>
      </c>
      <c r="F442" s="6">
        <f t="shared" si="24"/>
        <v>0.25900000000000001</v>
      </c>
      <c r="G442" s="7">
        <f>VLOOKUP(A442,[1]Sheet!B$3:G$2921,5,0)</f>
        <v>517202.8</v>
      </c>
      <c r="H442" s="5" t="e">
        <f>VLOOKUP(A442,N$3:S$1271,5,FALSE)</f>
        <v>#N/A</v>
      </c>
      <c r="I442" s="6">
        <f t="shared" si="25"/>
        <v>517202.8</v>
      </c>
      <c r="J442" s="7">
        <f>VLOOKUP(A442,[1]Sheet!B$3:G$2921,6,0)</f>
        <v>125163.08</v>
      </c>
      <c r="K442" s="8" t="e">
        <f t="shared" si="26"/>
        <v>#N/A</v>
      </c>
      <c r="L442" s="6">
        <f t="shared" si="27"/>
        <v>125163.08</v>
      </c>
    </row>
    <row r="443" spans="1:12" x14ac:dyDescent="0.25">
      <c r="A443" s="9" t="s">
        <v>442</v>
      </c>
      <c r="B443" s="2" t="str">
        <f>VLOOKUP(A443,[1]Sheet!B$3:G$2921,2,0)</f>
        <v>Улаштування стiн i плоских днищ
прямокутних споруд при товщинi стiн
понад 150 мм</v>
      </c>
      <c r="C443" s="3" t="str">
        <f>VLOOKUP(A443,[1]Sheet!B$3:G$2921,3,0)</f>
        <v>100 м3</v>
      </c>
      <c r="D443" s="4">
        <v>1.0634999999999999</v>
      </c>
      <c r="E443" s="5" t="e">
        <f>VLOOKUP(A443,N$3:S$1271,4,FALSE)</f>
        <v>#N/A</v>
      </c>
      <c r="F443" s="6">
        <f t="shared" si="24"/>
        <v>1.0634999999999999</v>
      </c>
      <c r="G443" s="7">
        <f>VLOOKUP(A443,[1]Sheet!B$3:G$2921,5,0)</f>
        <v>433027.53</v>
      </c>
      <c r="H443" s="5" t="e">
        <f>VLOOKUP(A443,N$3:S$1271,5,FALSE)</f>
        <v>#N/A</v>
      </c>
      <c r="I443" s="6">
        <f t="shared" si="25"/>
        <v>433027.53</v>
      </c>
      <c r="J443" s="7">
        <f>VLOOKUP(A443,[1]Sheet!B$3:G$2921,6,0)</f>
        <v>313944.96000000002</v>
      </c>
      <c r="K443" s="8" t="e">
        <f t="shared" si="26"/>
        <v>#N/A</v>
      </c>
      <c r="L443" s="6">
        <f t="shared" si="27"/>
        <v>313944.96000000002</v>
      </c>
    </row>
    <row r="444" spans="1:12" x14ac:dyDescent="0.25">
      <c r="A444" s="9" t="s">
        <v>443</v>
      </c>
      <c r="B444" s="2" t="str">
        <f>VLOOKUP(A444,[1]Sheet!B$3:G$2921,2,0)</f>
        <v>Улаштування пiдливки пiд колони з бетону
товщиною 20 мм</v>
      </c>
      <c r="C444" s="3" t="str">
        <f>VLOOKUP(A444,[1]Sheet!B$3:G$2921,3,0)</f>
        <v>100м2</v>
      </c>
      <c r="D444" s="4">
        <v>8.43E-2</v>
      </c>
      <c r="E444" s="5" t="e">
        <f>VLOOKUP(A444,N$3:S$1271,4,FALSE)</f>
        <v>#N/A</v>
      </c>
      <c r="F444" s="6">
        <f t="shared" si="24"/>
        <v>8.43E-2</v>
      </c>
      <c r="G444" s="7">
        <f>VLOOKUP(A444,[1]Sheet!B$3:G$2921,5,0)</f>
        <v>5532.39</v>
      </c>
      <c r="H444" s="5" t="e">
        <f>VLOOKUP(A444,N$3:S$1271,5,FALSE)</f>
        <v>#N/A</v>
      </c>
      <c r="I444" s="6">
        <f t="shared" si="25"/>
        <v>5532.39</v>
      </c>
      <c r="J444" s="7">
        <f>VLOOKUP(A444,[1]Sheet!B$3:G$2921,6,0)</f>
        <v>466.38</v>
      </c>
      <c r="K444" s="8" t="e">
        <f t="shared" si="26"/>
        <v>#N/A</v>
      </c>
      <c r="L444" s="6">
        <f t="shared" si="27"/>
        <v>466.38</v>
      </c>
    </row>
    <row r="445" spans="1:12" x14ac:dyDescent="0.25">
      <c r="A445" s="9" t="s">
        <v>444</v>
      </c>
      <c r="B445" s="2" t="str">
        <f>VLOOKUP(A445,[1]Sheet!B$3:G$2921,2,0)</f>
        <v>На кожнi 10 мм змiни товщини пiдливки
додавати до норми 6-9-1 до товщини 50мм</v>
      </c>
      <c r="C445" s="3" t="str">
        <f>VLOOKUP(A445,[1]Sheet!B$3:G$2921,3,0)</f>
        <v>100м2</v>
      </c>
      <c r="D445" s="4">
        <v>8.43E-2</v>
      </c>
      <c r="E445" s="5" t="e">
        <f>VLOOKUP(A445,N$3:S$1271,4,FALSE)</f>
        <v>#N/A</v>
      </c>
      <c r="F445" s="6">
        <f t="shared" si="24"/>
        <v>8.43E-2</v>
      </c>
      <c r="G445" s="7">
        <f>VLOOKUP(A445,[1]Sheet!B$3:G$2921,5,0)</f>
        <v>4174.91</v>
      </c>
      <c r="H445" s="5" t="e">
        <f>VLOOKUP(A445,N$3:S$1271,5,FALSE)</f>
        <v>#N/A</v>
      </c>
      <c r="I445" s="6">
        <f t="shared" si="25"/>
        <v>4174.91</v>
      </c>
      <c r="J445" s="7">
        <f>VLOOKUP(A445,[1]Sheet!B$3:G$2921,6,0)</f>
        <v>351.94</v>
      </c>
      <c r="K445" s="8" t="e">
        <f t="shared" si="26"/>
        <v>#N/A</v>
      </c>
      <c r="L445" s="6">
        <f t="shared" si="27"/>
        <v>351.94</v>
      </c>
    </row>
    <row r="446" spans="1:12" x14ac:dyDescent="0.25">
      <c r="A446" s="9" t="s">
        <v>445</v>
      </c>
      <c r="B446" s="2" t="str">
        <f>VLOOKUP(A446,[1]Sheet!B$3:G$2921,2,0)</f>
        <v>Армування мурування стiн та iнших
конструкцiй</v>
      </c>
      <c r="C446" s="3" t="str">
        <f>VLOOKUP(A446,[1]Sheet!B$3:G$2921,3,0)</f>
        <v>1 т</v>
      </c>
      <c r="D446" s="4">
        <v>9.1686000000000004E-2</v>
      </c>
      <c r="E446" s="5" t="e">
        <f>VLOOKUP(A446,N$3:S$1271,4,FALSE)</f>
        <v>#N/A</v>
      </c>
      <c r="F446" s="6">
        <f t="shared" si="24"/>
        <v>9.1686000000000004E-2</v>
      </c>
      <c r="G446" s="7">
        <f>VLOOKUP(A446,[1]Sheet!B$3:G$2921,5,0)</f>
        <v>4241.87</v>
      </c>
      <c r="H446" s="5" t="e">
        <f>VLOOKUP(A446,N$3:S$1271,5,FALSE)</f>
        <v>#N/A</v>
      </c>
      <c r="I446" s="6">
        <f t="shared" si="25"/>
        <v>4241.87</v>
      </c>
      <c r="J446" s="7">
        <f>VLOOKUP(A446,[1]Sheet!B$3:G$2921,6,0)</f>
        <v>50.31</v>
      </c>
      <c r="K446" s="8" t="e">
        <f t="shared" si="26"/>
        <v>#N/A</v>
      </c>
      <c r="L446" s="6">
        <f t="shared" si="27"/>
        <v>50.31</v>
      </c>
    </row>
    <row r="447" spans="1:12" x14ac:dyDescent="0.25">
      <c r="A447" s="9" t="s">
        <v>446</v>
      </c>
      <c r="B447" s="2" t="str">
        <f>VLOOKUP(A447,[1]Sheet!B$3:G$2921,2,0)</f>
        <v>Мурування стiн iз легкобетонних каменiв
без облицювання при висотi поверху до 4 м</v>
      </c>
      <c r="C447" s="3" t="str">
        <f>VLOOKUP(A447,[1]Sheet!B$3:G$2921,3,0)</f>
        <v>1 м3</v>
      </c>
      <c r="D447" s="4">
        <v>36.200000000000003</v>
      </c>
      <c r="E447" s="5" t="e">
        <f>VLOOKUP(A447,N$3:S$1271,4,FALSE)</f>
        <v>#N/A</v>
      </c>
      <c r="F447" s="6">
        <f t="shared" si="24"/>
        <v>36.200000000000003</v>
      </c>
      <c r="G447" s="7">
        <f>VLOOKUP(A447,[1]Sheet!B$3:G$2921,5,0)</f>
        <v>379.13</v>
      </c>
      <c r="H447" s="5" t="e">
        <f>VLOOKUP(A447,N$3:S$1271,5,FALSE)</f>
        <v>#N/A</v>
      </c>
      <c r="I447" s="6">
        <f t="shared" si="25"/>
        <v>379.13</v>
      </c>
      <c r="J447" s="7">
        <f>VLOOKUP(A447,[1]Sheet!B$3:G$2921,6,0)</f>
        <v>12207.99</v>
      </c>
      <c r="K447" s="8" t="e">
        <f t="shared" si="26"/>
        <v>#N/A</v>
      </c>
      <c r="L447" s="6">
        <f t="shared" si="27"/>
        <v>12207.99</v>
      </c>
    </row>
    <row r="448" spans="1:12" x14ac:dyDescent="0.25">
      <c r="A448" s="9" t="s">
        <v>447</v>
      </c>
      <c r="B448" s="2" t="str">
        <f>VLOOKUP(A448,[1]Sheet!B$3:G$2921,2,0)</f>
        <v>Улаштування основи пiд фундаменти
пiщаної</v>
      </c>
      <c r="C448" s="3" t="str">
        <f>VLOOKUP(A448,[1]Sheet!B$3:G$2921,3,0)</f>
        <v>1 м3</v>
      </c>
      <c r="D448" s="4">
        <v>48.35</v>
      </c>
      <c r="E448" s="5" t="e">
        <f>VLOOKUP(A448,N$3:S$1271,4,FALSE)</f>
        <v>#N/A</v>
      </c>
      <c r="F448" s="6">
        <f t="shared" si="24"/>
        <v>48.35</v>
      </c>
      <c r="G448" s="7">
        <f>VLOOKUP(A448,[1]Sheet!B$3:G$2921,5,0)</f>
        <v>865.11</v>
      </c>
      <c r="H448" s="5" t="e">
        <f>VLOOKUP(A448,N$3:S$1271,5,FALSE)</f>
        <v>#N/A</v>
      </c>
      <c r="I448" s="6">
        <f t="shared" si="25"/>
        <v>865.11</v>
      </c>
      <c r="J448" s="7">
        <f>VLOOKUP(A448,[1]Sheet!B$3:G$2921,6,0)</f>
        <v>41828.07</v>
      </c>
      <c r="K448" s="8" t="e">
        <f t="shared" si="26"/>
        <v>#N/A</v>
      </c>
      <c r="L448" s="6">
        <f t="shared" si="27"/>
        <v>41828.07</v>
      </c>
    </row>
    <row r="449" spans="1:12" x14ac:dyDescent="0.25">
      <c r="A449" s="9" t="s">
        <v>448</v>
      </c>
      <c r="B449" s="2" t="str">
        <f>VLOOKUP(A449,[1]Sheet!B$3:G$2921,2,0)</f>
        <v>Улаштування основи пiд фундаменти
щебеневої</v>
      </c>
      <c r="C449" s="3" t="str">
        <f>VLOOKUP(A449,[1]Sheet!B$3:G$2921,3,0)</f>
        <v>1 м3</v>
      </c>
      <c r="D449" s="4">
        <v>184.4</v>
      </c>
      <c r="E449" s="5" t="e">
        <f>VLOOKUP(A449,N$3:S$1271,4,FALSE)</f>
        <v>#N/A</v>
      </c>
      <c r="F449" s="6">
        <f t="shared" si="24"/>
        <v>184.4</v>
      </c>
      <c r="G449" s="7">
        <f>VLOOKUP(A449,[1]Sheet!B$3:G$2921,5,0)</f>
        <v>1339.62</v>
      </c>
      <c r="H449" s="5" t="e">
        <f>VLOOKUP(A449,N$3:S$1271,5,FALSE)</f>
        <v>#N/A</v>
      </c>
      <c r="I449" s="6">
        <f t="shared" si="25"/>
        <v>1339.62</v>
      </c>
      <c r="J449" s="7">
        <f>VLOOKUP(A449,[1]Sheet!B$3:G$2921,6,0)</f>
        <v>247025.93</v>
      </c>
      <c r="K449" s="8" t="e">
        <f t="shared" si="26"/>
        <v>#N/A</v>
      </c>
      <c r="L449" s="6">
        <f t="shared" si="27"/>
        <v>247025.93</v>
      </c>
    </row>
    <row r="450" spans="1:12" x14ac:dyDescent="0.25">
      <c r="A450" s="9" t="s">
        <v>449</v>
      </c>
      <c r="B450" s="2" t="str">
        <f>VLOOKUP(A450,[1]Sheet!B$3:G$2921,2,0)</f>
        <v>Укладання пiдвiконних залiзобетонних
плит гладких</v>
      </c>
      <c r="C450" s="3" t="str">
        <f>VLOOKUP(A450,[1]Sheet!B$3:G$2921,3,0)</f>
        <v>100м2</v>
      </c>
      <c r="D450" s="4">
        <v>5.0000000000000001E-3</v>
      </c>
      <c r="E450" s="5" t="e">
        <f>VLOOKUP(A450,N$3:S$1271,4,FALSE)</f>
        <v>#N/A</v>
      </c>
      <c r="F450" s="6">
        <f t="shared" ref="F450:F513" si="28">IFERROR(D450-E450,D450)</f>
        <v>5.0000000000000001E-3</v>
      </c>
      <c r="G450" s="7">
        <f>VLOOKUP(A450,[1]Sheet!B$3:G$2921,5,0)</f>
        <v>22130.95</v>
      </c>
      <c r="H450" s="5" t="e">
        <f>VLOOKUP(A450,N$3:S$1271,5,FALSE)</f>
        <v>#N/A</v>
      </c>
      <c r="I450" s="6">
        <f t="shared" ref="I450:I513" si="29">IFERROR(G450-H450,G450)</f>
        <v>22130.95</v>
      </c>
      <c r="J450" s="7">
        <f>VLOOKUP(A450,[1]Sheet!B$3:G$2921,6,0)</f>
        <v>110.65</v>
      </c>
      <c r="K450" s="8" t="e">
        <f t="shared" ref="K450:K513" si="30">VLOOKUP(A450,N$3:S$1271,6,FALSE)</f>
        <v>#N/A</v>
      </c>
      <c r="L450" s="6">
        <f t="shared" ref="L450:L513" si="31">IFERROR(J450-K450,J450)</f>
        <v>110.65</v>
      </c>
    </row>
    <row r="451" spans="1:12" x14ac:dyDescent="0.25">
      <c r="A451" s="9" t="s">
        <v>450</v>
      </c>
      <c r="B451" s="2" t="str">
        <f>VLOOKUP(A451,[1]Sheet!B$3:G$2921,2,0)</f>
        <v>Гiдроiзоляцiя горизонтальна цементна з
додаванням Mapei Idrosilex polvere (3%)</v>
      </c>
      <c r="C451" s="3" t="str">
        <f>VLOOKUP(A451,[1]Sheet!B$3:G$2921,3,0)</f>
        <v>100м2</v>
      </c>
      <c r="D451" s="4">
        <v>0.28925000000000001</v>
      </c>
      <c r="E451" s="5" t="e">
        <f>VLOOKUP(A451,N$3:S$1271,4,FALSE)</f>
        <v>#N/A</v>
      </c>
      <c r="F451" s="6">
        <f t="shared" si="28"/>
        <v>0.28925000000000001</v>
      </c>
      <c r="G451" s="7">
        <f>VLOOKUP(A451,[1]Sheet!B$3:G$2921,5,0)</f>
        <v>1963.26</v>
      </c>
      <c r="H451" s="5" t="e">
        <f>VLOOKUP(A451,N$3:S$1271,5,FALSE)</f>
        <v>#N/A</v>
      </c>
      <c r="I451" s="6">
        <f t="shared" si="29"/>
        <v>1963.26</v>
      </c>
      <c r="J451" s="7">
        <f>VLOOKUP(A451,[1]Sheet!B$3:G$2921,6,0)</f>
        <v>567.87</v>
      </c>
      <c r="K451" s="8" t="e">
        <f t="shared" si="30"/>
        <v>#N/A</v>
      </c>
      <c r="L451" s="6">
        <f t="shared" si="31"/>
        <v>567.87</v>
      </c>
    </row>
    <row r="452" spans="1:12" x14ac:dyDescent="0.25">
      <c r="A452" s="9" t="s">
        <v>451</v>
      </c>
      <c r="B452" s="2" t="str">
        <f>VLOOKUP(A452,[1]Sheet!B$3:G$2921,2,0)</f>
        <v>Гiдроiзоляцiя стiн, фундаментiв
горизонтальна обклеювальна в 2 шари</v>
      </c>
      <c r="C452" s="3" t="str">
        <f>VLOOKUP(A452,[1]Sheet!B$3:G$2921,3,0)</f>
        <v>100м2</v>
      </c>
      <c r="D452" s="4">
        <v>2.0324</v>
      </c>
      <c r="E452" s="5" t="e">
        <f>VLOOKUP(A452,N$3:S$1271,4,FALSE)</f>
        <v>#N/A</v>
      </c>
      <c r="F452" s="6">
        <f t="shared" si="28"/>
        <v>2.0324</v>
      </c>
      <c r="G452" s="7">
        <f>VLOOKUP(A452,[1]Sheet!B$3:G$2921,5,0)</f>
        <v>20962.07</v>
      </c>
      <c r="H452" s="5" t="e">
        <f>VLOOKUP(A452,N$3:S$1271,5,FALSE)</f>
        <v>#N/A</v>
      </c>
      <c r="I452" s="6">
        <f t="shared" si="29"/>
        <v>20962.07</v>
      </c>
      <c r="J452" s="7">
        <f>VLOOKUP(A452,[1]Sheet!B$3:G$2921,6,0)</f>
        <v>3613.86</v>
      </c>
      <c r="K452" s="8" t="e">
        <f t="shared" si="30"/>
        <v>#N/A</v>
      </c>
      <c r="L452" s="6">
        <f t="shared" si="31"/>
        <v>3613.86</v>
      </c>
    </row>
    <row r="453" spans="1:12" x14ac:dyDescent="0.25">
      <c r="A453" s="9" t="s">
        <v>452</v>
      </c>
      <c r="B453" s="2" t="str">
        <f>VLOOKUP(A453,[1]Sheet!B$3:G$2921,2,0)</f>
        <v>Гiдроiзоляцiя стiн, фундаментiв бокова
обклеювальна по вирiвнянiй поверхнi
бутового мурування, цеглi й бетону в 2
шари</v>
      </c>
      <c r="C453" s="3" t="str">
        <f>VLOOKUP(A453,[1]Sheet!B$3:G$2921,3,0)</f>
        <v>100м2</v>
      </c>
      <c r="D453" s="4">
        <v>0.61199999999999999</v>
      </c>
      <c r="E453" s="5" t="e">
        <f>VLOOKUP(A453,N$3:S$1271,4,FALSE)</f>
        <v>#N/A</v>
      </c>
      <c r="F453" s="6">
        <f t="shared" si="28"/>
        <v>0.61199999999999999</v>
      </c>
      <c r="G453" s="7">
        <f>VLOOKUP(A453,[1]Sheet!B$3:G$2921,5,0)</f>
        <v>3473.85</v>
      </c>
      <c r="H453" s="5" t="e">
        <f>VLOOKUP(A453,N$3:S$1271,5,FALSE)</f>
        <v>#N/A</v>
      </c>
      <c r="I453" s="6">
        <f t="shared" si="29"/>
        <v>3473.85</v>
      </c>
      <c r="J453" s="7">
        <f>VLOOKUP(A453,[1]Sheet!B$3:G$2921,6,0)</f>
        <v>2126</v>
      </c>
      <c r="K453" s="8" t="e">
        <f t="shared" si="30"/>
        <v>#N/A</v>
      </c>
      <c r="L453" s="6">
        <f t="shared" si="31"/>
        <v>2126</v>
      </c>
    </row>
    <row r="454" spans="1:12" x14ac:dyDescent="0.25">
      <c r="A454" s="9" t="s">
        <v>453</v>
      </c>
      <c r="B454" s="2" t="str">
        <f>VLOOKUP(A454,[1]Sheet!B$3:G$2921,2,0)</f>
        <v>Установлення i розбирання зовнiшнiх
iнвентарних риштувань трубчастих висотою
до 16 м для мурування облицювання</v>
      </c>
      <c r="C454" s="3" t="str">
        <f>VLOOKUP(A454,[1]Sheet!B$3:G$2921,3,0)</f>
        <v>100м2 вп</v>
      </c>
      <c r="D454" s="4">
        <v>9.2119759999999999</v>
      </c>
      <c r="E454" s="5" t="e">
        <f>VLOOKUP(A454,N$3:S$1271,4,FALSE)</f>
        <v>#N/A</v>
      </c>
      <c r="F454" s="6">
        <f t="shared" si="28"/>
        <v>9.2119759999999999</v>
      </c>
      <c r="G454" s="7">
        <f>VLOOKUP(A454,[1]Sheet!B$3:G$2921,5,0)</f>
        <v>7985.86</v>
      </c>
      <c r="H454" s="5" t="e">
        <f>VLOOKUP(A454,N$3:S$1271,5,FALSE)</f>
        <v>#N/A</v>
      </c>
      <c r="I454" s="6">
        <f t="shared" si="29"/>
        <v>7985.86</v>
      </c>
      <c r="J454" s="7">
        <f>VLOOKUP(A454,[1]Sheet!B$3:G$2921,6,0)</f>
        <v>73565.55</v>
      </c>
      <c r="K454" s="8" t="e">
        <f t="shared" si="30"/>
        <v>#N/A</v>
      </c>
      <c r="L454" s="6">
        <f t="shared" si="31"/>
        <v>73565.55</v>
      </c>
    </row>
    <row r="455" spans="1:12" x14ac:dyDescent="0.25">
      <c r="A455" s="9" t="s">
        <v>454</v>
      </c>
      <c r="B455" s="2" t="str">
        <f>VLOOKUP(A455,[1]Sheet!B$3:G$2921,2,0)</f>
        <v>Гiдроiзоляцiя стiн, фундаментiв бокова
обмазувальна бiтумна в 2 шари по
вирiвнянiй поверхнi бутового мурування,
цеглi, бетону</v>
      </c>
      <c r="C455" s="3" t="str">
        <f>VLOOKUP(A455,[1]Sheet!B$3:G$2921,3,0)</f>
        <v>100м2</v>
      </c>
      <c r="D455" s="4">
        <v>2.7122400000000004</v>
      </c>
      <c r="E455" s="5" t="e">
        <f>VLOOKUP(A455,N$3:S$1271,4,FALSE)</f>
        <v>#N/A</v>
      </c>
      <c r="F455" s="6">
        <f t="shared" si="28"/>
        <v>2.7122400000000004</v>
      </c>
      <c r="G455" s="7">
        <f>VLOOKUP(A455,[1]Sheet!B$3:G$2921,5,0)</f>
        <v>9402.64</v>
      </c>
      <c r="H455" s="5" t="e">
        <f>VLOOKUP(A455,N$3:S$1271,5,FALSE)</f>
        <v>#N/A</v>
      </c>
      <c r="I455" s="6">
        <f t="shared" si="29"/>
        <v>9402.64</v>
      </c>
      <c r="J455" s="7">
        <f>VLOOKUP(A455,[1]Sheet!B$3:G$2921,6,0)</f>
        <v>10827.14</v>
      </c>
      <c r="K455" s="8" t="e">
        <f t="shared" si="30"/>
        <v>#N/A</v>
      </c>
      <c r="L455" s="6">
        <f t="shared" si="31"/>
        <v>10827.14</v>
      </c>
    </row>
    <row r="456" spans="1:12" x14ac:dyDescent="0.25">
      <c r="A456" s="9" t="s">
        <v>455</v>
      </c>
      <c r="B456" s="2" t="str">
        <f>VLOOKUP(A456,[1]Sheet!B$3:G$2921,2,0)</f>
        <v>Бокова iзоляцiя стiн, фундаментiв глиною
(замок з глини)</v>
      </c>
      <c r="C456" s="3" t="str">
        <f>VLOOKUP(A456,[1]Sheet!B$3:G$2921,3,0)</f>
        <v>1 м3</v>
      </c>
      <c r="D456" s="4">
        <v>19.69708</v>
      </c>
      <c r="E456" s="5" t="e">
        <f>VLOOKUP(A456,N$3:S$1271,4,FALSE)</f>
        <v>#N/A</v>
      </c>
      <c r="F456" s="6">
        <f t="shared" si="28"/>
        <v>19.69708</v>
      </c>
      <c r="G456" s="7">
        <f>VLOOKUP(A456,[1]Sheet!B$3:G$2921,5,0)</f>
        <v>1051.29</v>
      </c>
      <c r="H456" s="5" t="e">
        <f>VLOOKUP(A456,N$3:S$1271,5,FALSE)</f>
        <v>#N/A</v>
      </c>
      <c r="I456" s="6">
        <f t="shared" si="29"/>
        <v>1051.29</v>
      </c>
      <c r="J456" s="7">
        <f>VLOOKUP(A456,[1]Sheet!B$3:G$2921,6,0)</f>
        <v>2144.63</v>
      </c>
      <c r="K456" s="8" t="e">
        <f t="shared" si="30"/>
        <v>#N/A</v>
      </c>
      <c r="L456" s="6">
        <f t="shared" si="31"/>
        <v>2144.63</v>
      </c>
    </row>
    <row r="457" spans="1:12" x14ac:dyDescent="0.25">
      <c r="A457" s="9" t="s">
        <v>456</v>
      </c>
      <c r="B457" s="2" t="str">
        <f>VLOOKUP(A457,[1]Sheet!B$3:G$2921,2,0)</f>
        <v>Мурування зовнiшнiх простих стiн з цегли
силiкатної при висотi поверху до 4 м</v>
      </c>
      <c r="C457" s="3" t="str">
        <f>VLOOKUP(A457,[1]Sheet!B$3:G$2921,3,0)</f>
        <v>1 м3</v>
      </c>
      <c r="D457" s="4">
        <v>13</v>
      </c>
      <c r="E457" s="5" t="e">
        <f>VLOOKUP(A457,N$3:S$1271,4,FALSE)</f>
        <v>#N/A</v>
      </c>
      <c r="F457" s="6">
        <f t="shared" si="28"/>
        <v>13</v>
      </c>
      <c r="G457" s="7">
        <f>VLOOKUP(A457,[1]Sheet!B$3:G$2921,5,0)</f>
        <v>699</v>
      </c>
      <c r="H457" s="5" t="e">
        <f>VLOOKUP(A457,N$3:S$1271,5,FALSE)</f>
        <v>#N/A</v>
      </c>
      <c r="I457" s="6">
        <f t="shared" si="29"/>
        <v>699</v>
      </c>
      <c r="J457" s="7">
        <f>VLOOKUP(A457,[1]Sheet!B$3:G$2921,6,0)</f>
        <v>2097</v>
      </c>
      <c r="K457" s="8" t="e">
        <f t="shared" si="30"/>
        <v>#N/A</v>
      </c>
      <c r="L457" s="6">
        <f t="shared" si="31"/>
        <v>2097</v>
      </c>
    </row>
    <row r="458" spans="1:12" x14ac:dyDescent="0.25">
      <c r="A458" s="9" t="s">
        <v>457</v>
      </c>
      <c r="B458" s="2" t="str">
        <f>VLOOKUP(A458,[1]Sheet!B$3:G$2921,2,0)</f>
        <v>Мурування внутрiшнiх стiн з цегли
керамiчної при висотi поверху понад 4 м</v>
      </c>
      <c r="C458" s="3" t="str">
        <f>VLOOKUP(A458,[1]Sheet!B$3:G$2921,3,0)</f>
        <v>1 м3</v>
      </c>
      <c r="D458" s="4">
        <v>3</v>
      </c>
      <c r="E458" s="5" t="e">
        <f>VLOOKUP(A458,N$3:S$1271,4,FALSE)</f>
        <v>#N/A</v>
      </c>
      <c r="F458" s="6">
        <f t="shared" si="28"/>
        <v>3</v>
      </c>
      <c r="G458" s="7">
        <f>VLOOKUP(A458,[1]Sheet!B$3:G$2921,5,0)</f>
        <v>701.84</v>
      </c>
      <c r="H458" s="5" t="e">
        <f>VLOOKUP(A458,N$3:S$1271,5,FALSE)</f>
        <v>#N/A</v>
      </c>
      <c r="I458" s="6">
        <f t="shared" si="29"/>
        <v>701.84</v>
      </c>
      <c r="J458" s="7">
        <f>VLOOKUP(A458,[1]Sheet!B$3:G$2921,6,0)</f>
        <v>1754.6</v>
      </c>
      <c r="K458" s="8" t="e">
        <f t="shared" si="30"/>
        <v>#N/A</v>
      </c>
      <c r="L458" s="6">
        <f t="shared" si="31"/>
        <v>1754.6</v>
      </c>
    </row>
    <row r="459" spans="1:12" x14ac:dyDescent="0.25">
      <c r="A459" s="9" t="s">
        <v>458</v>
      </c>
      <c r="B459" s="2" t="str">
        <f>VLOOKUP(A459,[1]Sheet!B$3:G$2921,2,0)</f>
        <v>Мурування стiн приямкiв i каналiв з цегли
керамiчної</v>
      </c>
      <c r="C459" s="3" t="str">
        <f>VLOOKUP(A459,[1]Sheet!B$3:G$2921,3,0)</f>
        <v>1 м3</v>
      </c>
      <c r="D459" s="4">
        <v>1.05</v>
      </c>
      <c r="E459" s="5" t="e">
        <f>VLOOKUP(A459,N$3:S$1271,4,FALSE)</f>
        <v>#N/A</v>
      </c>
      <c r="F459" s="6">
        <f t="shared" si="28"/>
        <v>1.05</v>
      </c>
      <c r="G459" s="7">
        <f>VLOOKUP(A459,[1]Sheet!B$3:G$2921,5,0)</f>
        <v>3709.35</v>
      </c>
      <c r="H459" s="5" t="e">
        <f>VLOOKUP(A459,N$3:S$1271,5,FALSE)</f>
        <v>#N/A</v>
      </c>
      <c r="I459" s="6">
        <f t="shared" si="29"/>
        <v>3709.35</v>
      </c>
      <c r="J459" s="7">
        <f>VLOOKUP(A459,[1]Sheet!B$3:G$2921,6,0)</f>
        <v>185.47</v>
      </c>
      <c r="K459" s="8" t="e">
        <f t="shared" si="30"/>
        <v>#N/A</v>
      </c>
      <c r="L459" s="6">
        <f t="shared" si="31"/>
        <v>185.47</v>
      </c>
    </row>
    <row r="460" spans="1:12" x14ac:dyDescent="0.25">
      <c r="A460" s="9" t="s">
        <v>459</v>
      </c>
      <c r="B460" s="2" t="str">
        <f>VLOOKUP(A460,[1]Sheet!B$3:G$2921,2,0)</f>
        <v>Свердлення отворів в елементах
устаткування і конструкціях з вуглецевої
стали, діаметр до 15 мм. глибина
свердління до 10 мм</v>
      </c>
      <c r="C460" s="3" t="str">
        <f>VLOOKUP(A460,[1]Sheet!B$3:G$2921,3,0)</f>
        <v>100 отв.</v>
      </c>
      <c r="D460" s="4">
        <v>6.58</v>
      </c>
      <c r="E460" s="5" t="e">
        <f>VLOOKUP(A460,N$3:S$1271,4,FALSE)</f>
        <v>#N/A</v>
      </c>
      <c r="F460" s="6">
        <f t="shared" si="28"/>
        <v>6.58</v>
      </c>
      <c r="G460" s="7">
        <f>VLOOKUP(A460,[1]Sheet!B$3:G$2921,5,0)</f>
        <v>332.79</v>
      </c>
      <c r="H460" s="5" t="e">
        <f>VLOOKUP(A460,N$3:S$1271,5,FALSE)</f>
        <v>#N/A</v>
      </c>
      <c r="I460" s="6">
        <f t="shared" si="29"/>
        <v>332.79</v>
      </c>
      <c r="J460" s="7">
        <f>VLOOKUP(A460,[1]Sheet!B$3:G$2921,6,0)</f>
        <v>2189.7600000000002</v>
      </c>
      <c r="K460" s="8" t="e">
        <f t="shared" si="30"/>
        <v>#N/A</v>
      </c>
      <c r="L460" s="6">
        <f t="shared" si="31"/>
        <v>2189.7600000000002</v>
      </c>
    </row>
    <row r="461" spans="1:12" x14ac:dyDescent="0.25">
      <c r="A461" s="9" t="s">
        <v>460</v>
      </c>
      <c r="B461" s="2" t="str">
        <f>VLOOKUP(A461,[1]Sheet!B$3:G$2921,2,0)</f>
        <v>Кiльця КС7.3 залiзобетоннi серiя 3.900.1-14
випуск 1 (об'єм бетону - 0,05 м3)(Ф53)</v>
      </c>
      <c r="C461" s="3" t="str">
        <f>VLOOKUP(A461,[1]Sheet!B$3:G$2921,3,0)</f>
        <v>шт</v>
      </c>
      <c r="D461" s="4">
        <v>1</v>
      </c>
      <c r="E461" s="5" t="e">
        <f>VLOOKUP(A461,N$3:S$1271,4,FALSE)</f>
        <v>#N/A</v>
      </c>
      <c r="F461" s="6">
        <f t="shared" si="28"/>
        <v>1</v>
      </c>
      <c r="G461" s="7">
        <f>VLOOKUP(A461,[1]Sheet!B$3:G$2921,5,0)</f>
        <v>549.87</v>
      </c>
      <c r="H461" s="5" t="e">
        <f>VLOOKUP(A461,N$3:S$1271,5,FALSE)</f>
        <v>#N/A</v>
      </c>
      <c r="I461" s="6">
        <f t="shared" si="29"/>
        <v>549.87</v>
      </c>
      <c r="J461" s="7">
        <f>VLOOKUP(A461,[1]Sheet!B$3:G$2921,6,0)</f>
        <v>549.87</v>
      </c>
      <c r="K461" s="8" t="e">
        <f t="shared" si="30"/>
        <v>#N/A</v>
      </c>
      <c r="L461" s="6">
        <f t="shared" si="31"/>
        <v>549.87</v>
      </c>
    </row>
    <row r="462" spans="1:12" x14ac:dyDescent="0.25">
      <c r="A462" s="9" t="s">
        <v>461</v>
      </c>
      <c r="B462" s="2" t="str">
        <f>VLOOKUP(A462,[1]Sheet!B$3:G$2921,2,0)</f>
        <v>Кiльця КС15.6 залiзобетоннi серiя 3.900.1-
14 випуск 1 (об'єм бетону - 0,265 м3)(Ф53)</v>
      </c>
      <c r="C462" s="3" t="str">
        <f>VLOOKUP(A462,[1]Sheet!B$3:G$2921,3,0)</f>
        <v>шт</v>
      </c>
      <c r="D462" s="4">
        <v>3</v>
      </c>
      <c r="E462" s="5" t="e">
        <f>VLOOKUP(A462,N$3:S$1271,4,FALSE)</f>
        <v>#N/A</v>
      </c>
      <c r="F462" s="6">
        <f t="shared" si="28"/>
        <v>3</v>
      </c>
      <c r="G462" s="7">
        <f>VLOOKUP(A462,[1]Sheet!B$3:G$2921,5,0)</f>
        <v>1101.6199999999999</v>
      </c>
      <c r="H462" s="5" t="e">
        <f>VLOOKUP(A462,N$3:S$1271,5,FALSE)</f>
        <v>#N/A</v>
      </c>
      <c r="I462" s="6">
        <f t="shared" si="29"/>
        <v>1101.6199999999999</v>
      </c>
      <c r="J462" s="7">
        <f>VLOOKUP(A462,[1]Sheet!B$3:G$2921,6,0)</f>
        <v>1101.6199999999999</v>
      </c>
      <c r="K462" s="8" t="e">
        <f t="shared" si="30"/>
        <v>#N/A</v>
      </c>
      <c r="L462" s="6">
        <f t="shared" si="31"/>
        <v>1101.6199999999999</v>
      </c>
    </row>
    <row r="463" spans="1:12" x14ac:dyDescent="0.25">
      <c r="A463" s="9" t="s">
        <v>462</v>
      </c>
      <c r="B463" s="2" t="str">
        <f>VLOOKUP(A463,[1]Sheet!B$3:G$2921,2,0)</f>
        <v>Кiльця КС15.9 залiзобетоннi серiя 3.900.1-
14 випуск 1 (об'єм бетону - 0,40 м3)(Ф53)</v>
      </c>
      <c r="C463" s="3" t="str">
        <f>VLOOKUP(A463,[1]Sheet!B$3:G$2921,3,0)</f>
        <v>шт</v>
      </c>
      <c r="D463" s="4">
        <v>7</v>
      </c>
      <c r="E463" s="5" t="e">
        <f>VLOOKUP(A463,N$3:S$1271,4,FALSE)</f>
        <v>#N/A</v>
      </c>
      <c r="F463" s="6">
        <f t="shared" si="28"/>
        <v>7</v>
      </c>
      <c r="G463" s="7">
        <f>VLOOKUP(A463,[1]Sheet!B$3:G$2921,5,0)</f>
        <v>3497.4</v>
      </c>
      <c r="H463" s="5" t="e">
        <f>VLOOKUP(A463,N$3:S$1271,5,FALSE)</f>
        <v>#N/A</v>
      </c>
      <c r="I463" s="6">
        <f t="shared" si="29"/>
        <v>3497.4</v>
      </c>
      <c r="J463" s="7">
        <f>VLOOKUP(A463,[1]Sheet!B$3:G$2921,6,0)</f>
        <v>10492.2</v>
      </c>
      <c r="K463" s="8" t="e">
        <f t="shared" si="30"/>
        <v>#N/A</v>
      </c>
      <c r="L463" s="6">
        <f t="shared" si="31"/>
        <v>10492.2</v>
      </c>
    </row>
    <row r="464" spans="1:12" x14ac:dyDescent="0.25">
      <c r="A464" s="9" t="s">
        <v>463</v>
      </c>
      <c r="B464" s="2" t="str">
        <f>VLOOKUP(A464,[1]Sheet!B$3:G$2921,2,0)</f>
        <v>Плити покриття ПП10-2 залiзобетоннi серiя
3.900.1-14 випуск 1 (об'єм бетону - 0,10
м3)(Ф53)</v>
      </c>
      <c r="C464" s="3" t="str">
        <f>VLOOKUP(A464,[1]Sheet!B$3:G$2921,3,0)</f>
        <v>шт</v>
      </c>
      <c r="D464" s="4">
        <v>1</v>
      </c>
      <c r="E464" s="5" t="e">
        <f>VLOOKUP(A464,N$3:S$1271,4,FALSE)</f>
        <v>#N/A</v>
      </c>
      <c r="F464" s="6">
        <f t="shared" si="28"/>
        <v>1</v>
      </c>
      <c r="G464" s="7">
        <f>VLOOKUP(A464,[1]Sheet!B$3:G$2921,5,0)</f>
        <v>1142.1600000000001</v>
      </c>
      <c r="H464" s="5" t="e">
        <f>VLOOKUP(A464,N$3:S$1271,5,FALSE)</f>
        <v>#N/A</v>
      </c>
      <c r="I464" s="6">
        <f t="shared" si="29"/>
        <v>1142.1600000000001</v>
      </c>
      <c r="J464" s="7">
        <f>VLOOKUP(A464,[1]Sheet!B$3:G$2921,6,0)</f>
        <v>1142.1600000000001</v>
      </c>
      <c r="K464" s="8" t="e">
        <f t="shared" si="30"/>
        <v>#N/A</v>
      </c>
      <c r="L464" s="6">
        <f t="shared" si="31"/>
        <v>1142.1600000000001</v>
      </c>
    </row>
    <row r="465" spans="1:12" x14ac:dyDescent="0.25">
      <c r="A465" s="9" t="s">
        <v>464</v>
      </c>
      <c r="B465" s="2" t="str">
        <f>VLOOKUP(A465,[1]Sheet!B$3:G$2921,2,0)</f>
        <v>Плити покриття 1ПП15-2 залiзобетоннi серiя
3.900.1-14 випуск 1 (об'єм бетону - 0,27
м3)(Ф53)</v>
      </c>
      <c r="C465" s="3" t="str">
        <f>VLOOKUP(A465,[1]Sheet!B$3:G$2921,3,0)</f>
        <v>шт</v>
      </c>
      <c r="D465" s="4">
        <v>4</v>
      </c>
      <c r="E465" s="5" t="e">
        <f>VLOOKUP(A465,N$3:S$1271,4,FALSE)</f>
        <v>#N/A</v>
      </c>
      <c r="F465" s="6">
        <f t="shared" si="28"/>
        <v>4</v>
      </c>
      <c r="G465" s="7">
        <f>VLOOKUP(A465,[1]Sheet!B$3:G$2921,5,0)</f>
        <v>3774.77</v>
      </c>
      <c r="H465" s="5" t="e">
        <f>VLOOKUP(A465,N$3:S$1271,5,FALSE)</f>
        <v>#N/A</v>
      </c>
      <c r="I465" s="6">
        <f t="shared" si="29"/>
        <v>3774.77</v>
      </c>
      <c r="J465" s="7">
        <f>VLOOKUP(A465,[1]Sheet!B$3:G$2921,6,0)</f>
        <v>3774.77</v>
      </c>
      <c r="K465" s="8" t="e">
        <f t="shared" si="30"/>
        <v>#N/A</v>
      </c>
      <c r="L465" s="6">
        <f t="shared" si="31"/>
        <v>3774.77</v>
      </c>
    </row>
    <row r="466" spans="1:12" x14ac:dyDescent="0.25">
      <c r="A466" s="9" t="s">
        <v>465</v>
      </c>
      <c r="B466" s="2" t="str">
        <f>VLOOKUP(A466,[1]Sheet!B$3:G$2921,2,0)</f>
        <v>Плити днищ ПН15 залiзобетоннi серiя
3.900.1-14 випуск 1 (об'єм бетону - 0,38
м3)(Ф53)</v>
      </c>
      <c r="C466" s="3" t="str">
        <f>VLOOKUP(A466,[1]Sheet!B$3:G$2921,3,0)</f>
        <v>шт</v>
      </c>
      <c r="D466" s="4">
        <v>2</v>
      </c>
      <c r="E466" s="5" t="e">
        <f>VLOOKUP(A466,N$3:S$1271,4,FALSE)</f>
        <v>#N/A</v>
      </c>
      <c r="F466" s="6">
        <f t="shared" si="28"/>
        <v>2</v>
      </c>
      <c r="G466" s="7">
        <f>VLOOKUP(A466,[1]Sheet!B$3:G$2921,5,0)</f>
        <v>4811.7299999999996</v>
      </c>
      <c r="H466" s="5" t="e">
        <f>VLOOKUP(A466,N$3:S$1271,5,FALSE)</f>
        <v>#N/A</v>
      </c>
      <c r="I466" s="6">
        <f t="shared" si="29"/>
        <v>4811.7299999999996</v>
      </c>
      <c r="J466" s="7">
        <f>VLOOKUP(A466,[1]Sheet!B$3:G$2921,6,0)</f>
        <v>4811.7299999999996</v>
      </c>
      <c r="K466" s="8" t="e">
        <f t="shared" si="30"/>
        <v>#N/A</v>
      </c>
      <c r="L466" s="6">
        <f t="shared" si="31"/>
        <v>4811.7299999999996</v>
      </c>
    </row>
    <row r="467" spans="1:12" x14ac:dyDescent="0.25">
      <c r="A467" s="9" t="s">
        <v>466</v>
      </c>
      <c r="B467" s="2" t="str">
        <f>VLOOKUP(A467,[1]Sheet!B$3:G$2921,2,0)</f>
        <v>Кiльця опорнi КО6 залiзобетоннi серiя
3.900.1-14 випуск 1 (об'єм бетону - 0,02
м3)(Ф53)</v>
      </c>
      <c r="C467" s="3" t="str">
        <f>VLOOKUP(A467,[1]Sheet!B$3:G$2921,3,0)</f>
        <v>шт</v>
      </c>
      <c r="D467" s="4">
        <v>10</v>
      </c>
      <c r="E467" s="5" t="e">
        <f>VLOOKUP(A467,N$3:S$1271,4,FALSE)</f>
        <v>#N/A</v>
      </c>
      <c r="F467" s="6">
        <f t="shared" si="28"/>
        <v>10</v>
      </c>
      <c r="G467" s="7">
        <f>VLOOKUP(A467,[1]Sheet!B$3:G$2921,5,0)</f>
        <v>324.68</v>
      </c>
      <c r="H467" s="5" t="e">
        <f>VLOOKUP(A467,N$3:S$1271,5,FALSE)</f>
        <v>#N/A</v>
      </c>
      <c r="I467" s="6">
        <f t="shared" si="29"/>
        <v>324.68</v>
      </c>
      <c r="J467" s="7">
        <f>VLOOKUP(A467,[1]Sheet!B$3:G$2921,6,0)</f>
        <v>324.68</v>
      </c>
      <c r="K467" s="8" t="e">
        <f t="shared" si="30"/>
        <v>#N/A</v>
      </c>
      <c r="L467" s="6">
        <f t="shared" si="31"/>
        <v>324.68</v>
      </c>
    </row>
    <row r="468" spans="1:12" x14ac:dyDescent="0.25">
      <c r="A468" s="9" t="s">
        <v>467</v>
      </c>
      <c r="B468" s="2" t="str">
        <f>VLOOKUP(A468,[1]Sheet!B$3:G$2921,2,0)</f>
        <v>Плити перекриття П1-8 серiя 3.006.1-2.87</v>
      </c>
      <c r="C468" s="3" t="str">
        <f>VLOOKUP(A468,[1]Sheet!B$3:G$2921,3,0)</f>
        <v>шт</v>
      </c>
      <c r="D468" s="4">
        <v>2</v>
      </c>
      <c r="E468" s="5" t="e">
        <f>VLOOKUP(A468,N$3:S$1271,4,FALSE)</f>
        <v>#N/A</v>
      </c>
      <c r="F468" s="6">
        <f t="shared" si="28"/>
        <v>2</v>
      </c>
      <c r="G468" s="7">
        <f>VLOOKUP(A468,[1]Sheet!B$3:G$2921,5,0)</f>
        <v>176.86</v>
      </c>
      <c r="H468" s="5" t="e">
        <f>VLOOKUP(A468,N$3:S$1271,5,FALSE)</f>
        <v>#N/A</v>
      </c>
      <c r="I468" s="6">
        <f t="shared" si="29"/>
        <v>176.86</v>
      </c>
      <c r="J468" s="7">
        <f>VLOOKUP(A468,[1]Sheet!B$3:G$2921,6,0)</f>
        <v>353.72</v>
      </c>
      <c r="K468" s="8" t="e">
        <f t="shared" si="30"/>
        <v>#N/A</v>
      </c>
      <c r="L468" s="6">
        <f t="shared" si="31"/>
        <v>353.72</v>
      </c>
    </row>
    <row r="469" spans="1:12" x14ac:dyDescent="0.25">
      <c r="A469" s="9" t="s">
        <v>468</v>
      </c>
      <c r="B469" s="2" t="str">
        <f>VLOOKUP(A469,[1]Sheet!B$3:G$2921,2,0)</f>
        <v>Плити перекриття П3-5 серiя 3.006.1-2.87</v>
      </c>
      <c r="C469" s="3" t="str">
        <f>VLOOKUP(A469,[1]Sheet!B$3:G$2921,3,0)</f>
        <v>шт</v>
      </c>
      <c r="D469" s="4">
        <v>48</v>
      </c>
      <c r="E469" s="5" t="e">
        <f>VLOOKUP(A469,N$3:S$1271,4,FALSE)</f>
        <v>#N/A</v>
      </c>
      <c r="F469" s="6">
        <f t="shared" si="28"/>
        <v>48</v>
      </c>
      <c r="G469" s="7">
        <f>VLOOKUP(A469,[1]Sheet!B$3:G$2921,5,0)</f>
        <v>203.92</v>
      </c>
      <c r="H469" s="5" t="e">
        <f>VLOOKUP(A469,N$3:S$1271,5,FALSE)</f>
        <v>#N/A</v>
      </c>
      <c r="I469" s="6">
        <f t="shared" si="29"/>
        <v>203.92</v>
      </c>
      <c r="J469" s="7">
        <f>VLOOKUP(A469,[1]Sheet!B$3:G$2921,6,0)</f>
        <v>9788.16</v>
      </c>
      <c r="K469" s="8" t="e">
        <f t="shared" si="30"/>
        <v>#N/A</v>
      </c>
      <c r="L469" s="6">
        <f t="shared" si="31"/>
        <v>9788.16</v>
      </c>
    </row>
    <row r="470" spans="1:12" x14ac:dyDescent="0.25">
      <c r="A470" s="9" t="s">
        <v>469</v>
      </c>
      <c r="B470" s="2" t="str">
        <f>VLOOKUP(A470,[1]Sheet!B$3:G$2921,2,0)</f>
        <v>Плити перекриття П4-15 серiя 3.006.1-2.87</v>
      </c>
      <c r="C470" s="3" t="str">
        <f>VLOOKUP(A470,[1]Sheet!B$3:G$2921,3,0)</f>
        <v>шт</v>
      </c>
      <c r="D470" s="4">
        <v>9</v>
      </c>
      <c r="E470" s="5" t="e">
        <f>VLOOKUP(A470,N$3:S$1271,4,FALSE)</f>
        <v>#N/A</v>
      </c>
      <c r="F470" s="6">
        <f t="shared" si="28"/>
        <v>9</v>
      </c>
      <c r="G470" s="7">
        <f>VLOOKUP(A470,[1]Sheet!B$3:G$2921,5,0)</f>
        <v>346.41</v>
      </c>
      <c r="H470" s="5" t="e">
        <f>VLOOKUP(A470,N$3:S$1271,5,FALSE)</f>
        <v>#N/A</v>
      </c>
      <c r="I470" s="6">
        <f t="shared" si="29"/>
        <v>346.41</v>
      </c>
      <c r="J470" s="7">
        <f>VLOOKUP(A470,[1]Sheet!B$3:G$2921,6,0)</f>
        <v>3117.69</v>
      </c>
      <c r="K470" s="8" t="e">
        <f t="shared" si="30"/>
        <v>#N/A</v>
      </c>
      <c r="L470" s="6">
        <f t="shared" si="31"/>
        <v>3117.69</v>
      </c>
    </row>
    <row r="471" spans="1:12" x14ac:dyDescent="0.25">
      <c r="A471" s="9" t="s">
        <v>470</v>
      </c>
      <c r="B471" s="2" t="str">
        <f>VLOOKUP(A471,[1]Sheet!B$3:G$2921,2,0)</f>
        <v>Плити перекриття П5-8 серiя 3.006.1-2.87</v>
      </c>
      <c r="C471" s="3" t="str">
        <f>VLOOKUP(A471,[1]Sheet!B$3:G$2921,3,0)</f>
        <v>шт</v>
      </c>
      <c r="D471" s="4">
        <v>6</v>
      </c>
      <c r="E471" s="5" t="e">
        <f>VLOOKUP(A471,N$3:S$1271,4,FALSE)</f>
        <v>#N/A</v>
      </c>
      <c r="F471" s="6">
        <f t="shared" si="28"/>
        <v>6</v>
      </c>
      <c r="G471" s="7">
        <f>VLOOKUP(A471,[1]Sheet!B$3:G$2921,5,0)</f>
        <v>1122.3599999999999</v>
      </c>
      <c r="H471" s="5" t="e">
        <f>VLOOKUP(A471,N$3:S$1271,5,FALSE)</f>
        <v>#N/A</v>
      </c>
      <c r="I471" s="6">
        <f t="shared" si="29"/>
        <v>1122.3599999999999</v>
      </c>
      <c r="J471" s="7">
        <f>VLOOKUP(A471,[1]Sheet!B$3:G$2921,6,0)</f>
        <v>6734.16</v>
      </c>
      <c r="K471" s="8" t="e">
        <f t="shared" si="30"/>
        <v>#N/A</v>
      </c>
      <c r="L471" s="6">
        <f t="shared" si="31"/>
        <v>6734.16</v>
      </c>
    </row>
    <row r="472" spans="1:12" x14ac:dyDescent="0.25">
      <c r="A472" s="9" t="s">
        <v>471</v>
      </c>
      <c r="B472" s="2" t="str">
        <f>VLOOKUP(A472,[1]Sheet!B$3:G$2921,2,0)</f>
        <v>Плити перекриття П6-15 серiя 3.006.1-2.87</v>
      </c>
      <c r="C472" s="3" t="str">
        <f>VLOOKUP(A472,[1]Sheet!B$3:G$2921,3,0)</f>
        <v>шт</v>
      </c>
      <c r="D472" s="4">
        <v>3</v>
      </c>
      <c r="E472" s="5" t="e">
        <f>VLOOKUP(A472,N$3:S$1271,4,FALSE)</f>
        <v>#N/A</v>
      </c>
      <c r="F472" s="6">
        <f t="shared" si="28"/>
        <v>3</v>
      </c>
      <c r="G472" s="7">
        <f>VLOOKUP(A472,[1]Sheet!B$3:G$2921,5,0)</f>
        <v>2296.73</v>
      </c>
      <c r="H472" s="5" t="e">
        <f>VLOOKUP(A472,N$3:S$1271,5,FALSE)</f>
        <v>#N/A</v>
      </c>
      <c r="I472" s="6">
        <f t="shared" si="29"/>
        <v>2296.73</v>
      </c>
      <c r="J472" s="7">
        <f>VLOOKUP(A472,[1]Sheet!B$3:G$2921,6,0)</f>
        <v>6890.19</v>
      </c>
      <c r="K472" s="8" t="e">
        <f t="shared" si="30"/>
        <v>#N/A</v>
      </c>
      <c r="L472" s="6">
        <f t="shared" si="31"/>
        <v>6890.19</v>
      </c>
    </row>
    <row r="473" spans="1:12" x14ac:dyDescent="0.25">
      <c r="A473" s="9" t="s">
        <v>472</v>
      </c>
      <c r="B473" s="2" t="str">
        <f>VLOOKUP(A473,[1]Sheet!B$3:G$2921,2,0)</f>
        <v>Плити перекриття П9-15 серiя 3.006.1-2.87</v>
      </c>
      <c r="C473" s="3" t="str">
        <f>VLOOKUP(A473,[1]Sheet!B$3:G$2921,3,0)</f>
        <v>шт</v>
      </c>
      <c r="D473" s="4">
        <v>2</v>
      </c>
      <c r="E473" s="5" t="e">
        <f>VLOOKUP(A473,N$3:S$1271,4,FALSE)</f>
        <v>#N/A</v>
      </c>
      <c r="F473" s="6">
        <f t="shared" si="28"/>
        <v>2</v>
      </c>
      <c r="G473" s="7">
        <f>VLOOKUP(A473,[1]Sheet!B$3:G$2921,5,0)</f>
        <v>4022.98</v>
      </c>
      <c r="H473" s="5" t="e">
        <f>VLOOKUP(A473,N$3:S$1271,5,FALSE)</f>
        <v>#N/A</v>
      </c>
      <c r="I473" s="6">
        <f t="shared" si="29"/>
        <v>4022.98</v>
      </c>
      <c r="J473" s="7">
        <f>VLOOKUP(A473,[1]Sheet!B$3:G$2921,6,0)</f>
        <v>8045.96</v>
      </c>
      <c r="K473" s="8" t="e">
        <f t="shared" si="30"/>
        <v>#N/A</v>
      </c>
      <c r="L473" s="6">
        <f t="shared" si="31"/>
        <v>8045.96</v>
      </c>
    </row>
    <row r="474" spans="1:12" x14ac:dyDescent="0.25">
      <c r="A474" s="9" t="s">
        <v>473</v>
      </c>
      <c r="B474" s="2" t="str">
        <f>VLOOKUP(A474,[1]Sheet!B$3:G$2921,2,0)</f>
        <v>Плити перекриття П11-8 серiя 3.006.1-2.87</v>
      </c>
      <c r="C474" s="3" t="str">
        <f>VLOOKUP(A474,[1]Sheet!B$3:G$2921,3,0)</f>
        <v>шт</v>
      </c>
      <c r="D474" s="4">
        <v>2</v>
      </c>
      <c r="E474" s="5" t="e">
        <f>VLOOKUP(A474,N$3:S$1271,4,FALSE)</f>
        <v>#N/A</v>
      </c>
      <c r="F474" s="6">
        <f t="shared" si="28"/>
        <v>2</v>
      </c>
      <c r="G474" s="7">
        <f>VLOOKUP(A474,[1]Sheet!B$3:G$2921,5,0)</f>
        <v>4426.8900000000003</v>
      </c>
      <c r="H474" s="5" t="e">
        <f>VLOOKUP(A474,N$3:S$1271,5,FALSE)</f>
        <v>#N/A</v>
      </c>
      <c r="I474" s="6">
        <f t="shared" si="29"/>
        <v>4426.8900000000003</v>
      </c>
      <c r="J474" s="7">
        <f>VLOOKUP(A474,[1]Sheet!B$3:G$2921,6,0)</f>
        <v>8853.7800000000007</v>
      </c>
      <c r="K474" s="8" t="e">
        <f t="shared" si="30"/>
        <v>#N/A</v>
      </c>
      <c r="L474" s="6">
        <f t="shared" si="31"/>
        <v>8853.7800000000007</v>
      </c>
    </row>
    <row r="475" spans="1:12" x14ac:dyDescent="0.25">
      <c r="A475" s="9" t="s">
        <v>474</v>
      </c>
      <c r="B475" s="2" t="str">
        <f>VLOOKUP(A475,[1]Sheet!B$3:G$2921,2,0)</f>
        <v>Плити перекриття П5Д-5 серiя 3.006.1-
2.87(Ф96)</v>
      </c>
      <c r="C475" s="3" t="str">
        <f>VLOOKUP(A475,[1]Sheet!B$3:G$2921,3,0)</f>
        <v>шт</v>
      </c>
      <c r="D475" s="4">
        <v>4</v>
      </c>
      <c r="E475" s="5" t="e">
        <f>VLOOKUP(A475,N$3:S$1271,4,FALSE)</f>
        <v>#N/A</v>
      </c>
      <c r="F475" s="6">
        <f t="shared" si="28"/>
        <v>4</v>
      </c>
      <c r="G475" s="7">
        <f>VLOOKUP(A475,[1]Sheet!B$3:G$2921,5,0)</f>
        <v>376.4</v>
      </c>
      <c r="H475" s="5" t="e">
        <f>VLOOKUP(A475,N$3:S$1271,5,FALSE)</f>
        <v>#N/A</v>
      </c>
      <c r="I475" s="6">
        <f t="shared" si="29"/>
        <v>376.4</v>
      </c>
      <c r="J475" s="7">
        <f>VLOOKUP(A475,[1]Sheet!B$3:G$2921,6,0)</f>
        <v>1505.6</v>
      </c>
      <c r="K475" s="8" t="e">
        <f t="shared" si="30"/>
        <v>#N/A</v>
      </c>
      <c r="L475" s="6">
        <f t="shared" si="31"/>
        <v>1505.6</v>
      </c>
    </row>
    <row r="476" spans="1:12" x14ac:dyDescent="0.25">
      <c r="A476" s="9" t="s">
        <v>475</v>
      </c>
      <c r="B476" s="2" t="str">
        <f>VLOOKUP(A476,[1]Sheet!B$3:G$2921,2,0)</f>
        <v>Плити перекриття П6Д-15 серiя 3.006.1-2.87</v>
      </c>
      <c r="C476" s="3" t="str">
        <f>VLOOKUP(A476,[1]Sheet!B$3:G$2921,3,0)</f>
        <v>шт</v>
      </c>
      <c r="D476" s="4">
        <v>2</v>
      </c>
      <c r="E476" s="5" t="e">
        <f>VLOOKUP(A476,N$3:S$1271,4,FALSE)</f>
        <v>#N/A</v>
      </c>
      <c r="F476" s="6">
        <f t="shared" si="28"/>
        <v>2</v>
      </c>
      <c r="G476" s="7">
        <f>VLOOKUP(A476,[1]Sheet!B$3:G$2921,5,0)</f>
        <v>623.25</v>
      </c>
      <c r="H476" s="5" t="e">
        <f>VLOOKUP(A476,N$3:S$1271,5,FALSE)</f>
        <v>#N/A</v>
      </c>
      <c r="I476" s="6">
        <f t="shared" si="29"/>
        <v>623.25</v>
      </c>
      <c r="J476" s="7">
        <f>VLOOKUP(A476,[1]Sheet!B$3:G$2921,6,0)</f>
        <v>1246.5</v>
      </c>
      <c r="K476" s="8" t="e">
        <f t="shared" si="30"/>
        <v>#N/A</v>
      </c>
      <c r="L476" s="6">
        <f t="shared" si="31"/>
        <v>1246.5</v>
      </c>
    </row>
    <row r="477" spans="1:12" x14ac:dyDescent="0.25">
      <c r="A477" s="9" t="s">
        <v>476</v>
      </c>
      <c r="B477" s="2" t="str">
        <f>VLOOKUP(A477,[1]Sheet!B$3:G$2921,2,0)</f>
        <v>Плити перекриття П8Д-8а L=740мм серiя
3.006.1-2.87</v>
      </c>
      <c r="C477" s="3" t="str">
        <f>VLOOKUP(A477,[1]Sheet!B$3:G$2921,3,0)</f>
        <v>шт</v>
      </c>
      <c r="D477" s="4">
        <v>1</v>
      </c>
      <c r="E477" s="5" t="e">
        <f>VLOOKUP(A477,N$3:S$1271,4,FALSE)</f>
        <v>#N/A</v>
      </c>
      <c r="F477" s="6">
        <f t="shared" si="28"/>
        <v>1</v>
      </c>
      <c r="G477" s="7">
        <f>VLOOKUP(A477,[1]Sheet!B$3:G$2921,5,0)</f>
        <v>563.80999999999995</v>
      </c>
      <c r="H477" s="5" t="e">
        <f>VLOOKUP(A477,N$3:S$1271,5,FALSE)</f>
        <v>#N/A</v>
      </c>
      <c r="I477" s="6">
        <f t="shared" si="29"/>
        <v>563.80999999999995</v>
      </c>
      <c r="J477" s="7">
        <f>VLOOKUP(A477,[1]Sheet!B$3:G$2921,6,0)</f>
        <v>563.80999999999995</v>
      </c>
      <c r="K477" s="8" t="e">
        <f t="shared" si="30"/>
        <v>#N/A</v>
      </c>
      <c r="L477" s="6">
        <f t="shared" si="31"/>
        <v>563.80999999999995</v>
      </c>
    </row>
    <row r="478" spans="1:12" x14ac:dyDescent="0.25">
      <c r="A478" s="9" t="s">
        <v>477</v>
      </c>
      <c r="B478" s="2" t="str">
        <f>VLOOKUP(A478,[1]Sheet!B$3:G$2921,2,0)</f>
        <v>Плити перекриття П11Д-8 серiя 3.006.1-2.87</v>
      </c>
      <c r="C478" s="3" t="str">
        <f>VLOOKUP(A478,[1]Sheet!B$3:G$2921,3,0)</f>
        <v>шт</v>
      </c>
      <c r="D478" s="4">
        <v>1</v>
      </c>
      <c r="E478" s="5" t="e">
        <f>VLOOKUP(A478,N$3:S$1271,4,FALSE)</f>
        <v>#N/A</v>
      </c>
      <c r="F478" s="6">
        <f t="shared" si="28"/>
        <v>1</v>
      </c>
      <c r="G478" s="7">
        <f>VLOOKUP(A478,[1]Sheet!B$3:G$2921,5,0)</f>
        <v>1162.23</v>
      </c>
      <c r="H478" s="5" t="e">
        <f>VLOOKUP(A478,N$3:S$1271,5,FALSE)</f>
        <v>#N/A</v>
      </c>
      <c r="I478" s="6">
        <f t="shared" si="29"/>
        <v>1162.23</v>
      </c>
      <c r="J478" s="7">
        <f>VLOOKUP(A478,[1]Sheet!B$3:G$2921,6,0)</f>
        <v>1162.23</v>
      </c>
      <c r="K478" s="8" t="e">
        <f t="shared" si="30"/>
        <v>#N/A</v>
      </c>
      <c r="L478" s="6">
        <f t="shared" si="31"/>
        <v>1162.23</v>
      </c>
    </row>
    <row r="479" spans="1:12" x14ac:dyDescent="0.25">
      <c r="A479" s="9" t="s">
        <v>478</v>
      </c>
      <c r="B479" s="2" t="str">
        <f>VLOOKUP(A479,[1]Sheet!B$3:G$2921,2,0)</f>
        <v>Лотки каналiв збiрнi з/б марки Л4Д-8 серiя
3.006.1-2.87 вып.0-2(Ф96)</v>
      </c>
      <c r="C479" s="3" t="str">
        <f>VLOOKUP(A479,[1]Sheet!B$3:G$2921,3,0)</f>
        <v>шт</v>
      </c>
      <c r="D479" s="4">
        <v>4</v>
      </c>
      <c r="E479" s="5" t="e">
        <f>VLOOKUP(A479,N$3:S$1271,4,FALSE)</f>
        <v>#N/A</v>
      </c>
      <c r="F479" s="6">
        <f t="shared" si="28"/>
        <v>4</v>
      </c>
      <c r="G479" s="7">
        <f>VLOOKUP(A479,[1]Sheet!B$3:G$2921,5,0)</f>
        <v>797.83</v>
      </c>
      <c r="H479" s="5" t="e">
        <f>VLOOKUP(A479,N$3:S$1271,5,FALSE)</f>
        <v>#N/A</v>
      </c>
      <c r="I479" s="6">
        <f t="shared" si="29"/>
        <v>797.83</v>
      </c>
      <c r="J479" s="7">
        <f>VLOOKUP(A479,[1]Sheet!B$3:G$2921,6,0)</f>
        <v>3191.32</v>
      </c>
      <c r="K479" s="8" t="e">
        <f t="shared" si="30"/>
        <v>#N/A</v>
      </c>
      <c r="L479" s="6">
        <f t="shared" si="31"/>
        <v>3191.32</v>
      </c>
    </row>
    <row r="480" spans="1:12" x14ac:dyDescent="0.25">
      <c r="A480" s="9" t="s">
        <v>479</v>
      </c>
      <c r="B480" s="2" t="str">
        <f>VLOOKUP(A480,[1]Sheet!B$3:G$2921,2,0)</f>
        <v>Схiдцi з/б марки СС14-1Ш, СС14-Ш</v>
      </c>
      <c r="C480" s="3" t="str">
        <f>VLOOKUP(A480,[1]Sheet!B$3:G$2921,3,0)</f>
        <v>шт</v>
      </c>
      <c r="D480" s="4">
        <v>65</v>
      </c>
      <c r="E480" s="5" t="e">
        <f>VLOOKUP(A480,N$3:S$1271,4,FALSE)</f>
        <v>#N/A</v>
      </c>
      <c r="F480" s="6">
        <f t="shared" si="28"/>
        <v>65</v>
      </c>
      <c r="G480" s="7">
        <f>VLOOKUP(A480,[1]Sheet!B$3:G$2921,5,0)</f>
        <v>462.19</v>
      </c>
      <c r="H480" s="5" t="e">
        <f>VLOOKUP(A480,N$3:S$1271,5,FALSE)</f>
        <v>#N/A</v>
      </c>
      <c r="I480" s="6">
        <f t="shared" si="29"/>
        <v>462.19</v>
      </c>
      <c r="J480" s="7">
        <f>VLOOKUP(A480,[1]Sheet!B$3:G$2921,6,0)</f>
        <v>30042.35</v>
      </c>
      <c r="K480" s="8" t="e">
        <f t="shared" si="30"/>
        <v>#N/A</v>
      </c>
      <c r="L480" s="6">
        <f t="shared" si="31"/>
        <v>30042.35</v>
      </c>
    </row>
    <row r="481" spans="1:12" x14ac:dyDescent="0.25">
      <c r="A481" s="9" t="s">
        <v>480</v>
      </c>
      <c r="B481" s="2" t="str">
        <f>VLOOKUP(A481,[1]Sheet!B$3:G$2921,2,0)</f>
        <v>Схiдцi з/б марки ССВ14-Ш</v>
      </c>
      <c r="C481" s="3" t="str">
        <f>VLOOKUP(A481,[1]Sheet!B$3:G$2921,3,0)</f>
        <v>шт</v>
      </c>
      <c r="D481" s="4">
        <v>5</v>
      </c>
      <c r="E481" s="5" t="e">
        <f>VLOOKUP(A481,N$3:S$1271,4,FALSE)</f>
        <v>#N/A</v>
      </c>
      <c r="F481" s="6">
        <f t="shared" si="28"/>
        <v>5</v>
      </c>
      <c r="G481" s="7">
        <f>VLOOKUP(A481,[1]Sheet!B$3:G$2921,5,0)</f>
        <v>468.44</v>
      </c>
      <c r="H481" s="5" t="e">
        <f>VLOOKUP(A481,N$3:S$1271,5,FALSE)</f>
        <v>#N/A</v>
      </c>
      <c r="I481" s="6">
        <f t="shared" si="29"/>
        <v>468.44</v>
      </c>
      <c r="J481" s="7">
        <f>VLOOKUP(A481,[1]Sheet!B$3:G$2921,6,0)</f>
        <v>2342.1999999999998</v>
      </c>
      <c r="K481" s="8" t="e">
        <f t="shared" si="30"/>
        <v>#N/A</v>
      </c>
      <c r="L481" s="6">
        <f t="shared" si="31"/>
        <v>2342.1999999999998</v>
      </c>
    </row>
    <row r="482" spans="1:12" x14ac:dyDescent="0.25">
      <c r="A482" s="9" t="s">
        <v>481</v>
      </c>
      <c r="B482" s="2" t="str">
        <f>VLOOKUP(A482,[1]Sheet!B$3:G$2921,2,0)</f>
        <v>Схiдцi з/б марки ССП14 (площадковий
вкладиш)</v>
      </c>
      <c r="C482" s="3" t="str">
        <f>VLOOKUP(A482,[1]Sheet!B$3:G$2921,3,0)</f>
        <v>шт</v>
      </c>
      <c r="D482" s="4">
        <v>1</v>
      </c>
      <c r="E482" s="5" t="e">
        <f>VLOOKUP(A482,N$3:S$1271,4,FALSE)</f>
        <v>#N/A</v>
      </c>
      <c r="F482" s="6">
        <f t="shared" si="28"/>
        <v>1</v>
      </c>
      <c r="G482" s="7">
        <f>VLOOKUP(A482,[1]Sheet!B$3:G$2921,5,0)</f>
        <v>432.35</v>
      </c>
      <c r="H482" s="5" t="e">
        <f>VLOOKUP(A482,N$3:S$1271,5,FALSE)</f>
        <v>#N/A</v>
      </c>
      <c r="I482" s="6">
        <f t="shared" si="29"/>
        <v>432.35</v>
      </c>
      <c r="J482" s="7">
        <f>VLOOKUP(A482,[1]Sheet!B$3:G$2921,6,0)</f>
        <v>432.35</v>
      </c>
      <c r="K482" s="8" t="e">
        <f t="shared" si="30"/>
        <v>#N/A</v>
      </c>
      <c r="L482" s="6">
        <f t="shared" si="31"/>
        <v>432.35</v>
      </c>
    </row>
    <row r="483" spans="1:12" x14ac:dyDescent="0.25">
      <c r="A483" s="9" t="s">
        <v>482</v>
      </c>
      <c r="B483" s="2" t="str">
        <f>VLOOKUP(A483,[1]Sheet!B$3:G$2921,2,0)</f>
        <v>Схiдцi з/б марки ССН14-Ш</v>
      </c>
      <c r="C483" s="3" t="str">
        <f>VLOOKUP(A483,[1]Sheet!B$3:G$2921,3,0)</f>
        <v>шт</v>
      </c>
      <c r="D483" s="4">
        <v>4</v>
      </c>
      <c r="E483" s="5" t="e">
        <f>VLOOKUP(A483,N$3:S$1271,4,FALSE)</f>
        <v>#N/A</v>
      </c>
      <c r="F483" s="6">
        <f t="shared" si="28"/>
        <v>4</v>
      </c>
      <c r="G483" s="7">
        <f>VLOOKUP(A483,[1]Sheet!B$3:G$2921,5,0)</f>
        <v>439.45</v>
      </c>
      <c r="H483" s="5" t="e">
        <f>VLOOKUP(A483,N$3:S$1271,5,FALSE)</f>
        <v>#N/A</v>
      </c>
      <c r="I483" s="6">
        <f t="shared" si="29"/>
        <v>439.45</v>
      </c>
      <c r="J483" s="7">
        <f>VLOOKUP(A483,[1]Sheet!B$3:G$2921,6,0)</f>
        <v>1757.8</v>
      </c>
      <c r="K483" s="8" t="e">
        <f t="shared" si="30"/>
        <v>#N/A</v>
      </c>
      <c r="L483" s="6">
        <f t="shared" si="31"/>
        <v>1757.8</v>
      </c>
    </row>
    <row r="484" spans="1:12" x14ac:dyDescent="0.25">
      <c r="A484" s="9" t="s">
        <v>483</v>
      </c>
      <c r="B484" s="2" t="str">
        <f>VLOOKUP(A484,[1]Sheet!B$3:G$2921,2,0)</f>
        <v>Плити пiдвiконнi мирки ПО10.25.45-Т серiя
1.136.1-13</v>
      </c>
      <c r="C484" s="3" t="str">
        <f>VLOOKUP(A484,[1]Sheet!B$3:G$2921,3,0)</f>
        <v>шт</v>
      </c>
      <c r="D484" s="4">
        <v>2</v>
      </c>
      <c r="E484" s="5" t="e">
        <f>VLOOKUP(A484,N$3:S$1271,4,FALSE)</f>
        <v>#N/A</v>
      </c>
      <c r="F484" s="6">
        <f t="shared" si="28"/>
        <v>2</v>
      </c>
      <c r="G484" s="7">
        <f>VLOOKUP(A484,[1]Sheet!B$3:G$2921,5,0)</f>
        <v>79.819999999999993</v>
      </c>
      <c r="H484" s="5" t="e">
        <f>VLOOKUP(A484,N$3:S$1271,5,FALSE)</f>
        <v>#N/A</v>
      </c>
      <c r="I484" s="6">
        <f t="shared" si="29"/>
        <v>79.819999999999993</v>
      </c>
      <c r="J484" s="7">
        <f>VLOOKUP(A484,[1]Sheet!B$3:G$2921,6,0)</f>
        <v>159.63999999999999</v>
      </c>
      <c r="K484" s="8" t="e">
        <f t="shared" si="30"/>
        <v>#N/A</v>
      </c>
      <c r="L484" s="6">
        <f t="shared" si="31"/>
        <v>159.63999999999999</v>
      </c>
    </row>
    <row r="485" spans="1:12" x14ac:dyDescent="0.25">
      <c r="A485" s="9" t="s">
        <v>484</v>
      </c>
      <c r="B485" s="2" t="str">
        <f>VLOOKUP(A485,[1]Sheet!B$3:G$2921,2,0)</f>
        <v>Каменi бетоннi бортовi БР100.30.15</v>
      </c>
      <c r="C485" s="3" t="str">
        <f>VLOOKUP(A485,[1]Sheet!B$3:G$2921,3,0)</f>
        <v>шт</v>
      </c>
      <c r="D485" s="4">
        <v>5</v>
      </c>
      <c r="E485" s="5" t="e">
        <f>VLOOKUP(A485,N$3:S$1271,4,FALSE)</f>
        <v>#N/A</v>
      </c>
      <c r="F485" s="6">
        <f t="shared" si="28"/>
        <v>5</v>
      </c>
      <c r="G485" s="7">
        <f>VLOOKUP(A485,[1]Sheet!B$3:G$2921,5,0)</f>
        <v>287.76</v>
      </c>
      <c r="H485" s="5" t="e">
        <f>VLOOKUP(A485,N$3:S$1271,5,FALSE)</f>
        <v>#N/A</v>
      </c>
      <c r="I485" s="6">
        <f t="shared" si="29"/>
        <v>287.76</v>
      </c>
      <c r="J485" s="7">
        <f>VLOOKUP(A485,[1]Sheet!B$3:G$2921,6,0)</f>
        <v>1438.8</v>
      </c>
      <c r="K485" s="8" t="e">
        <f t="shared" si="30"/>
        <v>#N/A</v>
      </c>
      <c r="L485" s="6">
        <f t="shared" si="31"/>
        <v>1438.8</v>
      </c>
    </row>
    <row r="486" spans="1:12" x14ac:dyDescent="0.25">
      <c r="A486" s="9" t="s">
        <v>485</v>
      </c>
      <c r="B486" s="2" t="str">
        <f>VLOOKUP(A486,[1]Sheet!B$3:G$2921,2,0)</f>
        <v>Каменi бетоннi бортовi БР100.30.15</v>
      </c>
      <c r="C486" s="3" t="str">
        <f>VLOOKUP(A486,[1]Sheet!B$3:G$2921,3,0)</f>
        <v>шт</v>
      </c>
      <c r="D486" s="4">
        <v>60</v>
      </c>
      <c r="E486" s="5" t="e">
        <f>VLOOKUP(A486,N$3:S$1271,4,FALSE)</f>
        <v>#N/A</v>
      </c>
      <c r="F486" s="6">
        <f t="shared" si="28"/>
        <v>60</v>
      </c>
      <c r="G486" s="7" t="str">
        <f>VLOOKUP(A486,[1]Sheet!B$3:G$2921,5,0)</f>
        <v xml:space="preserve">   -   </v>
      </c>
      <c r="H486" s="5" t="e">
        <f>VLOOKUP(A486,N$3:S$1271,5,FALSE)</f>
        <v>#N/A</v>
      </c>
      <c r="I486" s="6" t="str">
        <f t="shared" si="29"/>
        <v xml:space="preserve">   -   </v>
      </c>
      <c r="J486" s="7" t="str">
        <f>VLOOKUP(A486,[1]Sheet!B$3:G$2921,6,0)</f>
        <v xml:space="preserve">   -   </v>
      </c>
      <c r="K486" s="8" t="e">
        <f t="shared" si="30"/>
        <v>#N/A</v>
      </c>
      <c r="L486" s="6" t="str">
        <f t="shared" si="31"/>
        <v xml:space="preserve">   -   </v>
      </c>
    </row>
    <row r="487" spans="1:12" x14ac:dyDescent="0.25">
      <c r="A487" s="9" t="s">
        <v>486</v>
      </c>
      <c r="B487" s="2" t="str">
        <f>VLOOKUP(A487,[1]Sheet!B$3:G$2921,2,0)</f>
        <v>Бортовий камінь БР 100.20.8</v>
      </c>
      <c r="C487" s="3" t="str">
        <f>VLOOKUP(A487,[1]Sheet!B$3:G$2921,3,0)</f>
        <v>шт</v>
      </c>
      <c r="D487" s="4">
        <v>47</v>
      </c>
      <c r="E487" s="5" t="e">
        <f>VLOOKUP(A487,N$3:S$1271,4,FALSE)</f>
        <v>#N/A</v>
      </c>
      <c r="F487" s="6">
        <f t="shared" si="28"/>
        <v>47</v>
      </c>
      <c r="G487" s="7">
        <f>VLOOKUP(A487,[1]Sheet!B$3:G$2921,5,0)</f>
        <v>80.680000000000007</v>
      </c>
      <c r="H487" s="5" t="e">
        <f>VLOOKUP(A487,N$3:S$1271,5,FALSE)</f>
        <v>#N/A</v>
      </c>
      <c r="I487" s="6">
        <f t="shared" si="29"/>
        <v>80.680000000000007</v>
      </c>
      <c r="J487" s="7">
        <f>VLOOKUP(A487,[1]Sheet!B$3:G$2921,6,0)</f>
        <v>3791.96</v>
      </c>
      <c r="K487" s="8" t="e">
        <f t="shared" si="30"/>
        <v>#N/A</v>
      </c>
      <c r="L487" s="6">
        <f t="shared" si="31"/>
        <v>3791.96</v>
      </c>
    </row>
    <row r="488" spans="1:12" x14ac:dyDescent="0.25">
      <c r="A488" s="9" t="s">
        <v>487</v>
      </c>
      <c r="B488" s="2" t="str">
        <f>VLOOKUP(A488,[1]Sheet!B$3:G$2921,2,0)</f>
        <v>Бортовий камінь БР 100.20.6</v>
      </c>
      <c r="C488" s="3" t="str">
        <f>VLOOKUP(A488,[1]Sheet!B$3:G$2921,3,0)</f>
        <v>шт</v>
      </c>
      <c r="D488" s="4">
        <v>3</v>
      </c>
      <c r="E488" s="5" t="e">
        <f>VLOOKUP(A488,N$3:S$1271,4,FALSE)</f>
        <v>#N/A</v>
      </c>
      <c r="F488" s="6">
        <f t="shared" si="28"/>
        <v>3</v>
      </c>
      <c r="G488" s="7">
        <f>VLOOKUP(A488,[1]Sheet!B$3:G$2921,5,0)</f>
        <v>69.709999999999994</v>
      </c>
      <c r="H488" s="5" t="e">
        <f>VLOOKUP(A488,N$3:S$1271,5,FALSE)</f>
        <v>#N/A</v>
      </c>
      <c r="I488" s="6">
        <f t="shared" si="29"/>
        <v>69.709999999999994</v>
      </c>
      <c r="J488" s="7">
        <f>VLOOKUP(A488,[1]Sheet!B$3:G$2921,6,0)</f>
        <v>209.13</v>
      </c>
      <c r="K488" s="8" t="e">
        <f t="shared" si="30"/>
        <v>#N/A</v>
      </c>
      <c r="L488" s="6">
        <f t="shared" si="31"/>
        <v>209.13</v>
      </c>
    </row>
    <row r="489" spans="1:12" x14ac:dyDescent="0.25">
      <c r="A489" s="9" t="s">
        <v>488</v>
      </c>
      <c r="B489" s="2" t="str">
        <f>VLOOKUP(A489,[1]Sheet!B$3:G$2921,2,0)</f>
        <v>Сповiщувач світлозвуковий внутрішній 220В
60Вт IP43</v>
      </c>
      <c r="C489" s="3" t="str">
        <f>VLOOKUP(A489,[1]Sheet!B$3:G$2921,3,0)</f>
        <v>шт</v>
      </c>
      <c r="D489" s="4">
        <v>1</v>
      </c>
      <c r="E489" s="5" t="e">
        <f>VLOOKUP(A489,N$3:S$1271,4,FALSE)</f>
        <v>#N/A</v>
      </c>
      <c r="F489" s="6">
        <f t="shared" si="28"/>
        <v>1</v>
      </c>
      <c r="G489" s="7">
        <f>VLOOKUP(A489,[1]Sheet!B$3:G$2921,5,0)</f>
        <v>256.68</v>
      </c>
      <c r="H489" s="5" t="e">
        <f>VLOOKUP(A489,N$3:S$1271,5,FALSE)</f>
        <v>#N/A</v>
      </c>
      <c r="I489" s="6">
        <f t="shared" si="29"/>
        <v>256.68</v>
      </c>
      <c r="J489" s="7">
        <f>VLOOKUP(A489,[1]Sheet!B$3:G$2921,6,0)</f>
        <v>256.68</v>
      </c>
      <c r="K489" s="8" t="e">
        <f t="shared" si="30"/>
        <v>#N/A</v>
      </c>
      <c r="L489" s="6">
        <f t="shared" si="31"/>
        <v>256.68</v>
      </c>
    </row>
    <row r="490" spans="1:12" x14ac:dyDescent="0.25">
      <c r="A490" s="9" t="s">
        <v>489</v>
      </c>
      <c r="B490" s="2" t="str">
        <f>VLOOKUP(A490,[1]Sheet!B$3:G$2921,2,0)</f>
        <v>Коробка ревізійна</v>
      </c>
      <c r="C490" s="3" t="str">
        <f>VLOOKUP(A490,[1]Sheet!B$3:G$2921,3,0)</f>
        <v>коробка</v>
      </c>
      <c r="D490" s="4">
        <v>6</v>
      </c>
      <c r="E490" s="5" t="e">
        <f>VLOOKUP(A490,N$3:S$1271,4,FALSE)</f>
        <v>#N/A</v>
      </c>
      <c r="F490" s="6">
        <f t="shared" si="28"/>
        <v>6</v>
      </c>
      <c r="G490" s="7">
        <f>VLOOKUP(A490,[1]Sheet!B$3:G$2921,5,0)</f>
        <v>260.16000000000003</v>
      </c>
      <c r="H490" s="5" t="e">
        <f>VLOOKUP(A490,N$3:S$1271,5,FALSE)</f>
        <v>#N/A</v>
      </c>
      <c r="I490" s="6">
        <f t="shared" si="29"/>
        <v>260.16000000000003</v>
      </c>
      <c r="J490" s="7">
        <f>VLOOKUP(A490,[1]Sheet!B$3:G$2921,6,0)</f>
        <v>1560.96</v>
      </c>
      <c r="K490" s="8" t="e">
        <f t="shared" si="30"/>
        <v>#N/A</v>
      </c>
      <c r="L490" s="6">
        <f t="shared" si="31"/>
        <v>1560.96</v>
      </c>
    </row>
    <row r="491" spans="1:12" x14ac:dyDescent="0.25">
      <c r="A491" s="9" t="s">
        <v>490</v>
      </c>
      <c r="B491" s="2" t="str">
        <f>VLOOKUP(A491,[1]Sheet!B$3:G$2921,2,0)</f>
        <v>Ревізійний колодязь для заземлення</v>
      </c>
      <c r="C491" s="3" t="str">
        <f>VLOOKUP(A491,[1]Sheet!B$3:G$2921,3,0)</f>
        <v>шт</v>
      </c>
      <c r="D491" s="4">
        <v>6</v>
      </c>
      <c r="E491" s="5" t="e">
        <f>VLOOKUP(A491,N$3:S$1271,4,FALSE)</f>
        <v>#N/A</v>
      </c>
      <c r="F491" s="6">
        <f t="shared" si="28"/>
        <v>6</v>
      </c>
      <c r="G491" s="7">
        <f>VLOOKUP(A491,[1]Sheet!B$3:G$2921,5,0)</f>
        <v>127.62</v>
      </c>
      <c r="H491" s="5" t="e">
        <f>VLOOKUP(A491,N$3:S$1271,5,FALSE)</f>
        <v>#N/A</v>
      </c>
      <c r="I491" s="6">
        <f t="shared" si="29"/>
        <v>127.62</v>
      </c>
      <c r="J491" s="7">
        <f>VLOOKUP(A491,[1]Sheet!B$3:G$2921,6,0)</f>
        <v>765.72</v>
      </c>
      <c r="K491" s="8" t="e">
        <f t="shared" si="30"/>
        <v>#N/A</v>
      </c>
      <c r="L491" s="6">
        <f t="shared" si="31"/>
        <v>765.72</v>
      </c>
    </row>
    <row r="492" spans="1:12" x14ac:dyDescent="0.25">
      <c r="A492" s="9" t="s">
        <v>491</v>
      </c>
      <c r="B492" s="2" t="str">
        <f>VLOOKUP(A492,[1]Sheet!B$3:G$2921,2,0)</f>
        <v>Перетворювач або блок живлення, що
установлюється окремо</v>
      </c>
      <c r="C492" s="3" t="str">
        <f>VLOOKUP(A492,[1]Sheet!B$3:G$2921,3,0)</f>
        <v>шт</v>
      </c>
      <c r="D492" s="4">
        <v>11</v>
      </c>
      <c r="E492" s="5" t="e">
        <f>VLOOKUP(A492,N$3:S$1271,4,FALSE)</f>
        <v>#N/A</v>
      </c>
      <c r="F492" s="6">
        <f t="shared" si="28"/>
        <v>11</v>
      </c>
      <c r="G492" s="7">
        <f>VLOOKUP(A492,[1]Sheet!B$3:G$2921,5,0)</f>
        <v>1608.67</v>
      </c>
      <c r="H492" s="5" t="e">
        <f>VLOOKUP(A492,N$3:S$1271,5,FALSE)</f>
        <v>#N/A</v>
      </c>
      <c r="I492" s="6">
        <f t="shared" si="29"/>
        <v>1608.67</v>
      </c>
      <c r="J492" s="7">
        <f>VLOOKUP(A492,[1]Sheet!B$3:G$2921,6,0)</f>
        <v>17695.37</v>
      </c>
      <c r="K492" s="8" t="e">
        <f t="shared" si="30"/>
        <v>#N/A</v>
      </c>
      <c r="L492" s="6">
        <f t="shared" si="31"/>
        <v>17695.37</v>
      </c>
    </row>
    <row r="493" spans="1:12" x14ac:dyDescent="0.25">
      <c r="A493" s="9" t="s">
        <v>492</v>
      </c>
      <c r="B493" s="2" t="str">
        <f>VLOOKUP(A493,[1]Sheet!B$3:G$2921,2,0)</f>
        <v>Конструкцiї для установлення приладiв,
маса до 1 кг</v>
      </c>
      <c r="C493" s="3" t="str">
        <f>VLOOKUP(A493,[1]Sheet!B$3:G$2921,3,0)</f>
        <v>шт</v>
      </c>
      <c r="D493" s="4">
        <v>2</v>
      </c>
      <c r="E493" s="5" t="e">
        <f>VLOOKUP(A493,N$3:S$1271,4,FALSE)</f>
        <v>#N/A</v>
      </c>
      <c r="F493" s="6">
        <f t="shared" si="28"/>
        <v>2</v>
      </c>
      <c r="G493" s="7">
        <f>VLOOKUP(A493,[1]Sheet!B$3:G$2921,5,0)</f>
        <v>47.31</v>
      </c>
      <c r="H493" s="5" t="e">
        <f>VLOOKUP(A493,N$3:S$1271,5,FALSE)</f>
        <v>#N/A</v>
      </c>
      <c r="I493" s="6">
        <f t="shared" si="29"/>
        <v>47.31</v>
      </c>
      <c r="J493" s="7">
        <f>VLOOKUP(A493,[1]Sheet!B$3:G$2921,6,0)</f>
        <v>94.62</v>
      </c>
      <c r="K493" s="8" t="e">
        <f t="shared" si="30"/>
        <v>#N/A</v>
      </c>
      <c r="L493" s="6">
        <f t="shared" si="31"/>
        <v>94.62</v>
      </c>
    </row>
    <row r="494" spans="1:12" x14ac:dyDescent="0.25">
      <c r="A494" s="9" t="s">
        <v>493</v>
      </c>
      <c r="B494" s="2" t="str">
        <f>VLOOKUP(A494,[1]Sheet!B$3:G$2921,2,0)</f>
        <v>Електричнi проводки у щитах i пультах
шафних i панельних</v>
      </c>
      <c r="C494" s="3" t="str">
        <f>VLOOKUP(A494,[1]Sheet!B$3:G$2921,3,0)</f>
        <v>100 м</v>
      </c>
      <c r="D494" s="4">
        <v>1.04</v>
      </c>
      <c r="E494" s="5" t="e">
        <f>VLOOKUP(A494,N$3:S$1271,4,FALSE)</f>
        <v>#N/A</v>
      </c>
      <c r="F494" s="6">
        <f t="shared" si="28"/>
        <v>1.04</v>
      </c>
      <c r="G494" s="7">
        <f>VLOOKUP(A494,[1]Sheet!B$3:G$2921,5,0)</f>
        <v>1314.64</v>
      </c>
      <c r="H494" s="5" t="e">
        <f>VLOOKUP(A494,N$3:S$1271,5,FALSE)</f>
        <v>#N/A</v>
      </c>
      <c r="I494" s="6">
        <f t="shared" si="29"/>
        <v>1314.64</v>
      </c>
      <c r="J494" s="7">
        <f>VLOOKUP(A494,[1]Sheet!B$3:G$2921,6,0)</f>
        <v>1367.23</v>
      </c>
      <c r="K494" s="8" t="e">
        <f t="shared" si="30"/>
        <v>#N/A</v>
      </c>
      <c r="L494" s="6">
        <f t="shared" si="31"/>
        <v>1367.23</v>
      </c>
    </row>
    <row r="495" spans="1:12" x14ac:dyDescent="0.25">
      <c r="A495" s="9" t="s">
        <v>494</v>
      </c>
      <c r="B495" s="2" t="str">
        <f>VLOOKUP(A495,[1]Sheet!B$3:G$2921,2,0)</f>
        <v>Прилади, що установлюються на
технологiчних трубопроводах i устаткуваннi
на закладних пристроях, з'єднання рiзальнi</v>
      </c>
      <c r="C495" s="3" t="str">
        <f>VLOOKUP(A495,[1]Sheet!B$3:G$2921,3,0)</f>
        <v>шт</v>
      </c>
      <c r="D495" s="4">
        <v>3</v>
      </c>
      <c r="E495" s="5" t="e">
        <f>VLOOKUP(A495,N$3:S$1271,4,FALSE)</f>
        <v>#N/A</v>
      </c>
      <c r="F495" s="6">
        <f t="shared" si="28"/>
        <v>3</v>
      </c>
      <c r="G495" s="7">
        <f>VLOOKUP(A495,[1]Sheet!B$3:G$2921,5,0)</f>
        <v>126.43</v>
      </c>
      <c r="H495" s="5" t="e">
        <f>VLOOKUP(A495,N$3:S$1271,5,FALSE)</f>
        <v>#N/A</v>
      </c>
      <c r="I495" s="6">
        <f t="shared" si="29"/>
        <v>126.43</v>
      </c>
      <c r="J495" s="7">
        <f>VLOOKUP(A495,[1]Sheet!B$3:G$2921,6,0)</f>
        <v>379.29</v>
      </c>
      <c r="K495" s="8" t="e">
        <f t="shared" si="30"/>
        <v>#N/A</v>
      </c>
      <c r="L495" s="6">
        <f t="shared" si="31"/>
        <v>379.29</v>
      </c>
    </row>
    <row r="496" spans="1:12" x14ac:dyDescent="0.25">
      <c r="A496" s="9" t="s">
        <v>495</v>
      </c>
      <c r="B496" s="2" t="str">
        <f>VLOOKUP(A496,[1]Sheet!B$3:G$2921,2,0)</f>
        <v>Прилади, що установлюються на
конструкцiях, маса до 5 кг</v>
      </c>
      <c r="C496" s="3" t="str">
        <f>VLOOKUP(A496,[1]Sheet!B$3:G$2921,3,0)</f>
        <v>шт</v>
      </c>
      <c r="D496" s="4">
        <v>2</v>
      </c>
      <c r="E496" s="5" t="e">
        <f>VLOOKUP(A496,N$3:S$1271,4,FALSE)</f>
        <v>#N/A</v>
      </c>
      <c r="F496" s="6">
        <f t="shared" si="28"/>
        <v>2</v>
      </c>
      <c r="G496" s="7">
        <f>VLOOKUP(A496,[1]Sheet!B$3:G$2921,5,0)</f>
        <v>82.62</v>
      </c>
      <c r="H496" s="5" t="e">
        <f>VLOOKUP(A496,N$3:S$1271,5,FALSE)</f>
        <v>#N/A</v>
      </c>
      <c r="I496" s="6">
        <f t="shared" si="29"/>
        <v>82.62</v>
      </c>
      <c r="J496" s="7">
        <f>VLOOKUP(A496,[1]Sheet!B$3:G$2921,6,0)</f>
        <v>82.62</v>
      </c>
      <c r="K496" s="8" t="e">
        <f t="shared" si="30"/>
        <v>#N/A</v>
      </c>
      <c r="L496" s="6">
        <f t="shared" si="31"/>
        <v>82.62</v>
      </c>
    </row>
    <row r="497" spans="1:12" x14ac:dyDescent="0.25">
      <c r="A497" s="9" t="s">
        <v>496</v>
      </c>
      <c r="B497" s="2" t="str">
        <f>VLOOKUP(A497,[1]Sheet!B$3:G$2921,2,0)</f>
        <v>Прилади, що монтуються на
технологiчному трубопроводi [расходомiр
об'ємний, швидкiсний, iндукцiйний;
ротаметр, клапан регулюючий; регулятор
тиску та температури прямої дiї;
покажчик потоку рiдини; проточнi датчики
концентратомiрiв i щiльномiрiв, РН-
метрiв], дiаметр трубопроводу до 20 мм</v>
      </c>
      <c r="C497" s="3" t="str">
        <f>VLOOKUP(A497,[1]Sheet!B$3:G$2921,3,0)</f>
        <v>шт</v>
      </c>
      <c r="D497" s="4">
        <v>3</v>
      </c>
      <c r="E497" s="5" t="e">
        <f>VLOOKUP(A497,N$3:S$1271,4,FALSE)</f>
        <v>#N/A</v>
      </c>
      <c r="F497" s="6">
        <f t="shared" si="28"/>
        <v>3</v>
      </c>
      <c r="G497" s="7">
        <f>VLOOKUP(A497,[1]Sheet!B$3:G$2921,5,0)</f>
        <v>125.24</v>
      </c>
      <c r="H497" s="5" t="e">
        <f>VLOOKUP(A497,N$3:S$1271,5,FALSE)</f>
        <v>#N/A</v>
      </c>
      <c r="I497" s="6">
        <f t="shared" si="29"/>
        <v>125.24</v>
      </c>
      <c r="J497" s="7">
        <f>VLOOKUP(A497,[1]Sheet!B$3:G$2921,6,0)</f>
        <v>250.48</v>
      </c>
      <c r="K497" s="8" t="e">
        <f t="shared" si="30"/>
        <v>#N/A</v>
      </c>
      <c r="L497" s="6">
        <f t="shared" si="31"/>
        <v>250.48</v>
      </c>
    </row>
    <row r="498" spans="1:12" x14ac:dyDescent="0.25">
      <c r="A498" s="9" t="s">
        <v>497</v>
      </c>
      <c r="B498" s="2" t="str">
        <f>VLOOKUP(A498,[1]Sheet!B$3:G$2921,2,0)</f>
        <v>Прилади, що монтуються на
технологiчному трубопроводi [расходомiр
об'ємний, швидкiсний, iндукцiйний;
ротаметр, клапан регулюючий; регулятор
тиску та температури прямої дiї;
покажчик потоку рiдини; проточнi датчики
концентратомiрiв i щiльномiрiв, РН-
метрiв], дiаметр трубопроводу до 50 мм</v>
      </c>
      <c r="C498" s="3" t="str">
        <f>VLOOKUP(A498,[1]Sheet!B$3:G$2921,3,0)</f>
        <v>шт</v>
      </c>
      <c r="D498" s="4">
        <v>1</v>
      </c>
      <c r="E498" s="5" t="e">
        <f>VLOOKUP(A498,N$3:S$1271,4,FALSE)</f>
        <v>#N/A</v>
      </c>
      <c r="F498" s="6">
        <f t="shared" si="28"/>
        <v>1</v>
      </c>
      <c r="G498" s="7">
        <f>VLOOKUP(A498,[1]Sheet!B$3:G$2921,5,0)</f>
        <v>358.04</v>
      </c>
      <c r="H498" s="5" t="e">
        <f>VLOOKUP(A498,N$3:S$1271,5,FALSE)</f>
        <v>#N/A</v>
      </c>
      <c r="I498" s="6">
        <f t="shared" si="29"/>
        <v>358.04</v>
      </c>
      <c r="J498" s="7">
        <f>VLOOKUP(A498,[1]Sheet!B$3:G$2921,6,0)</f>
        <v>358.04</v>
      </c>
      <c r="K498" s="8" t="e">
        <f t="shared" si="30"/>
        <v>#N/A</v>
      </c>
      <c r="L498" s="6">
        <f t="shared" si="31"/>
        <v>358.04</v>
      </c>
    </row>
    <row r="499" spans="1:12" x14ac:dyDescent="0.25">
      <c r="A499" s="9" t="s">
        <v>498</v>
      </c>
      <c r="B499" s="2" t="str">
        <f>VLOOKUP(A499,[1]Sheet!B$3:G$2921,2,0)</f>
        <v>Монтаж бобишок, штуцерiв на умовний
тиск до 10 МПа [100 кгс/см2]</v>
      </c>
      <c r="C499" s="3" t="str">
        <f>VLOOKUP(A499,[1]Sheet!B$3:G$2921,3,0)</f>
        <v>10 шт</v>
      </c>
      <c r="D499" s="4">
        <v>1.5</v>
      </c>
      <c r="E499" s="5" t="e">
        <f>VLOOKUP(A499,N$3:S$1271,4,FALSE)</f>
        <v>#N/A</v>
      </c>
      <c r="F499" s="6">
        <f t="shared" si="28"/>
        <v>1.5</v>
      </c>
      <c r="G499" s="7">
        <f>VLOOKUP(A499,[1]Sheet!B$3:G$2921,5,0)</f>
        <v>927.02</v>
      </c>
      <c r="H499" s="5" t="e">
        <f>VLOOKUP(A499,N$3:S$1271,5,FALSE)</f>
        <v>#N/A</v>
      </c>
      <c r="I499" s="6">
        <f t="shared" si="29"/>
        <v>927.02</v>
      </c>
      <c r="J499" s="7">
        <f>VLOOKUP(A499,[1]Sheet!B$3:G$2921,6,0)</f>
        <v>1019.72</v>
      </c>
      <c r="K499" s="8" t="e">
        <f t="shared" si="30"/>
        <v>#N/A</v>
      </c>
      <c r="L499" s="6">
        <f t="shared" si="31"/>
        <v>1019.72</v>
      </c>
    </row>
    <row r="500" spans="1:12" x14ac:dyDescent="0.25">
      <c r="A500" s="9" t="s">
        <v>499</v>
      </c>
      <c r="B500" s="2" t="str">
        <f>VLOOKUP(A500,[1]Sheet!B$3:G$2921,2,0)</f>
        <v>Монтаж закладного пристрою вiдбирання
тиску [розрiдження]</v>
      </c>
      <c r="C500" s="3" t="str">
        <f>VLOOKUP(A500,[1]Sheet!B$3:G$2921,3,0)</f>
        <v>10 шт</v>
      </c>
      <c r="D500" s="4">
        <v>0.90000000000000013</v>
      </c>
      <c r="E500" s="5" t="e">
        <f>VLOOKUP(A500,N$3:S$1271,4,FALSE)</f>
        <v>#N/A</v>
      </c>
      <c r="F500" s="6">
        <f t="shared" si="28"/>
        <v>0.90000000000000013</v>
      </c>
      <c r="G500" s="7">
        <f>VLOOKUP(A500,[1]Sheet!B$3:G$2921,5,0)</f>
        <v>1213.3399999999999</v>
      </c>
      <c r="H500" s="5" t="e">
        <f>VLOOKUP(A500,N$3:S$1271,5,FALSE)</f>
        <v>#N/A</v>
      </c>
      <c r="I500" s="6">
        <f t="shared" si="29"/>
        <v>1213.3399999999999</v>
      </c>
      <c r="J500" s="7">
        <f>VLOOKUP(A500,[1]Sheet!B$3:G$2921,6,0)</f>
        <v>728</v>
      </c>
      <c r="K500" s="8" t="e">
        <f t="shared" si="30"/>
        <v>#N/A</v>
      </c>
      <c r="L500" s="6">
        <f t="shared" si="31"/>
        <v>728</v>
      </c>
    </row>
    <row r="501" spans="1:12" x14ac:dyDescent="0.25">
      <c r="A501" s="9" t="s">
        <v>500</v>
      </c>
      <c r="B501" s="2" t="str">
        <f>VLOOKUP(A501,[1]Sheet!B$3:G$2921,2,0)</f>
        <v>Трубопроводи з мiдних труб на умовний
тиск до 2,5 МПа [25 кгс/см2], дiаметр
зовнiшнiй 18 мм</v>
      </c>
      <c r="C501" s="3" t="str">
        <f>VLOOKUP(A501,[1]Sheet!B$3:G$2921,3,0)</f>
        <v>100 м</v>
      </c>
      <c r="D501" s="4">
        <v>0.7</v>
      </c>
      <c r="E501" s="5" t="e">
        <f>VLOOKUP(A501,N$3:S$1271,4,FALSE)</f>
        <v>#N/A</v>
      </c>
      <c r="F501" s="6">
        <f t="shared" si="28"/>
        <v>0.7</v>
      </c>
      <c r="G501" s="7">
        <f>VLOOKUP(A501,[1]Sheet!B$3:G$2921,5,0)</f>
        <v>9143.73</v>
      </c>
      <c r="H501" s="5" t="e">
        <f>VLOOKUP(A501,N$3:S$1271,5,FALSE)</f>
        <v>#N/A</v>
      </c>
      <c r="I501" s="6">
        <f t="shared" si="29"/>
        <v>9143.73</v>
      </c>
      <c r="J501" s="7">
        <f>VLOOKUP(A501,[1]Sheet!B$3:G$2921,6,0)</f>
        <v>3657.49</v>
      </c>
      <c r="K501" s="8" t="e">
        <f t="shared" si="30"/>
        <v>#N/A</v>
      </c>
      <c r="L501" s="6">
        <f t="shared" si="31"/>
        <v>3657.49</v>
      </c>
    </row>
    <row r="502" spans="1:12" x14ac:dyDescent="0.25">
      <c r="A502" s="9" t="s">
        <v>501</v>
      </c>
      <c r="B502" s="2" t="str">
        <f>VLOOKUP(A502,[1]Sheet!B$3:G$2921,2,0)</f>
        <v>Трубопроводи з мiдних труб на умовний
тиск до 2,5 МПа [25 кгс/см2], дiаметр 28
мм</v>
      </c>
      <c r="C502" s="3" t="str">
        <f>VLOOKUP(A502,[1]Sheet!B$3:G$2921,3,0)</f>
        <v>100 м</v>
      </c>
      <c r="D502" s="4">
        <v>0.25</v>
      </c>
      <c r="E502" s="5" t="e">
        <f>VLOOKUP(A502,N$3:S$1271,4,FALSE)</f>
        <v>#N/A</v>
      </c>
      <c r="F502" s="6">
        <f t="shared" si="28"/>
        <v>0.25</v>
      </c>
      <c r="G502" s="7">
        <f>VLOOKUP(A502,[1]Sheet!B$3:G$2921,5,0)</f>
        <v>11789.72</v>
      </c>
      <c r="H502" s="5" t="e">
        <f>VLOOKUP(A502,N$3:S$1271,5,FALSE)</f>
        <v>#N/A</v>
      </c>
      <c r="I502" s="6">
        <f t="shared" si="29"/>
        <v>11789.72</v>
      </c>
      <c r="J502" s="7">
        <f>VLOOKUP(A502,[1]Sheet!B$3:G$2921,6,0)</f>
        <v>2947.43</v>
      </c>
      <c r="K502" s="8" t="e">
        <f t="shared" si="30"/>
        <v>#N/A</v>
      </c>
      <c r="L502" s="6">
        <f t="shared" si="31"/>
        <v>2947.43</v>
      </c>
    </row>
    <row r="503" spans="1:12" x14ac:dyDescent="0.25">
      <c r="A503" s="9" t="s">
        <v>502</v>
      </c>
      <c r="B503" s="2" t="str">
        <f>VLOOKUP(A503,[1]Sheet!B$3:G$2921,2,0)</f>
        <v>Трубопроводи з мiдних труб на умовний
тиск до 2,5 МПа [25 кгс/см2], дiаметр 42
мм</v>
      </c>
      <c r="C503" s="3" t="str">
        <f>VLOOKUP(A503,[1]Sheet!B$3:G$2921,3,0)</f>
        <v>100 м</v>
      </c>
      <c r="D503" s="4">
        <v>0.25</v>
      </c>
      <c r="E503" s="5" t="e">
        <f>VLOOKUP(A503,N$3:S$1271,4,FALSE)</f>
        <v>#N/A</v>
      </c>
      <c r="F503" s="6">
        <f t="shared" si="28"/>
        <v>0.25</v>
      </c>
      <c r="G503" s="7">
        <f>VLOOKUP(A503,[1]Sheet!B$3:G$2921,5,0)</f>
        <v>12116.92</v>
      </c>
      <c r="H503" s="5" t="e">
        <f>VLOOKUP(A503,N$3:S$1271,5,FALSE)</f>
        <v>#N/A</v>
      </c>
      <c r="I503" s="6">
        <f t="shared" si="29"/>
        <v>12116.92</v>
      </c>
      <c r="J503" s="7">
        <f>VLOOKUP(A503,[1]Sheet!B$3:G$2921,6,0)</f>
        <v>3029.23</v>
      </c>
      <c r="K503" s="8" t="e">
        <f t="shared" si="30"/>
        <v>#N/A</v>
      </c>
      <c r="L503" s="6">
        <f t="shared" si="31"/>
        <v>3029.23</v>
      </c>
    </row>
    <row r="504" spans="1:12" x14ac:dyDescent="0.25">
      <c r="A504" s="9" t="s">
        <v>503</v>
      </c>
      <c r="B504" s="2" t="str">
        <f>VLOOKUP(A504,[1]Sheet!B$3:G$2921,2,0)</f>
        <v>Вентилi, засувки, клапани сталевi
фланцевi запобiжнi, пружиннi одноважiльнi
та двоважiльнi зворотнi пiдiймальнi на
умовний тиск до 2,5 МПа [25 кгс/см2],
дiаметр умовного проходу 15-25
мм_[електричний або електромагнiтний
привiд]</v>
      </c>
      <c r="C504" s="3" t="str">
        <f>VLOOKUP(A504,[1]Sheet!B$3:G$2921,3,0)</f>
        <v>10 шт</v>
      </c>
      <c r="D504" s="4">
        <v>0.30000000000000004</v>
      </c>
      <c r="E504" s="5" t="e">
        <f>VLOOKUP(A504,N$3:S$1271,4,FALSE)</f>
        <v>#N/A</v>
      </c>
      <c r="F504" s="6">
        <f t="shared" si="28"/>
        <v>0.30000000000000004</v>
      </c>
      <c r="G504" s="7">
        <f>VLOOKUP(A504,[1]Sheet!B$3:G$2921,5,0)</f>
        <v>4718.5600000000004</v>
      </c>
      <c r="H504" s="5" t="e">
        <f>VLOOKUP(A504,N$3:S$1271,5,FALSE)</f>
        <v>#N/A</v>
      </c>
      <c r="I504" s="6">
        <f t="shared" si="29"/>
        <v>4718.5600000000004</v>
      </c>
      <c r="J504" s="7">
        <f>VLOOKUP(A504,[1]Sheet!B$3:G$2921,6,0)</f>
        <v>1415.57</v>
      </c>
      <c r="K504" s="8" t="e">
        <f t="shared" si="30"/>
        <v>#N/A</v>
      </c>
      <c r="L504" s="6">
        <f t="shared" si="31"/>
        <v>1415.57</v>
      </c>
    </row>
    <row r="505" spans="1:12" x14ac:dyDescent="0.25">
      <c r="A505" s="9" t="s">
        <v>504</v>
      </c>
      <c r="B505" s="2" t="str">
        <f>VLOOKUP(A505,[1]Sheet!B$3:G$2921,2,0)</f>
        <v>Монтаж шафи керування або регулювання</v>
      </c>
      <c r="C505" s="3" t="str">
        <f>VLOOKUP(A505,[1]Sheet!B$3:G$2921,3,0)</f>
        <v>шафа</v>
      </c>
      <c r="D505" s="4">
        <v>3</v>
      </c>
      <c r="E505" s="5" t="e">
        <f>VLOOKUP(A505,N$3:S$1271,4,FALSE)</f>
        <v>#N/A</v>
      </c>
      <c r="F505" s="6">
        <f t="shared" si="28"/>
        <v>3</v>
      </c>
      <c r="G505" s="7">
        <f>VLOOKUP(A505,[1]Sheet!B$3:G$2921,5,0)</f>
        <v>2479.31</v>
      </c>
      <c r="H505" s="5" t="e">
        <f>VLOOKUP(A505,N$3:S$1271,5,FALSE)</f>
        <v>#N/A</v>
      </c>
      <c r="I505" s="6">
        <f t="shared" si="29"/>
        <v>2479.31</v>
      </c>
      <c r="J505" s="7">
        <f>VLOOKUP(A505,[1]Sheet!B$3:G$2921,6,0)</f>
        <v>2479.31</v>
      </c>
      <c r="K505" s="8" t="e">
        <f t="shared" si="30"/>
        <v>#N/A</v>
      </c>
      <c r="L505" s="6">
        <f t="shared" si="31"/>
        <v>2479.31</v>
      </c>
    </row>
    <row r="506" spans="1:12" x14ac:dyDescent="0.25">
      <c r="A506" s="9" t="s">
        <v>505</v>
      </c>
      <c r="B506" s="2" t="str">
        <f>VLOOKUP(A506,[1]Sheet!B$3:G$2921,2,0)</f>
        <v>Кабель до 35 кВ, що прокладається у
готових траншеях без покриттiв, маса 1
м до 2 кг</v>
      </c>
      <c r="C506" s="3" t="str">
        <f>VLOOKUP(A506,[1]Sheet!B$3:G$2921,3,0)</f>
        <v>100 м</v>
      </c>
      <c r="D506" s="4">
        <v>0.15</v>
      </c>
      <c r="E506" s="5" t="e">
        <f>VLOOKUP(A506,N$3:S$1271,4,FALSE)</f>
        <v>#N/A</v>
      </c>
      <c r="F506" s="6">
        <f t="shared" si="28"/>
        <v>0.15</v>
      </c>
      <c r="G506" s="7">
        <f>VLOOKUP(A506,[1]Sheet!B$3:G$2921,5,0)</f>
        <v>3141.83</v>
      </c>
      <c r="H506" s="5" t="e">
        <f>VLOOKUP(A506,N$3:S$1271,5,FALSE)</f>
        <v>#N/A</v>
      </c>
      <c r="I506" s="6">
        <f t="shared" si="29"/>
        <v>3141.83</v>
      </c>
      <c r="J506" s="7">
        <f>VLOOKUP(A506,[1]Sheet!B$3:G$2921,6,0)</f>
        <v>471.27</v>
      </c>
      <c r="K506" s="8" t="e">
        <f t="shared" si="30"/>
        <v>#N/A</v>
      </c>
      <c r="L506" s="6">
        <f t="shared" si="31"/>
        <v>471.27</v>
      </c>
    </row>
    <row r="507" spans="1:12" x14ac:dyDescent="0.25">
      <c r="A507" s="9" t="s">
        <v>506</v>
      </c>
      <c r="B507" s="2" t="str">
        <f>VLOOKUP(A507,[1]Sheet!B$3:G$2921,2,0)</f>
        <v>Улаштування постелi при одному кабелi у
траншеї</v>
      </c>
      <c r="C507" s="3" t="str">
        <f>VLOOKUP(A507,[1]Sheet!B$3:G$2921,3,0)</f>
        <v>100 м</v>
      </c>
      <c r="D507" s="4">
        <v>0.14000000000000001</v>
      </c>
      <c r="E507" s="5" t="e">
        <f>VLOOKUP(A507,N$3:S$1271,4,FALSE)</f>
        <v>#N/A</v>
      </c>
      <c r="F507" s="6">
        <f t="shared" si="28"/>
        <v>0.14000000000000001</v>
      </c>
      <c r="G507" s="7">
        <f>VLOOKUP(A507,[1]Sheet!B$3:G$2921,5,0)</f>
        <v>661.73</v>
      </c>
      <c r="H507" s="5" t="e">
        <f>VLOOKUP(A507,N$3:S$1271,5,FALSE)</f>
        <v>#N/A</v>
      </c>
      <c r="I507" s="6">
        <f t="shared" si="29"/>
        <v>661.73</v>
      </c>
      <c r="J507" s="7">
        <f>VLOOKUP(A507,[1]Sheet!B$3:G$2921,6,0)</f>
        <v>92.64</v>
      </c>
      <c r="K507" s="8" t="e">
        <f t="shared" si="30"/>
        <v>#N/A</v>
      </c>
      <c r="L507" s="6">
        <f t="shared" si="31"/>
        <v>92.64</v>
      </c>
    </row>
    <row r="508" spans="1:12" x14ac:dyDescent="0.25">
      <c r="A508" s="9" t="s">
        <v>507</v>
      </c>
      <c r="B508" s="2" t="str">
        <f>VLOOKUP(A508,[1]Sheet!B$3:G$2921,2,0)</f>
        <v>Покривання 1-2 кабелів, прокладених у
траншеї, сигнальною стрічкою</v>
      </c>
      <c r="C508" s="3" t="str">
        <f>VLOOKUP(A508,[1]Sheet!B$3:G$2921,3,0)</f>
        <v>100 м тр</v>
      </c>
      <c r="D508" s="4">
        <v>0.14000000000000001</v>
      </c>
      <c r="E508" s="5" t="e">
        <f>VLOOKUP(A508,N$3:S$1271,4,FALSE)</f>
        <v>#N/A</v>
      </c>
      <c r="F508" s="6">
        <f t="shared" si="28"/>
        <v>0.14000000000000001</v>
      </c>
      <c r="G508" s="7">
        <f>VLOOKUP(A508,[1]Sheet!B$3:G$2921,5,0)</f>
        <v>234.36</v>
      </c>
      <c r="H508" s="5" t="e">
        <f>VLOOKUP(A508,N$3:S$1271,5,FALSE)</f>
        <v>#N/A</v>
      </c>
      <c r="I508" s="6">
        <f t="shared" si="29"/>
        <v>234.36</v>
      </c>
      <c r="J508" s="7">
        <f>VLOOKUP(A508,[1]Sheet!B$3:G$2921,6,0)</f>
        <v>32.81</v>
      </c>
      <c r="K508" s="8" t="e">
        <f t="shared" si="30"/>
        <v>#N/A</v>
      </c>
      <c r="L508" s="6">
        <f t="shared" si="31"/>
        <v>32.81</v>
      </c>
    </row>
    <row r="509" spans="1:12" x14ac:dyDescent="0.25">
      <c r="A509" s="9" t="s">
        <v>508</v>
      </c>
      <c r="B509" s="2" t="str">
        <f>VLOOKUP(A509,[1]Sheet!B$3:G$2921,2,0)</f>
        <v>Кабель до 35 кВ, що прокладається з
крiпленням накладними скобами, маса 1 м
до 0,5 кг</v>
      </c>
      <c r="C509" s="3" t="str">
        <f>VLOOKUP(A509,[1]Sheet!B$3:G$2921,3,0)</f>
        <v>100 м</v>
      </c>
      <c r="D509" s="4">
        <v>0.15</v>
      </c>
      <c r="E509" s="5" t="e">
        <f>VLOOKUP(A509,N$3:S$1271,4,FALSE)</f>
        <v>#N/A</v>
      </c>
      <c r="F509" s="6">
        <f t="shared" si="28"/>
        <v>0.15</v>
      </c>
      <c r="G509" s="7">
        <f>VLOOKUP(A509,[1]Sheet!B$3:G$2921,5,0)</f>
        <v>6020.22</v>
      </c>
      <c r="H509" s="5" t="e">
        <f>VLOOKUP(A509,N$3:S$1271,5,FALSE)</f>
        <v>#N/A</v>
      </c>
      <c r="I509" s="6">
        <f t="shared" si="29"/>
        <v>6020.22</v>
      </c>
      <c r="J509" s="7">
        <f>VLOOKUP(A509,[1]Sheet!B$3:G$2921,6,0)</f>
        <v>903.03</v>
      </c>
      <c r="K509" s="8" t="e">
        <f t="shared" si="30"/>
        <v>#N/A</v>
      </c>
      <c r="L509" s="6">
        <f t="shared" si="31"/>
        <v>903.03</v>
      </c>
    </row>
    <row r="510" spans="1:12" x14ac:dyDescent="0.25">
      <c r="A510" s="9" t="s">
        <v>509</v>
      </c>
      <c r="B510" s="2" t="str">
        <f>VLOOKUP(A510,[1]Sheet!B$3:G$2921,2,0)</f>
        <v>Кабель до 35 кВ у прокладених трубах,
блоках i коробах, маса 1 м до 1 кг</v>
      </c>
      <c r="C510" s="3" t="str">
        <f>VLOOKUP(A510,[1]Sheet!B$3:G$2921,3,0)</f>
        <v>100 м</v>
      </c>
      <c r="D510" s="4">
        <v>0.25</v>
      </c>
      <c r="E510" s="5" t="e">
        <f>VLOOKUP(A510,N$3:S$1271,4,FALSE)</f>
        <v>#N/A</v>
      </c>
      <c r="F510" s="6">
        <f t="shared" si="28"/>
        <v>0.25</v>
      </c>
      <c r="G510" s="7">
        <f>VLOOKUP(A510,[1]Sheet!B$3:G$2921,5,0)</f>
        <v>1861.74</v>
      </c>
      <c r="H510" s="5" t="e">
        <f>VLOOKUP(A510,N$3:S$1271,5,FALSE)</f>
        <v>#N/A</v>
      </c>
      <c r="I510" s="6">
        <f t="shared" si="29"/>
        <v>1861.74</v>
      </c>
      <c r="J510" s="7">
        <f>VLOOKUP(A510,[1]Sheet!B$3:G$2921,6,0)</f>
        <v>465.44</v>
      </c>
      <c r="K510" s="8" t="e">
        <f t="shared" si="30"/>
        <v>#N/A</v>
      </c>
      <c r="L510" s="6">
        <f t="shared" si="31"/>
        <v>465.44</v>
      </c>
    </row>
    <row r="511" spans="1:12" x14ac:dyDescent="0.25">
      <c r="A511" s="9" t="s">
        <v>510</v>
      </c>
      <c r="B511" s="2" t="str">
        <f>VLOOKUP(A511,[1]Sheet!B$3:G$2921,2,0)</f>
        <v>Кабель до 35 кВ у прокладених трубах,
блоках i коробах, маса 1 м до 2 кг</v>
      </c>
      <c r="C511" s="3" t="str">
        <f>VLOOKUP(A511,[1]Sheet!B$3:G$2921,3,0)</f>
        <v>100 м</v>
      </c>
      <c r="D511" s="4">
        <v>2.5700000000000003</v>
      </c>
      <c r="E511" s="5" t="e">
        <f>VLOOKUP(A511,N$3:S$1271,4,FALSE)</f>
        <v>#N/A</v>
      </c>
      <c r="F511" s="6">
        <f t="shared" si="28"/>
        <v>2.5700000000000003</v>
      </c>
      <c r="G511" s="7">
        <f>VLOOKUP(A511,[1]Sheet!B$3:G$2921,5,0)</f>
        <v>2413.1799999999998</v>
      </c>
      <c r="H511" s="5" t="e">
        <f>VLOOKUP(A511,N$3:S$1271,5,FALSE)</f>
        <v>#N/A</v>
      </c>
      <c r="I511" s="6">
        <f t="shared" si="29"/>
        <v>2413.1799999999998</v>
      </c>
      <c r="J511" s="7">
        <f>VLOOKUP(A511,[1]Sheet!B$3:G$2921,6,0)</f>
        <v>5260.73</v>
      </c>
      <c r="K511" s="8" t="e">
        <f t="shared" si="30"/>
        <v>#N/A</v>
      </c>
      <c r="L511" s="6">
        <f t="shared" si="31"/>
        <v>5260.73</v>
      </c>
    </row>
    <row r="512" spans="1:12" x14ac:dyDescent="0.25">
      <c r="A512" s="9" t="s">
        <v>511</v>
      </c>
      <c r="B512" s="2" t="str">
        <f>VLOOKUP(A512,[1]Sheet!B$3:G$2921,2,0)</f>
        <v>Закладення сухе кiнцеве для контрольного
кабеля перерiзом однiєї жили до 2,5 мм2,
кiлькiсть жил до 4</v>
      </c>
      <c r="C512" s="3" t="str">
        <f>VLOOKUP(A512,[1]Sheet!B$3:G$2921,3,0)</f>
        <v>шт</v>
      </c>
      <c r="D512" s="4">
        <v>4</v>
      </c>
      <c r="E512" s="5" t="e">
        <f>VLOOKUP(A512,N$3:S$1271,4,FALSE)</f>
        <v>#N/A</v>
      </c>
      <c r="F512" s="6">
        <f t="shared" si="28"/>
        <v>4</v>
      </c>
      <c r="G512" s="7">
        <f>VLOOKUP(A512,[1]Sheet!B$3:G$2921,5,0)</f>
        <v>164.09</v>
      </c>
      <c r="H512" s="5" t="e">
        <f>VLOOKUP(A512,N$3:S$1271,5,FALSE)</f>
        <v>#N/A</v>
      </c>
      <c r="I512" s="6">
        <f t="shared" si="29"/>
        <v>164.09</v>
      </c>
      <c r="J512" s="7">
        <f>VLOOKUP(A512,[1]Sheet!B$3:G$2921,6,0)</f>
        <v>656.36</v>
      </c>
      <c r="K512" s="8" t="e">
        <f t="shared" si="30"/>
        <v>#N/A</v>
      </c>
      <c r="L512" s="6">
        <f t="shared" si="31"/>
        <v>656.36</v>
      </c>
    </row>
    <row r="513" spans="1:12" x14ac:dyDescent="0.25">
      <c r="A513" s="9" t="s">
        <v>512</v>
      </c>
      <c r="B513" s="2" t="str">
        <f>VLOOKUP(A513,[1]Sheet!B$3:G$2921,2,0)</f>
        <v>Закладення кiнцеве сухе iз застосуванням
бандажуючих муфт для контрольного
кабеля з гумовою або пластмасовою
iзоляцiєю</v>
      </c>
      <c r="C513" s="3" t="str">
        <f>VLOOKUP(A513,[1]Sheet!B$3:G$2921,3,0)</f>
        <v>шт</v>
      </c>
      <c r="D513" s="4">
        <v>2</v>
      </c>
      <c r="E513" s="5" t="e">
        <f>VLOOKUP(A513,N$3:S$1271,4,FALSE)</f>
        <v>#N/A</v>
      </c>
      <c r="F513" s="6">
        <f t="shared" si="28"/>
        <v>2</v>
      </c>
      <c r="G513" s="7">
        <f>VLOOKUP(A513,[1]Sheet!B$3:G$2921,5,0)</f>
        <v>125.4</v>
      </c>
      <c r="H513" s="5" t="e">
        <f>VLOOKUP(A513,N$3:S$1271,5,FALSE)</f>
        <v>#N/A</v>
      </c>
      <c r="I513" s="6">
        <f t="shared" si="29"/>
        <v>125.4</v>
      </c>
      <c r="J513" s="7">
        <f>VLOOKUP(A513,[1]Sheet!B$3:G$2921,6,0)</f>
        <v>250.8</v>
      </c>
      <c r="K513" s="8" t="e">
        <f t="shared" si="30"/>
        <v>#N/A</v>
      </c>
      <c r="L513" s="6">
        <f t="shared" si="31"/>
        <v>250.8</v>
      </c>
    </row>
    <row r="514" spans="1:12" x14ac:dyDescent="0.25">
      <c r="A514" s="9" t="s">
        <v>513</v>
      </c>
      <c r="B514" s="2" t="str">
        <f>VLOOKUP(A514,[1]Sheet!B$3:G$2921,2,0)</f>
        <v>Лоток по установлених конструкцiях,
ширина лотка до 200 мм</v>
      </c>
      <c r="C514" s="3" t="str">
        <f>VLOOKUP(A514,[1]Sheet!B$3:G$2921,3,0)</f>
        <v>100 м</v>
      </c>
      <c r="D514" s="4">
        <v>0.16</v>
      </c>
      <c r="E514" s="5" t="e">
        <f>VLOOKUP(A514,N$3:S$1271,4,FALSE)</f>
        <v>#N/A</v>
      </c>
      <c r="F514" s="6">
        <f t="shared" ref="F514:F577" si="32">IFERROR(D514-E514,D514)</f>
        <v>0.16</v>
      </c>
      <c r="G514" s="7">
        <f>VLOOKUP(A514,[1]Sheet!B$3:G$2921,5,0)</f>
        <v>3119.55</v>
      </c>
      <c r="H514" s="5" t="e">
        <f>VLOOKUP(A514,N$3:S$1271,5,FALSE)</f>
        <v>#N/A</v>
      </c>
      <c r="I514" s="6">
        <f t="shared" ref="I514:I577" si="33">IFERROR(G514-H514,G514)</f>
        <v>3119.55</v>
      </c>
      <c r="J514" s="7">
        <f>VLOOKUP(A514,[1]Sheet!B$3:G$2921,6,0)</f>
        <v>499.13</v>
      </c>
      <c r="K514" s="8" t="e">
        <f t="shared" ref="K514:K577" si="34">VLOOKUP(A514,N$3:S$1271,6,FALSE)</f>
        <v>#N/A</v>
      </c>
      <c r="L514" s="6">
        <f t="shared" ref="L514:L577" si="35">IFERROR(J514-K514,J514)</f>
        <v>499.13</v>
      </c>
    </row>
    <row r="515" spans="1:12" x14ac:dyDescent="0.25">
      <c r="A515" s="9" t="s">
        <v>514</v>
      </c>
      <c r="B515" s="2" t="str">
        <f>VLOOKUP(A515,[1]Sheet!B$3:G$2921,2,0)</f>
        <v>Провiд, що прокладається у лотках,
сумарний перерiз до 6 мм2</v>
      </c>
      <c r="C515" s="3" t="str">
        <f>VLOOKUP(A515,[1]Sheet!B$3:G$2921,3,0)</f>
        <v>100 м</v>
      </c>
      <c r="D515" s="4">
        <v>4.1500000000000004</v>
      </c>
      <c r="E515" s="5" t="e">
        <f>VLOOKUP(A515,N$3:S$1271,4,FALSE)</f>
        <v>#N/A</v>
      </c>
      <c r="F515" s="6">
        <f t="shared" si="32"/>
        <v>4.1500000000000004</v>
      </c>
      <c r="G515" s="7">
        <f>VLOOKUP(A515,[1]Sheet!B$3:G$2921,5,0)</f>
        <v>178.77</v>
      </c>
      <c r="H515" s="5" t="e">
        <f>VLOOKUP(A515,N$3:S$1271,5,FALSE)</f>
        <v>#N/A</v>
      </c>
      <c r="I515" s="6">
        <f t="shared" si="33"/>
        <v>178.77</v>
      </c>
      <c r="J515" s="7">
        <f>VLOOKUP(A515,[1]Sheet!B$3:G$2921,6,0)</f>
        <v>741.9</v>
      </c>
      <c r="K515" s="8" t="e">
        <f t="shared" si="34"/>
        <v>#N/A</v>
      </c>
      <c r="L515" s="6">
        <f t="shared" si="35"/>
        <v>741.9</v>
      </c>
    </row>
    <row r="516" spans="1:12" x14ac:dyDescent="0.25">
      <c r="A516" s="9" t="s">
        <v>515</v>
      </c>
      <c r="B516" s="2" t="str">
        <f>VLOOKUP(A516,[1]Sheet!B$3:G$2921,2,0)</f>
        <v>Кабель дво-, чотирижильний перерiзом
жили до 16 мм2, що прокладається з
крiпленням накладними скобами</v>
      </c>
      <c r="C516" s="3" t="str">
        <f>VLOOKUP(A516,[1]Sheet!B$3:G$2921,3,0)</f>
        <v>100 м</v>
      </c>
      <c r="D516" s="4">
        <v>2.08</v>
      </c>
      <c r="E516" s="5" t="e">
        <f>VLOOKUP(A516,N$3:S$1271,4,FALSE)</f>
        <v>#N/A</v>
      </c>
      <c r="F516" s="6">
        <f t="shared" si="32"/>
        <v>2.08</v>
      </c>
      <c r="G516" s="7">
        <f>VLOOKUP(A516,[1]Sheet!B$3:G$2921,5,0)</f>
        <v>10124.74</v>
      </c>
      <c r="H516" s="5" t="e">
        <f>VLOOKUP(A516,N$3:S$1271,5,FALSE)</f>
        <v>#N/A</v>
      </c>
      <c r="I516" s="6">
        <f t="shared" si="33"/>
        <v>10124.74</v>
      </c>
      <c r="J516" s="7">
        <f>VLOOKUP(A516,[1]Sheet!B$3:G$2921,6,0)</f>
        <v>3442.41</v>
      </c>
      <c r="K516" s="8" t="e">
        <f t="shared" si="34"/>
        <v>#N/A</v>
      </c>
      <c r="L516" s="6">
        <f t="shared" si="35"/>
        <v>3442.41</v>
      </c>
    </row>
    <row r="517" spans="1:12" x14ac:dyDescent="0.25">
      <c r="A517" s="9" t="s">
        <v>516</v>
      </c>
      <c r="B517" s="2" t="str">
        <f>VLOOKUP(A517,[1]Sheet!B$3:G$2921,2,0)</f>
        <v>Провiд, що прокладається по сталевих
конструкцiях i панелях, перерiз до 16 мм2</v>
      </c>
      <c r="C517" s="3" t="str">
        <f>VLOOKUP(A517,[1]Sheet!B$3:G$2921,3,0)</f>
        <v>100 м</v>
      </c>
      <c r="D517" s="4">
        <v>0.5</v>
      </c>
      <c r="E517" s="5" t="e">
        <f>VLOOKUP(A517,N$3:S$1271,4,FALSE)</f>
        <v>#N/A</v>
      </c>
      <c r="F517" s="6">
        <f t="shared" si="32"/>
        <v>0.5</v>
      </c>
      <c r="G517" s="7">
        <f>VLOOKUP(A517,[1]Sheet!B$3:G$2921,5,0)</f>
        <v>4001.82</v>
      </c>
      <c r="H517" s="5" t="e">
        <f>VLOOKUP(A517,N$3:S$1271,5,FALSE)</f>
        <v>#N/A</v>
      </c>
      <c r="I517" s="6">
        <f t="shared" si="33"/>
        <v>4001.82</v>
      </c>
      <c r="J517" s="7">
        <f>VLOOKUP(A517,[1]Sheet!B$3:G$2921,6,0)</f>
        <v>2000.91</v>
      </c>
      <c r="K517" s="8" t="e">
        <f t="shared" si="34"/>
        <v>#N/A</v>
      </c>
      <c r="L517" s="6">
        <f t="shared" si="35"/>
        <v>2000.91</v>
      </c>
    </row>
    <row r="518" spans="1:12" x14ac:dyDescent="0.25">
      <c r="A518" s="9" t="s">
        <v>517</v>
      </c>
      <c r="B518" s="2" t="str">
        <f>VLOOKUP(A518,[1]Sheet!B$3:G$2921,2,0)</f>
        <v>Труба сталева по стiнах з крiпленням
накладними скобами, дiаметр до 25 мм</v>
      </c>
      <c r="C518" s="3" t="str">
        <f>VLOOKUP(A518,[1]Sheet!B$3:G$2921,3,0)</f>
        <v>100 м</v>
      </c>
      <c r="D518" s="4">
        <v>0.08</v>
      </c>
      <c r="E518" s="5" t="e">
        <f>VLOOKUP(A518,N$3:S$1271,4,FALSE)</f>
        <v>#N/A</v>
      </c>
      <c r="F518" s="6">
        <f t="shared" si="32"/>
        <v>0.08</v>
      </c>
      <c r="G518" s="7">
        <f>VLOOKUP(A518,[1]Sheet!B$3:G$2921,5,0)</f>
        <v>9516.02</v>
      </c>
      <c r="H518" s="5" t="e">
        <f>VLOOKUP(A518,N$3:S$1271,5,FALSE)</f>
        <v>#N/A</v>
      </c>
      <c r="I518" s="6">
        <f t="shared" si="33"/>
        <v>9516.02</v>
      </c>
      <c r="J518" s="7">
        <f>VLOOKUP(A518,[1]Sheet!B$3:G$2921,6,0)</f>
        <v>761.28</v>
      </c>
      <c r="K518" s="8" t="e">
        <f t="shared" si="34"/>
        <v>#N/A</v>
      </c>
      <c r="L518" s="6">
        <f t="shared" si="35"/>
        <v>761.28</v>
      </c>
    </row>
    <row r="519" spans="1:12" x14ac:dyDescent="0.25">
      <c r="A519" s="9" t="s">
        <v>518</v>
      </c>
      <c r="B519" s="2" t="str">
        <f>VLOOKUP(A519,[1]Sheet!B$3:G$2921,2,0)</f>
        <v>Монтаж труби гофрированої ПВХ,
дiаметр до 25 мм</v>
      </c>
      <c r="C519" s="3" t="str">
        <f>VLOOKUP(A519,[1]Sheet!B$3:G$2921,3,0)</f>
        <v>100 м</v>
      </c>
      <c r="D519" s="4">
        <v>6.09</v>
      </c>
      <c r="E519" s="5" t="e">
        <f>VLOOKUP(A519,N$3:S$1271,4,FALSE)</f>
        <v>#N/A</v>
      </c>
      <c r="F519" s="6">
        <f t="shared" si="32"/>
        <v>6.09</v>
      </c>
      <c r="G519" s="7">
        <f>VLOOKUP(A519,[1]Sheet!B$3:G$2921,5,0)</f>
        <v>5877.65</v>
      </c>
      <c r="H519" s="5" t="e">
        <f>VLOOKUP(A519,N$3:S$1271,5,FALSE)</f>
        <v>#N/A</v>
      </c>
      <c r="I519" s="6">
        <f t="shared" si="33"/>
        <v>5877.65</v>
      </c>
      <c r="J519" s="7">
        <f>VLOOKUP(A519,[1]Sheet!B$3:G$2921,6,0)</f>
        <v>4760.8999999999996</v>
      </c>
      <c r="K519" s="8" t="e">
        <f t="shared" si="34"/>
        <v>#N/A</v>
      </c>
      <c r="L519" s="6">
        <f t="shared" si="35"/>
        <v>4760.8999999999996</v>
      </c>
    </row>
    <row r="520" spans="1:12" x14ac:dyDescent="0.25">
      <c r="A520" s="9" t="s">
        <v>519</v>
      </c>
      <c r="B520" s="2" t="str">
        <f>VLOOKUP(A520,[1]Sheet!B$3:G$2921,2,0)</f>
        <v>Труба вiнiпластова по стiнах i колонах з
крiпленням накладними скобами, дiаметр
до 50 мм</v>
      </c>
      <c r="C520" s="3" t="str">
        <f>VLOOKUP(A520,[1]Sheet!B$3:G$2921,3,0)</f>
        <v>100 м</v>
      </c>
      <c r="D520" s="4">
        <v>1.76</v>
      </c>
      <c r="E520" s="5" t="e">
        <f>VLOOKUP(A520,N$3:S$1271,4,FALSE)</f>
        <v>#N/A</v>
      </c>
      <c r="F520" s="6">
        <f t="shared" si="32"/>
        <v>1.76</v>
      </c>
      <c r="G520" s="7">
        <f>VLOOKUP(A520,[1]Sheet!B$3:G$2921,5,0)</f>
        <v>11959.71</v>
      </c>
      <c r="H520" s="5" t="e">
        <f>VLOOKUP(A520,N$3:S$1271,5,FALSE)</f>
        <v>#N/A</v>
      </c>
      <c r="I520" s="6">
        <f t="shared" si="33"/>
        <v>11959.71</v>
      </c>
      <c r="J520" s="7">
        <f>VLOOKUP(A520,[1]Sheet!B$3:G$2921,6,0)</f>
        <v>18896.34</v>
      </c>
      <c r="K520" s="8" t="e">
        <f t="shared" si="34"/>
        <v>#N/A</v>
      </c>
      <c r="L520" s="6">
        <f t="shared" si="35"/>
        <v>18896.34</v>
      </c>
    </row>
    <row r="521" spans="1:12" x14ac:dyDescent="0.25">
      <c r="A521" s="9" t="s">
        <v>520</v>
      </c>
      <c r="B521" s="2" t="str">
        <f>VLOOKUP(A521,[1]Sheet!B$3:G$2921,2,0)</f>
        <v>Труба вiнiпластова по стiнах i колонах з
крiпленням накладними скобами, дiаметр
до 63 мм</v>
      </c>
      <c r="C521" s="3" t="str">
        <f>VLOOKUP(A521,[1]Sheet!B$3:G$2921,3,0)</f>
        <v>100 м</v>
      </c>
      <c r="D521" s="4">
        <v>0.26</v>
      </c>
      <c r="E521" s="5" t="e">
        <f>VLOOKUP(A521,N$3:S$1271,4,FALSE)</f>
        <v>#N/A</v>
      </c>
      <c r="F521" s="6">
        <f t="shared" si="32"/>
        <v>0.26</v>
      </c>
      <c r="G521" s="7">
        <f>VLOOKUP(A521,[1]Sheet!B$3:G$2921,5,0)</f>
        <v>13826.69</v>
      </c>
      <c r="H521" s="5" t="e">
        <f>VLOOKUP(A521,N$3:S$1271,5,FALSE)</f>
        <v>#N/A</v>
      </c>
      <c r="I521" s="6">
        <f t="shared" si="33"/>
        <v>13826.69</v>
      </c>
      <c r="J521" s="7">
        <f>VLOOKUP(A521,[1]Sheet!B$3:G$2921,6,0)</f>
        <v>1106.1400000000001</v>
      </c>
      <c r="K521" s="8" t="e">
        <f t="shared" si="34"/>
        <v>#N/A</v>
      </c>
      <c r="L521" s="6">
        <f t="shared" si="35"/>
        <v>1106.1400000000001</v>
      </c>
    </row>
    <row r="522" spans="1:12" x14ac:dyDescent="0.25">
      <c r="A522" s="9" t="s">
        <v>521</v>
      </c>
      <c r="B522" s="2" t="str">
        <f>VLOOKUP(A522,[1]Sheet!B$3:G$2921,2,0)</f>
        <v>Труба вiнiпластова по стелях на
конструкціях, дiаметр до 50 мм</v>
      </c>
      <c r="C522" s="3" t="str">
        <f>VLOOKUP(A522,[1]Sheet!B$3:G$2921,3,0)</f>
        <v>100 м</v>
      </c>
      <c r="D522" s="4">
        <v>5.16</v>
      </c>
      <c r="E522" s="5" t="e">
        <f>VLOOKUP(A522,N$3:S$1271,4,FALSE)</f>
        <v>#N/A</v>
      </c>
      <c r="F522" s="6">
        <f t="shared" si="32"/>
        <v>5.16</v>
      </c>
      <c r="G522" s="7">
        <f>VLOOKUP(A522,[1]Sheet!B$3:G$2921,5,0)</f>
        <v>8552.9</v>
      </c>
      <c r="H522" s="5" t="e">
        <f>VLOOKUP(A522,N$3:S$1271,5,FALSE)</f>
        <v>#N/A</v>
      </c>
      <c r="I522" s="6">
        <f t="shared" si="33"/>
        <v>8552.9</v>
      </c>
      <c r="J522" s="7">
        <f>VLOOKUP(A522,[1]Sheet!B$3:G$2921,6,0)</f>
        <v>37119.589999999997</v>
      </c>
      <c r="K522" s="8" t="e">
        <f t="shared" si="34"/>
        <v>#N/A</v>
      </c>
      <c r="L522" s="6">
        <f t="shared" si="35"/>
        <v>37119.589999999997</v>
      </c>
    </row>
    <row r="523" spans="1:12" x14ac:dyDescent="0.25">
      <c r="A523" s="9" t="s">
        <v>522</v>
      </c>
      <c r="B523" s="2" t="str">
        <f>VLOOKUP(A523,[1]Sheet!B$3:G$2921,2,0)</f>
        <v>Труба вiнiпластова по основi пiдлоги,
дiаметр до 25 мм</v>
      </c>
      <c r="C523" s="3" t="str">
        <f>VLOOKUP(A523,[1]Sheet!B$3:G$2921,3,0)</f>
        <v>100 м</v>
      </c>
      <c r="D523" s="4">
        <v>0.79</v>
      </c>
      <c r="E523" s="5" t="e">
        <f>VLOOKUP(A523,N$3:S$1271,4,FALSE)</f>
        <v>#N/A</v>
      </c>
      <c r="F523" s="6">
        <f t="shared" si="32"/>
        <v>0.79</v>
      </c>
      <c r="G523" s="7">
        <f>VLOOKUP(A523,[1]Sheet!B$3:G$2921,5,0)</f>
        <v>4478.62</v>
      </c>
      <c r="H523" s="5" t="e">
        <f>VLOOKUP(A523,N$3:S$1271,5,FALSE)</f>
        <v>#N/A</v>
      </c>
      <c r="I523" s="6">
        <f t="shared" si="33"/>
        <v>4478.62</v>
      </c>
      <c r="J523" s="7">
        <f>VLOOKUP(A523,[1]Sheet!B$3:G$2921,6,0)</f>
        <v>582.22</v>
      </c>
      <c r="K523" s="8" t="e">
        <f t="shared" si="34"/>
        <v>#N/A</v>
      </c>
      <c r="L523" s="6">
        <f t="shared" si="35"/>
        <v>582.22</v>
      </c>
    </row>
    <row r="524" spans="1:12" x14ac:dyDescent="0.25">
      <c r="A524" s="9" t="s">
        <v>523</v>
      </c>
      <c r="B524" s="2" t="str">
        <f>VLOOKUP(A524,[1]Sheet!B$3:G$2921,2,0)</f>
        <v>Труба вiнiпластова по основi покрівлі,
дiаметр до 50 мм</v>
      </c>
      <c r="C524" s="3" t="str">
        <f>VLOOKUP(A524,[1]Sheet!B$3:G$2921,3,0)</f>
        <v>100 м</v>
      </c>
      <c r="D524" s="4">
        <v>0.59</v>
      </c>
      <c r="E524" s="5" t="e">
        <f>VLOOKUP(A524,N$3:S$1271,4,FALSE)</f>
        <v>#N/A</v>
      </c>
      <c r="F524" s="6">
        <f t="shared" si="32"/>
        <v>0.59</v>
      </c>
      <c r="G524" s="7">
        <f>VLOOKUP(A524,[1]Sheet!B$3:G$2921,5,0)</f>
        <v>5140.3500000000004</v>
      </c>
      <c r="H524" s="5" t="e">
        <f>VLOOKUP(A524,N$3:S$1271,5,FALSE)</f>
        <v>#N/A</v>
      </c>
      <c r="I524" s="6">
        <f t="shared" si="33"/>
        <v>5140.3500000000004</v>
      </c>
      <c r="J524" s="7">
        <f>VLOOKUP(A524,[1]Sheet!B$3:G$2921,6,0)</f>
        <v>3032.81</v>
      </c>
      <c r="K524" s="8" t="e">
        <f t="shared" si="34"/>
        <v>#N/A</v>
      </c>
      <c r="L524" s="6">
        <f t="shared" si="35"/>
        <v>3032.81</v>
      </c>
    </row>
    <row r="525" spans="1:12" x14ac:dyDescent="0.25">
      <c r="A525" s="9" t="s">
        <v>524</v>
      </c>
      <c r="B525" s="2" t="str">
        <f>VLOOKUP(A525,[1]Sheet!B$3:G$2921,2,0)</f>
        <v>Труба вiнiпластова по основi пiдлоги,
дiаметр до 63 мм</v>
      </c>
      <c r="C525" s="3" t="str">
        <f>VLOOKUP(A525,[1]Sheet!B$3:G$2921,3,0)</f>
        <v>100 м</v>
      </c>
      <c r="D525" s="4">
        <v>0.21000000000000002</v>
      </c>
      <c r="E525" s="5" t="e">
        <f>VLOOKUP(A525,N$3:S$1271,4,FALSE)</f>
        <v>#N/A</v>
      </c>
      <c r="F525" s="6">
        <f t="shared" si="32"/>
        <v>0.21000000000000002</v>
      </c>
      <c r="G525" s="7">
        <f>VLOOKUP(A525,[1]Sheet!B$3:G$2921,5,0)</f>
        <v>5803.45</v>
      </c>
      <c r="H525" s="5" t="e">
        <f>VLOOKUP(A525,N$3:S$1271,5,FALSE)</f>
        <v>#N/A</v>
      </c>
      <c r="I525" s="6">
        <f t="shared" si="33"/>
        <v>5803.45</v>
      </c>
      <c r="J525" s="7">
        <f>VLOOKUP(A525,[1]Sheet!B$3:G$2921,6,0)</f>
        <v>580.35</v>
      </c>
      <c r="K525" s="8" t="e">
        <f t="shared" si="34"/>
        <v>#N/A</v>
      </c>
      <c r="L525" s="6">
        <f t="shared" si="35"/>
        <v>580.35</v>
      </c>
    </row>
    <row r="526" spans="1:12" x14ac:dyDescent="0.25">
      <c r="A526" s="9" t="s">
        <v>525</v>
      </c>
      <c r="B526" s="2" t="str">
        <f>VLOOKUP(A526,[1]Sheet!B$3:G$2921,2,0)</f>
        <v>Провiд перший одножильний або
багатожильний у загальному обплетеннi у
прокладених трубах або металорукавах,
сумарний перерiз до 2,5 мм2</v>
      </c>
      <c r="C526" s="3" t="str">
        <f>VLOOKUP(A526,[1]Sheet!B$3:G$2921,3,0)</f>
        <v>100 м</v>
      </c>
      <c r="D526" s="4">
        <v>0.28999999999999998</v>
      </c>
      <c r="E526" s="5" t="e">
        <f>VLOOKUP(A526,N$3:S$1271,4,FALSE)</f>
        <v>#N/A</v>
      </c>
      <c r="F526" s="6">
        <f t="shared" si="32"/>
        <v>0.28999999999999998</v>
      </c>
      <c r="G526" s="7">
        <f>VLOOKUP(A526,[1]Sheet!B$3:G$2921,5,0)</f>
        <v>704.31</v>
      </c>
      <c r="H526" s="5" t="e">
        <f>VLOOKUP(A526,N$3:S$1271,5,FALSE)</f>
        <v>#N/A</v>
      </c>
      <c r="I526" s="6">
        <f t="shared" si="33"/>
        <v>704.31</v>
      </c>
      <c r="J526" s="7">
        <f>VLOOKUP(A526,[1]Sheet!B$3:G$2921,6,0)</f>
        <v>204.25</v>
      </c>
      <c r="K526" s="8" t="e">
        <f t="shared" si="34"/>
        <v>#N/A</v>
      </c>
      <c r="L526" s="6">
        <f t="shared" si="35"/>
        <v>204.25</v>
      </c>
    </row>
    <row r="527" spans="1:12" x14ac:dyDescent="0.25">
      <c r="A527" s="9" t="s">
        <v>526</v>
      </c>
      <c r="B527" s="2" t="str">
        <f>VLOOKUP(A527,[1]Sheet!B$3:G$2921,2,0)</f>
        <v>Кожен наступний провiд одножильний або
багатожильний у загальному обплетеннi у
прокладених трубах або металорукавах,
сумарний перерiз до 35 мм2</v>
      </c>
      <c r="C527" s="3" t="str">
        <f>VLOOKUP(A527,[1]Sheet!B$3:G$2921,3,0)</f>
        <v>100 м</v>
      </c>
      <c r="D527" s="4">
        <v>0.27500000000000002</v>
      </c>
      <c r="E527" s="5" t="e">
        <f>VLOOKUP(A527,N$3:S$1271,4,FALSE)</f>
        <v>#N/A</v>
      </c>
      <c r="F527" s="6">
        <f t="shared" si="32"/>
        <v>0.27500000000000002</v>
      </c>
      <c r="G527" s="7">
        <f>VLOOKUP(A527,[1]Sheet!B$3:G$2921,5,0)</f>
        <v>706.63</v>
      </c>
      <c r="H527" s="5" t="e">
        <f>VLOOKUP(A527,N$3:S$1271,5,FALSE)</f>
        <v>#N/A</v>
      </c>
      <c r="I527" s="6">
        <f t="shared" si="33"/>
        <v>706.63</v>
      </c>
      <c r="J527" s="7">
        <f>VLOOKUP(A527,[1]Sheet!B$3:G$2921,6,0)</f>
        <v>194.32</v>
      </c>
      <c r="K527" s="8" t="e">
        <f t="shared" si="34"/>
        <v>#N/A</v>
      </c>
      <c r="L527" s="6">
        <f t="shared" si="35"/>
        <v>194.32</v>
      </c>
    </row>
    <row r="528" spans="1:12" x14ac:dyDescent="0.25">
      <c r="A528" s="9" t="s">
        <v>527</v>
      </c>
      <c r="B528" s="2" t="str">
        <f>VLOOKUP(A528,[1]Sheet!B$3:G$2921,2,0)</f>
        <v>Провiд перший одножильний або
багатожильний у загальному обплетеннi у
прокладених трубах або металорукавах,
сумарний перерiз до 6 мм2</v>
      </c>
      <c r="C528" s="3" t="str">
        <f>VLOOKUP(A528,[1]Sheet!B$3:G$2921,3,0)</f>
        <v>100 м</v>
      </c>
      <c r="D528" s="4">
        <v>5.08</v>
      </c>
      <c r="E528" s="5" t="e">
        <f>VLOOKUP(A528,N$3:S$1271,4,FALSE)</f>
        <v>#N/A</v>
      </c>
      <c r="F528" s="6">
        <f t="shared" si="32"/>
        <v>5.08</v>
      </c>
      <c r="G528" s="7">
        <f>VLOOKUP(A528,[1]Sheet!B$3:G$2921,5,0)</f>
        <v>817.8</v>
      </c>
      <c r="H528" s="5" t="e">
        <f>VLOOKUP(A528,N$3:S$1271,5,FALSE)</f>
        <v>#N/A</v>
      </c>
      <c r="I528" s="6">
        <f t="shared" si="33"/>
        <v>817.8</v>
      </c>
      <c r="J528" s="7">
        <f>VLOOKUP(A528,[1]Sheet!B$3:G$2921,6,0)</f>
        <v>482.5</v>
      </c>
      <c r="K528" s="8" t="e">
        <f t="shared" si="34"/>
        <v>#N/A</v>
      </c>
      <c r="L528" s="6">
        <f t="shared" si="35"/>
        <v>482.5</v>
      </c>
    </row>
    <row r="529" spans="1:12" x14ac:dyDescent="0.25">
      <c r="A529" s="9" t="s">
        <v>528</v>
      </c>
      <c r="B529" s="2" t="str">
        <f>VLOOKUP(A529,[1]Sheet!B$3:G$2921,2,0)</f>
        <v>Провiд перший одножильний або
багатожильний у загальному обплетеннi у
прокладених трубах або металорукавах,
сумарний перерiз до 16 мм2</v>
      </c>
      <c r="C529" s="3" t="str">
        <f>VLOOKUP(A529,[1]Sheet!B$3:G$2921,3,0)</f>
        <v>100 м</v>
      </c>
      <c r="D529" s="4">
        <v>6.1</v>
      </c>
      <c r="E529" s="5" t="e">
        <f>VLOOKUP(A529,N$3:S$1271,4,FALSE)</f>
        <v>#N/A</v>
      </c>
      <c r="F529" s="6">
        <f t="shared" si="32"/>
        <v>6.1</v>
      </c>
      <c r="G529" s="7">
        <f>VLOOKUP(A529,[1]Sheet!B$3:G$2921,5,0)</f>
        <v>1038.2</v>
      </c>
      <c r="H529" s="5" t="e">
        <f>VLOOKUP(A529,N$3:S$1271,5,FALSE)</f>
        <v>#N/A</v>
      </c>
      <c r="I529" s="6">
        <f t="shared" si="33"/>
        <v>1038.2</v>
      </c>
      <c r="J529" s="7">
        <f>VLOOKUP(A529,[1]Sheet!B$3:G$2921,6,0)</f>
        <v>5419.4</v>
      </c>
      <c r="K529" s="8" t="e">
        <f t="shared" si="34"/>
        <v>#N/A</v>
      </c>
      <c r="L529" s="6">
        <f t="shared" si="35"/>
        <v>5419.4</v>
      </c>
    </row>
    <row r="530" spans="1:12" x14ac:dyDescent="0.25">
      <c r="A530" s="9" t="s">
        <v>529</v>
      </c>
      <c r="B530" s="2" t="str">
        <f>VLOOKUP(A530,[1]Sheet!B$3:G$2921,2,0)</f>
        <v>Провiд перший одножильний або
багатожильний у загальному обплетеннi у
прокладених трубах або металорукавах,
сумарний перерiз до 35 мм2</v>
      </c>
      <c r="C530" s="3" t="str">
        <f>VLOOKUP(A530,[1]Sheet!B$3:G$2921,3,0)</f>
        <v>100 м</v>
      </c>
      <c r="D530" s="4">
        <v>0.63000000000000012</v>
      </c>
      <c r="E530" s="5" t="e">
        <f>VLOOKUP(A530,N$3:S$1271,4,FALSE)</f>
        <v>#N/A</v>
      </c>
      <c r="F530" s="6">
        <f t="shared" si="32"/>
        <v>0.63000000000000012</v>
      </c>
      <c r="G530" s="7">
        <f>VLOOKUP(A530,[1]Sheet!B$3:G$2921,5,0)</f>
        <v>1377.98</v>
      </c>
      <c r="H530" s="5" t="e">
        <f>VLOOKUP(A530,N$3:S$1271,5,FALSE)</f>
        <v>#N/A</v>
      </c>
      <c r="I530" s="6">
        <f t="shared" si="33"/>
        <v>1377.98</v>
      </c>
      <c r="J530" s="7">
        <f>VLOOKUP(A530,[1]Sheet!B$3:G$2921,6,0)</f>
        <v>41.34</v>
      </c>
      <c r="K530" s="8" t="e">
        <f t="shared" si="34"/>
        <v>#N/A</v>
      </c>
      <c r="L530" s="6">
        <f t="shared" si="35"/>
        <v>41.34</v>
      </c>
    </row>
    <row r="531" spans="1:12" x14ac:dyDescent="0.25">
      <c r="A531" s="9" t="s">
        <v>530</v>
      </c>
      <c r="B531" s="2" t="str">
        <f>VLOOKUP(A531,[1]Sheet!B$3:G$2921,2,0)</f>
        <v>Провiд перший одножильний або
багатожильний у загальному обплетеннi у
прокладених трубах або металорукавах,
сумарний перерiз до 70 мм2</v>
      </c>
      <c r="C531" s="3" t="str">
        <f>VLOOKUP(A531,[1]Sheet!B$3:G$2921,3,0)</f>
        <v>100 м</v>
      </c>
      <c r="D531" s="4">
        <v>0.68</v>
      </c>
      <c r="E531" s="5" t="e">
        <f>VLOOKUP(A531,N$3:S$1271,4,FALSE)</f>
        <v>#N/A</v>
      </c>
      <c r="F531" s="6">
        <f t="shared" si="32"/>
        <v>0.68</v>
      </c>
      <c r="G531" s="7">
        <f>VLOOKUP(A531,[1]Sheet!B$3:G$2921,5,0)</f>
        <v>1882.48</v>
      </c>
      <c r="H531" s="5" t="e">
        <f>VLOOKUP(A531,N$3:S$1271,5,FALSE)</f>
        <v>#N/A</v>
      </c>
      <c r="I531" s="6">
        <f t="shared" si="33"/>
        <v>1882.48</v>
      </c>
      <c r="J531" s="7">
        <f>VLOOKUP(A531,[1]Sheet!B$3:G$2921,6,0)</f>
        <v>1280.0899999999999</v>
      </c>
      <c r="K531" s="8" t="e">
        <f t="shared" si="34"/>
        <v>#N/A</v>
      </c>
      <c r="L531" s="6">
        <f t="shared" si="35"/>
        <v>1280.0899999999999</v>
      </c>
    </row>
    <row r="532" spans="1:12" x14ac:dyDescent="0.25">
      <c r="A532" s="9" t="s">
        <v>531</v>
      </c>
      <c r="B532" s="2" t="str">
        <f>VLOOKUP(A532,[1]Sheet!B$3:G$2921,2,0)</f>
        <v>Кожен наступний провiд одножильний або
багатожильний у загальному обплетеннi у
прокладених трубах або металорукавах,
сумарний перерiз до 6 мм2</v>
      </c>
      <c r="C532" s="3" t="str">
        <f>VLOOKUP(A532,[1]Sheet!B$3:G$2921,3,0)</f>
        <v>100 м</v>
      </c>
      <c r="D532" s="4">
        <v>1.675</v>
      </c>
      <c r="E532" s="5" t="e">
        <f>VLOOKUP(A532,N$3:S$1271,4,FALSE)</f>
        <v>#N/A</v>
      </c>
      <c r="F532" s="6">
        <f t="shared" si="32"/>
        <v>1.675</v>
      </c>
      <c r="G532" s="7">
        <f>VLOOKUP(A532,[1]Sheet!B$3:G$2921,5,0)</f>
        <v>369.1</v>
      </c>
      <c r="H532" s="5" t="e">
        <f>VLOOKUP(A532,N$3:S$1271,5,FALSE)</f>
        <v>#N/A</v>
      </c>
      <c r="I532" s="6">
        <f t="shared" si="33"/>
        <v>369.1</v>
      </c>
      <c r="J532" s="7">
        <f>VLOOKUP(A532,[1]Sheet!B$3:G$2921,6,0)</f>
        <v>365.41</v>
      </c>
      <c r="K532" s="8" t="e">
        <f t="shared" si="34"/>
        <v>#N/A</v>
      </c>
      <c r="L532" s="6">
        <f t="shared" si="35"/>
        <v>365.41</v>
      </c>
    </row>
    <row r="533" spans="1:12" x14ac:dyDescent="0.25">
      <c r="A533" s="9" t="s">
        <v>532</v>
      </c>
      <c r="B533" s="2" t="str">
        <f>VLOOKUP(A533,[1]Sheet!B$3:G$2921,2,0)</f>
        <v>Заземлювач вертикальний з круглої сталi
дiаметром 16 мм</v>
      </c>
      <c r="C533" s="3" t="str">
        <f>VLOOKUP(A533,[1]Sheet!B$3:G$2921,3,0)</f>
        <v>10 шт</v>
      </c>
      <c r="D533" s="4">
        <v>3.6</v>
      </c>
      <c r="E533" s="5" t="e">
        <f>VLOOKUP(A533,N$3:S$1271,4,FALSE)</f>
        <v>#N/A</v>
      </c>
      <c r="F533" s="6">
        <f t="shared" si="32"/>
        <v>3.6</v>
      </c>
      <c r="G533" s="7">
        <f>VLOOKUP(A533,[1]Sheet!B$3:G$2921,5,0)</f>
        <v>2866.74</v>
      </c>
      <c r="H533" s="5" t="e">
        <f>VLOOKUP(A533,N$3:S$1271,5,FALSE)</f>
        <v>#N/A</v>
      </c>
      <c r="I533" s="6">
        <f t="shared" si="33"/>
        <v>2866.74</v>
      </c>
      <c r="J533" s="7">
        <f>VLOOKUP(A533,[1]Sheet!B$3:G$2921,6,0)</f>
        <v>10320.26</v>
      </c>
      <c r="K533" s="8" t="e">
        <f t="shared" si="34"/>
        <v>#N/A</v>
      </c>
      <c r="L533" s="6">
        <f t="shared" si="35"/>
        <v>10320.26</v>
      </c>
    </row>
    <row r="534" spans="1:12" x14ac:dyDescent="0.25">
      <c r="A534" s="9" t="s">
        <v>533</v>
      </c>
      <c r="B534" s="2" t="str">
        <f>VLOOKUP(A534,[1]Sheet!B$3:G$2921,2,0)</f>
        <v>Заземлювач горизонтальний у траншеї зi
сталi штабової, перерiз 160 мм2</v>
      </c>
      <c r="C534" s="3" t="str">
        <f>VLOOKUP(A534,[1]Sheet!B$3:G$2921,3,0)</f>
        <v>100 м</v>
      </c>
      <c r="D534" s="4">
        <v>0.33999999999999997</v>
      </c>
      <c r="E534" s="5" t="e">
        <f>VLOOKUP(A534,N$3:S$1271,4,FALSE)</f>
        <v>#N/A</v>
      </c>
      <c r="F534" s="6">
        <f t="shared" si="32"/>
        <v>0.33999999999999997</v>
      </c>
      <c r="G534" s="7">
        <f>VLOOKUP(A534,[1]Sheet!B$3:G$2921,5,0)</f>
        <v>1868.33</v>
      </c>
      <c r="H534" s="5" t="e">
        <f>VLOOKUP(A534,N$3:S$1271,5,FALSE)</f>
        <v>#N/A</v>
      </c>
      <c r="I534" s="6">
        <f t="shared" si="33"/>
        <v>1868.33</v>
      </c>
      <c r="J534" s="7">
        <f>VLOOKUP(A534,[1]Sheet!B$3:G$2921,6,0)</f>
        <v>280.25</v>
      </c>
      <c r="K534" s="8" t="e">
        <f t="shared" si="34"/>
        <v>#N/A</v>
      </c>
      <c r="L534" s="6">
        <f t="shared" si="35"/>
        <v>280.25</v>
      </c>
    </row>
    <row r="535" spans="1:12" x14ac:dyDescent="0.25">
      <c r="A535" s="9" t="s">
        <v>534</v>
      </c>
      <c r="B535" s="2" t="str">
        <f>VLOOKUP(A535,[1]Sheet!B$3:G$2921,2,0)</f>
        <v>Провiдник заземлюючий приховано у
пiдливцi пiдлоги зi штабової сталi
перерiзом 100 мм2</v>
      </c>
      <c r="C535" s="3" t="str">
        <f>VLOOKUP(A535,[1]Sheet!B$3:G$2921,3,0)</f>
        <v>100 м</v>
      </c>
      <c r="D535" s="4">
        <v>0.26</v>
      </c>
      <c r="E535" s="5" t="e">
        <f>VLOOKUP(A535,N$3:S$1271,4,FALSE)</f>
        <v>#N/A</v>
      </c>
      <c r="F535" s="6">
        <f t="shared" si="32"/>
        <v>0.26</v>
      </c>
      <c r="G535" s="7">
        <f>VLOOKUP(A535,[1]Sheet!B$3:G$2921,5,0)</f>
        <v>2021.01</v>
      </c>
      <c r="H535" s="5" t="e">
        <f>VLOOKUP(A535,N$3:S$1271,5,FALSE)</f>
        <v>#N/A</v>
      </c>
      <c r="I535" s="6">
        <f t="shared" si="33"/>
        <v>2021.01</v>
      </c>
      <c r="J535" s="7">
        <f>VLOOKUP(A535,[1]Sheet!B$3:G$2921,6,0)</f>
        <v>525.46</v>
      </c>
      <c r="K535" s="8" t="e">
        <f t="shared" si="34"/>
        <v>#N/A</v>
      </c>
      <c r="L535" s="6">
        <f t="shared" si="35"/>
        <v>525.46</v>
      </c>
    </row>
    <row r="536" spans="1:12" x14ac:dyDescent="0.25">
      <c r="A536" s="9" t="s">
        <v>535</v>
      </c>
      <c r="B536" s="2" t="str">
        <f>VLOOKUP(A536,[1]Sheet!B$3:G$2921,2,0)</f>
        <v>Провiдник заземлюючий приховано у
пiдливцi пiдлоги з круглої сталi дiаметром
16 мм</v>
      </c>
      <c r="C536" s="3" t="str">
        <f>VLOOKUP(A536,[1]Sheet!B$3:G$2921,3,0)</f>
        <v>100 м</v>
      </c>
      <c r="D536" s="4">
        <v>1.47</v>
      </c>
      <c r="E536" s="5" t="e">
        <f>VLOOKUP(A536,N$3:S$1271,4,FALSE)</f>
        <v>#N/A</v>
      </c>
      <c r="F536" s="6">
        <f t="shared" si="32"/>
        <v>1.47</v>
      </c>
      <c r="G536" s="7">
        <f>VLOOKUP(A536,[1]Sheet!B$3:G$2921,5,0)</f>
        <v>2212.25</v>
      </c>
      <c r="H536" s="5" t="e">
        <f>VLOOKUP(A536,N$3:S$1271,5,FALSE)</f>
        <v>#N/A</v>
      </c>
      <c r="I536" s="6">
        <f t="shared" si="33"/>
        <v>2212.25</v>
      </c>
      <c r="J536" s="7">
        <f>VLOOKUP(A536,[1]Sheet!B$3:G$2921,6,0)</f>
        <v>3252.01</v>
      </c>
      <c r="K536" s="8" t="e">
        <f t="shared" si="34"/>
        <v>#N/A</v>
      </c>
      <c r="L536" s="6">
        <f t="shared" si="35"/>
        <v>3252.01</v>
      </c>
    </row>
    <row r="537" spans="1:12" x14ac:dyDescent="0.25">
      <c r="A537" s="9" t="s">
        <v>536</v>
      </c>
      <c r="B537" s="2" t="str">
        <f>VLOOKUP(A537,[1]Sheet!B$3:G$2921,2,0)</f>
        <v>Пост керування кнопковий загального
призначення, що установлюється на
конструкцiї на стiнi або колонi, кiлькiсть
елементiв поста до 3</v>
      </c>
      <c r="C537" s="3" t="str">
        <f>VLOOKUP(A537,[1]Sheet!B$3:G$2921,3,0)</f>
        <v>шт</v>
      </c>
      <c r="D537" s="4">
        <v>2</v>
      </c>
      <c r="E537" s="5" t="e">
        <f>VLOOKUP(A537,N$3:S$1271,4,FALSE)</f>
        <v>#N/A</v>
      </c>
      <c r="F537" s="6">
        <f t="shared" si="32"/>
        <v>2</v>
      </c>
      <c r="G537" s="7">
        <f>VLOOKUP(A537,[1]Sheet!B$3:G$2921,5,0)</f>
        <v>246.29</v>
      </c>
      <c r="H537" s="5" t="e">
        <f>VLOOKUP(A537,N$3:S$1271,5,FALSE)</f>
        <v>#N/A</v>
      </c>
      <c r="I537" s="6">
        <f t="shared" si="33"/>
        <v>246.29</v>
      </c>
      <c r="J537" s="7">
        <f>VLOOKUP(A537,[1]Sheet!B$3:G$2921,6,0)</f>
        <v>246.29</v>
      </c>
      <c r="K537" s="8" t="e">
        <f t="shared" si="34"/>
        <v>#N/A</v>
      </c>
      <c r="L537" s="6">
        <f t="shared" si="35"/>
        <v>246.29</v>
      </c>
    </row>
    <row r="538" spans="1:12" x14ac:dyDescent="0.25">
      <c r="A538" s="9" t="s">
        <v>537</v>
      </c>
      <c r="B538" s="2" t="str">
        <f>VLOOKUP(A538,[1]Sheet!B$3:G$2921,2,0)</f>
        <v>Коробка [ящик] iз затискачами для
проводiв i кабелiв перерiзом жил до 6 мм2,
що установлюється на конструкцiї на
стiнi або колонi, кiлькiсть затискачiв у
коробцi до 10</v>
      </c>
      <c r="C538" s="3" t="str">
        <f>VLOOKUP(A538,[1]Sheet!B$3:G$2921,3,0)</f>
        <v>шт</v>
      </c>
      <c r="D538" s="4">
        <v>7</v>
      </c>
      <c r="E538" s="5" t="e">
        <f>VLOOKUP(A538,N$3:S$1271,4,FALSE)</f>
        <v>#N/A</v>
      </c>
      <c r="F538" s="6">
        <f t="shared" si="32"/>
        <v>7</v>
      </c>
      <c r="G538" s="7">
        <f>VLOOKUP(A538,[1]Sheet!B$3:G$2921,5,0)</f>
        <v>525.41999999999996</v>
      </c>
      <c r="H538" s="5" t="e">
        <f>VLOOKUP(A538,N$3:S$1271,5,FALSE)</f>
        <v>#N/A</v>
      </c>
      <c r="I538" s="6">
        <f t="shared" si="33"/>
        <v>525.41999999999996</v>
      </c>
      <c r="J538" s="7">
        <f>VLOOKUP(A538,[1]Sheet!B$3:G$2921,6,0)</f>
        <v>525.41999999999996</v>
      </c>
      <c r="K538" s="8" t="e">
        <f t="shared" si="34"/>
        <v>#N/A</v>
      </c>
      <c r="L538" s="6">
        <f t="shared" si="35"/>
        <v>525.41999999999996</v>
      </c>
    </row>
    <row r="539" spans="1:12" x14ac:dyDescent="0.25">
      <c r="A539" s="9" t="s">
        <v>538</v>
      </c>
      <c r="B539" s="2" t="str">
        <f>VLOOKUP(A539,[1]Sheet!B$3:G$2921,2,0)</f>
        <v>Коробка [ящик] iз затискачами для
проводiв i кабелiв перерiзом жил до 6 мм2,
що установлюється на конструкцiї на
стiнi або колонi, кiлькiсть затискачiв у
коробцi до 20</v>
      </c>
      <c r="C539" s="3" t="str">
        <f>VLOOKUP(A539,[1]Sheet!B$3:G$2921,3,0)</f>
        <v>шт</v>
      </c>
      <c r="D539" s="4">
        <v>2</v>
      </c>
      <c r="E539" s="5" t="e">
        <f>VLOOKUP(A539,N$3:S$1271,4,FALSE)</f>
        <v>#N/A</v>
      </c>
      <c r="F539" s="6">
        <f t="shared" si="32"/>
        <v>2</v>
      </c>
      <c r="G539" s="7">
        <f>VLOOKUP(A539,[1]Sheet!B$3:G$2921,5,0)</f>
        <v>778.21</v>
      </c>
      <c r="H539" s="5" t="e">
        <f>VLOOKUP(A539,N$3:S$1271,5,FALSE)</f>
        <v>#N/A</v>
      </c>
      <c r="I539" s="6">
        <f t="shared" si="33"/>
        <v>778.21</v>
      </c>
      <c r="J539" s="7">
        <f>VLOOKUP(A539,[1]Sheet!B$3:G$2921,6,0)</f>
        <v>778.21</v>
      </c>
      <c r="K539" s="8" t="e">
        <f t="shared" si="34"/>
        <v>#N/A</v>
      </c>
      <c r="L539" s="6">
        <f t="shared" si="35"/>
        <v>778.21</v>
      </c>
    </row>
    <row r="540" spans="1:12" x14ac:dyDescent="0.25">
      <c r="A540" s="9" t="s">
        <v>539</v>
      </c>
      <c r="B540" s="2" t="str">
        <f>VLOOKUP(A540,[1]Sheet!B$3:G$2921,2,0)</f>
        <v>Установлення приладiв або апаратiв,
знятих перед транспортуванням</v>
      </c>
      <c r="C540" s="3" t="str">
        <f>VLOOKUP(A540,[1]Sheet!B$3:G$2921,3,0)</f>
        <v>шт</v>
      </c>
      <c r="D540" s="4">
        <v>66</v>
      </c>
      <c r="E540" s="5" t="e">
        <f>VLOOKUP(A540,N$3:S$1271,4,FALSE)</f>
        <v>#N/A</v>
      </c>
      <c r="F540" s="6">
        <f t="shared" si="32"/>
        <v>66</v>
      </c>
      <c r="G540" s="7">
        <f>VLOOKUP(A540,[1]Sheet!B$3:G$2921,5,0)</f>
        <v>117.29</v>
      </c>
      <c r="H540" s="5" t="e">
        <f>VLOOKUP(A540,N$3:S$1271,5,FALSE)</f>
        <v>#N/A</v>
      </c>
      <c r="I540" s="6">
        <f t="shared" si="33"/>
        <v>117.29</v>
      </c>
      <c r="J540" s="7">
        <f>VLOOKUP(A540,[1]Sheet!B$3:G$2921,6,0)</f>
        <v>1172.9000000000001</v>
      </c>
      <c r="K540" s="8" t="e">
        <f t="shared" si="34"/>
        <v>#N/A</v>
      </c>
      <c r="L540" s="6">
        <f t="shared" si="35"/>
        <v>1172.9000000000001</v>
      </c>
    </row>
    <row r="541" spans="1:12" x14ac:dyDescent="0.25">
      <c r="A541" s="9" t="s">
        <v>540</v>
      </c>
      <c r="B541" s="2" t="str">
        <f>VLOOKUP(A541,[1]Sheet!B$3:G$2921,2,0)</f>
        <v>Вимикач одноклавiшний заглибленого
типу при схованiй проводцi</v>
      </c>
      <c r="C541" s="3" t="str">
        <f>VLOOKUP(A541,[1]Sheet!B$3:G$2921,3,0)</f>
        <v>100 шт</v>
      </c>
      <c r="D541" s="4">
        <v>0.02</v>
      </c>
      <c r="E541" s="5" t="e">
        <f>VLOOKUP(A541,N$3:S$1271,4,FALSE)</f>
        <v>#N/A</v>
      </c>
      <c r="F541" s="6">
        <f t="shared" si="32"/>
        <v>0.02</v>
      </c>
      <c r="G541" s="7">
        <f>VLOOKUP(A541,[1]Sheet!B$3:G$2921,5,0)</f>
        <v>5819.04</v>
      </c>
      <c r="H541" s="5" t="e">
        <f>VLOOKUP(A541,N$3:S$1271,5,FALSE)</f>
        <v>#N/A</v>
      </c>
      <c r="I541" s="6">
        <f t="shared" si="33"/>
        <v>5819.04</v>
      </c>
      <c r="J541" s="7">
        <f>VLOOKUP(A541,[1]Sheet!B$3:G$2921,6,0)</f>
        <v>116.38</v>
      </c>
      <c r="K541" s="8" t="e">
        <f t="shared" si="34"/>
        <v>#N/A</v>
      </c>
      <c r="L541" s="6">
        <f t="shared" si="35"/>
        <v>116.38</v>
      </c>
    </row>
    <row r="542" spans="1:12" x14ac:dyDescent="0.25">
      <c r="A542" s="9" t="s">
        <v>541</v>
      </c>
      <c r="B542" s="2" t="str">
        <f>VLOOKUP(A542,[1]Sheet!B$3:G$2921,2,0)</f>
        <v>Вимикач двоклавiшний заглибленого типу
при схованiй проводцi</v>
      </c>
      <c r="C542" s="3" t="str">
        <f>VLOOKUP(A542,[1]Sheet!B$3:G$2921,3,0)</f>
        <v>100 шт</v>
      </c>
      <c r="D542" s="4">
        <v>0.03</v>
      </c>
      <c r="E542" s="5" t="e">
        <f>VLOOKUP(A542,N$3:S$1271,4,FALSE)</f>
        <v>#N/A</v>
      </c>
      <c r="F542" s="6">
        <f t="shared" si="32"/>
        <v>0.03</v>
      </c>
      <c r="G542" s="7">
        <f>VLOOKUP(A542,[1]Sheet!B$3:G$2921,5,0)</f>
        <v>5819.04</v>
      </c>
      <c r="H542" s="5" t="e">
        <f>VLOOKUP(A542,N$3:S$1271,5,FALSE)</f>
        <v>#N/A</v>
      </c>
      <c r="I542" s="6">
        <f t="shared" si="33"/>
        <v>5819.04</v>
      </c>
      <c r="J542" s="7">
        <f>VLOOKUP(A542,[1]Sheet!B$3:G$2921,6,0)</f>
        <v>174.57</v>
      </c>
      <c r="K542" s="8" t="e">
        <f t="shared" si="34"/>
        <v>#N/A</v>
      </c>
      <c r="L542" s="6">
        <f t="shared" si="35"/>
        <v>174.57</v>
      </c>
    </row>
    <row r="543" spans="1:12" x14ac:dyDescent="0.25">
      <c r="A543" s="9" t="s">
        <v>542</v>
      </c>
      <c r="B543" s="2" t="str">
        <f>VLOOKUP(A543,[1]Sheet!B$3:G$2921,2,0)</f>
        <v>Розетка штепсельна заглибленого типу
при схованiй проводцi</v>
      </c>
      <c r="C543" s="3" t="str">
        <f>VLOOKUP(A543,[1]Sheet!B$3:G$2921,3,0)</f>
        <v>100 шт</v>
      </c>
      <c r="D543" s="4">
        <v>0.47</v>
      </c>
      <c r="E543" s="5" t="e">
        <f>VLOOKUP(A543,N$3:S$1271,4,FALSE)</f>
        <v>#N/A</v>
      </c>
      <c r="F543" s="6">
        <f t="shared" si="32"/>
        <v>0.47</v>
      </c>
      <c r="G543" s="7">
        <f>VLOOKUP(A543,[1]Sheet!B$3:G$2921,5,0)</f>
        <v>6400.88</v>
      </c>
      <c r="H543" s="5" t="e">
        <f>VLOOKUP(A543,N$3:S$1271,5,FALSE)</f>
        <v>#N/A</v>
      </c>
      <c r="I543" s="6">
        <f t="shared" si="33"/>
        <v>6400.88</v>
      </c>
      <c r="J543" s="7">
        <f>VLOOKUP(A543,[1]Sheet!B$3:G$2921,6,0)</f>
        <v>3008.41</v>
      </c>
      <c r="K543" s="8" t="e">
        <f t="shared" si="34"/>
        <v>#N/A</v>
      </c>
      <c r="L543" s="6">
        <f t="shared" si="35"/>
        <v>3008.41</v>
      </c>
    </row>
    <row r="544" spans="1:12" x14ac:dyDescent="0.25">
      <c r="A544" s="9" t="s">
        <v>543</v>
      </c>
      <c r="B544" s="2" t="str">
        <f>VLOOKUP(A544,[1]Sheet!B$3:G$2921,2,0)</f>
        <v>Щиток освiтлювальний, що
установлюється розпiрними дюбелями на
стiнi, маса щитка до 6 кг</v>
      </c>
      <c r="C544" s="3" t="str">
        <f>VLOOKUP(A544,[1]Sheet!B$3:G$2921,3,0)</f>
        <v>шт</v>
      </c>
      <c r="D544" s="4">
        <v>2</v>
      </c>
      <c r="E544" s="5" t="e">
        <f>VLOOKUP(A544,N$3:S$1271,4,FALSE)</f>
        <v>#N/A</v>
      </c>
      <c r="F544" s="6">
        <f t="shared" si="32"/>
        <v>2</v>
      </c>
      <c r="G544" s="7">
        <f>VLOOKUP(A544,[1]Sheet!B$3:G$2921,5,0)</f>
        <v>1109.8800000000001</v>
      </c>
      <c r="H544" s="5" t="e">
        <f>VLOOKUP(A544,N$3:S$1271,5,FALSE)</f>
        <v>#N/A</v>
      </c>
      <c r="I544" s="6">
        <f t="shared" si="33"/>
        <v>1109.8800000000001</v>
      </c>
      <c r="J544" s="7">
        <f>VLOOKUP(A544,[1]Sheet!B$3:G$2921,6,0)</f>
        <v>2219.7600000000002</v>
      </c>
      <c r="K544" s="8" t="e">
        <f t="shared" si="34"/>
        <v>#N/A</v>
      </c>
      <c r="L544" s="6">
        <f t="shared" si="35"/>
        <v>2219.7600000000002</v>
      </c>
    </row>
    <row r="545" spans="1:12" x14ac:dyDescent="0.25">
      <c r="A545" s="9" t="s">
        <v>544</v>
      </c>
      <c r="B545" s="2" t="str">
        <f>VLOOKUP(A545,[1]Sheet!B$3:G$2921,2,0)</f>
        <v>Лiчильник трифазний, що
установлюється на готовiй основi</v>
      </c>
      <c r="C545" s="3" t="str">
        <f>VLOOKUP(A545,[1]Sheet!B$3:G$2921,3,0)</f>
        <v>шт</v>
      </c>
      <c r="D545" s="4">
        <v>1</v>
      </c>
      <c r="E545" s="5" t="e">
        <f>VLOOKUP(A545,N$3:S$1271,4,FALSE)</f>
        <v>#N/A</v>
      </c>
      <c r="F545" s="6">
        <f t="shared" si="32"/>
        <v>1</v>
      </c>
      <c r="G545" s="7">
        <f>VLOOKUP(A545,[1]Sheet!B$3:G$2921,5,0)</f>
        <v>128.35</v>
      </c>
      <c r="H545" s="5" t="e">
        <f>VLOOKUP(A545,N$3:S$1271,5,FALSE)</f>
        <v>#N/A</v>
      </c>
      <c r="I545" s="6">
        <f t="shared" si="33"/>
        <v>128.35</v>
      </c>
      <c r="J545" s="7">
        <f>VLOOKUP(A545,[1]Sheet!B$3:G$2921,6,0)</f>
        <v>128.35</v>
      </c>
      <c r="K545" s="8" t="e">
        <f t="shared" si="34"/>
        <v>#N/A</v>
      </c>
      <c r="L545" s="6">
        <f t="shared" si="35"/>
        <v>128.35</v>
      </c>
    </row>
    <row r="546" spans="1:12" x14ac:dyDescent="0.25">
      <c r="A546" s="9" t="s">
        <v>545</v>
      </c>
      <c r="B546" s="2" t="str">
        <f>VLOOKUP(A546,[1]Sheet!B$3:G$2921,2,0)</f>
        <v>Прилад вимiрювання i захисту, кiлькiсть
кiнцiв, що пiдключаються, до 2</v>
      </c>
      <c r="C546" s="3" t="str">
        <f>VLOOKUP(A546,[1]Sheet!B$3:G$2921,3,0)</f>
        <v>шт</v>
      </c>
      <c r="D546" s="4">
        <v>14</v>
      </c>
      <c r="E546" s="5" t="e">
        <f>VLOOKUP(A546,N$3:S$1271,4,FALSE)</f>
        <v>#N/A</v>
      </c>
      <c r="F546" s="6">
        <f t="shared" si="32"/>
        <v>14</v>
      </c>
      <c r="G546" s="7">
        <f>VLOOKUP(A546,[1]Sheet!B$3:G$2921,5,0)</f>
        <v>115.16</v>
      </c>
      <c r="H546" s="5" t="e">
        <f>VLOOKUP(A546,N$3:S$1271,5,FALSE)</f>
        <v>#N/A</v>
      </c>
      <c r="I546" s="6">
        <f t="shared" si="33"/>
        <v>115.16</v>
      </c>
      <c r="J546" s="7">
        <f>VLOOKUP(A546,[1]Sheet!B$3:G$2921,6,0)</f>
        <v>1151.5999999999999</v>
      </c>
      <c r="K546" s="8" t="e">
        <f t="shared" si="34"/>
        <v>#N/A</v>
      </c>
      <c r="L546" s="6">
        <f t="shared" si="35"/>
        <v>1151.5999999999999</v>
      </c>
    </row>
    <row r="547" spans="1:12" x14ac:dyDescent="0.25">
      <c r="A547" s="9" t="s">
        <v>546</v>
      </c>
      <c r="B547" s="2" t="str">
        <f>VLOOKUP(A547,[1]Sheet!B$3:G$2921,2,0)</f>
        <v>Апарат керування i сигналiзацiї, кiлькiсть
кiнцiв, що пiдключаються, до 2</v>
      </c>
      <c r="C547" s="3" t="str">
        <f>VLOOKUP(A547,[1]Sheet!B$3:G$2921,3,0)</f>
        <v>шт</v>
      </c>
      <c r="D547" s="4">
        <v>21</v>
      </c>
      <c r="E547" s="5" t="e">
        <f>VLOOKUP(A547,N$3:S$1271,4,FALSE)</f>
        <v>#N/A</v>
      </c>
      <c r="F547" s="6">
        <f t="shared" si="32"/>
        <v>21</v>
      </c>
      <c r="G547" s="7">
        <f>VLOOKUP(A547,[1]Sheet!B$3:G$2921,5,0)</f>
        <v>116.08</v>
      </c>
      <c r="H547" s="5" t="e">
        <f>VLOOKUP(A547,N$3:S$1271,5,FALSE)</f>
        <v>#N/A</v>
      </c>
      <c r="I547" s="6">
        <f t="shared" si="33"/>
        <v>116.08</v>
      </c>
      <c r="J547" s="7">
        <f>VLOOKUP(A547,[1]Sheet!B$3:G$2921,6,0)</f>
        <v>1741.2</v>
      </c>
      <c r="K547" s="8" t="e">
        <f t="shared" si="34"/>
        <v>#N/A</v>
      </c>
      <c r="L547" s="6">
        <f t="shared" si="35"/>
        <v>1741.2</v>
      </c>
    </row>
    <row r="548" spans="1:12" x14ac:dyDescent="0.25">
      <c r="A548" s="9" t="s">
        <v>547</v>
      </c>
      <c r="B548" s="2" t="str">
        <f>VLOOKUP(A548,[1]Sheet!B$3:G$2921,2,0)</f>
        <v>Демонтаж самоутримних ізольованих
проводів напругою від 0,4 кВ до 1 кВ з
використанням автогідропідіймача</v>
      </c>
      <c r="C548" s="3" t="str">
        <f>VLOOKUP(A548,[1]Sheet!B$3:G$2921,3,0)</f>
        <v>100 м</v>
      </c>
      <c r="D548" s="4">
        <v>0.9</v>
      </c>
      <c r="E548" s="5" t="e">
        <f>VLOOKUP(A548,N$3:S$1271,4,FALSE)</f>
        <v>#N/A</v>
      </c>
      <c r="F548" s="6">
        <f t="shared" si="32"/>
        <v>0.9</v>
      </c>
      <c r="G548" s="7">
        <f>VLOOKUP(A548,[1]Sheet!B$3:G$2921,5,0)</f>
        <v>2147.86</v>
      </c>
      <c r="H548" s="5" t="e">
        <f>VLOOKUP(A548,N$3:S$1271,5,FALSE)</f>
        <v>#N/A</v>
      </c>
      <c r="I548" s="6">
        <f t="shared" si="33"/>
        <v>2147.86</v>
      </c>
      <c r="J548" s="7">
        <f>VLOOKUP(A548,[1]Sheet!B$3:G$2921,6,0)</f>
        <v>1933.07</v>
      </c>
      <c r="K548" s="8" t="e">
        <f t="shared" si="34"/>
        <v>#N/A</v>
      </c>
      <c r="L548" s="6">
        <f t="shared" si="35"/>
        <v>1933.07</v>
      </c>
    </row>
    <row r="549" spans="1:12" x14ac:dyDescent="0.25">
      <c r="A549" s="9" t="s">
        <v>548</v>
      </c>
      <c r="B549" s="2" t="str">
        <f>VLOOKUP(A549,[1]Sheet!B$3:G$2921,2,0)</f>
        <v>Пристрої, що заземлюють. Вимірювання
опору розтіканню струму контуру з
діагоналлю до 200 м (горизонтальний
контур заземлення- провідник плоский 30х3,
5)</v>
      </c>
      <c r="C549" s="3" t="str">
        <f>VLOOKUP(A549,[1]Sheet!B$3:G$2921,3,0)</f>
        <v>Вимір.</v>
      </c>
      <c r="D549" s="4">
        <v>6</v>
      </c>
      <c r="E549" s="5" t="e">
        <f>VLOOKUP(A549,N$3:S$1271,4,FALSE)</f>
        <v>#N/A</v>
      </c>
      <c r="F549" s="6">
        <f t="shared" si="32"/>
        <v>6</v>
      </c>
      <c r="G549" s="7">
        <f>VLOOKUP(A549,[1]Sheet!B$3:G$2921,5,0)</f>
        <v>227.28</v>
      </c>
      <c r="H549" s="5" t="e">
        <f>VLOOKUP(A549,N$3:S$1271,5,FALSE)</f>
        <v>#N/A</v>
      </c>
      <c r="I549" s="6">
        <f t="shared" si="33"/>
        <v>227.28</v>
      </c>
      <c r="J549" s="7">
        <f>VLOOKUP(A549,[1]Sheet!B$3:G$2921,6,0)</f>
        <v>1363.68</v>
      </c>
      <c r="K549" s="8" t="e">
        <f t="shared" si="34"/>
        <v>#N/A</v>
      </c>
      <c r="L549" s="6">
        <f t="shared" si="35"/>
        <v>1363.68</v>
      </c>
    </row>
    <row r="550" spans="1:12" x14ac:dyDescent="0.25">
      <c r="A550" s="9" t="s">
        <v>549</v>
      </c>
      <c r="B550" s="2" t="str">
        <f>VLOOKUP(A550,[1]Sheet!B$3:G$2921,2,0)</f>
        <v>Пристрої, що заземлюють. Перевірка
наявності кола між заземлителями і
заземленими елементами (вертикальний та
горизонтальний контур заземлення-
провідник плоский 30х3,5; штир заземлення
оцинк. d=20мм L=1,5м 219/20ST)</v>
      </c>
      <c r="C550" s="3" t="str">
        <f>VLOOKUP(A550,[1]Sheet!B$3:G$2921,3,0)</f>
        <v>100_точ.</v>
      </c>
      <c r="D550" s="4">
        <v>0.06</v>
      </c>
      <c r="E550" s="5" t="e">
        <f>VLOOKUP(A550,N$3:S$1271,4,FALSE)</f>
        <v>#N/A</v>
      </c>
      <c r="F550" s="6">
        <f t="shared" si="32"/>
        <v>0.06</v>
      </c>
      <c r="G550" s="7">
        <f>VLOOKUP(A550,[1]Sheet!B$3:G$2921,5,0)</f>
        <v>1287.92</v>
      </c>
      <c r="H550" s="5" t="e">
        <f>VLOOKUP(A550,N$3:S$1271,5,FALSE)</f>
        <v>#N/A</v>
      </c>
      <c r="I550" s="6">
        <f t="shared" si="33"/>
        <v>1287.92</v>
      </c>
      <c r="J550" s="7">
        <f>VLOOKUP(A550,[1]Sheet!B$3:G$2921,6,0)</f>
        <v>77.28</v>
      </c>
      <c r="K550" s="8" t="e">
        <f t="shared" si="34"/>
        <v>#N/A</v>
      </c>
      <c r="L550" s="6">
        <f t="shared" si="35"/>
        <v>77.28</v>
      </c>
    </row>
    <row r="551" spans="1:12" x14ac:dyDescent="0.25">
      <c r="A551" s="9" t="s">
        <v>550</v>
      </c>
      <c r="B551" s="2" t="str">
        <f>VLOOKUP(A551,[1]Sheet!B$3:G$2921,2,0)</f>
        <v>Пристрої, що заземлюють. Визначення
питомого опору грунту</v>
      </c>
      <c r="C551" s="3" t="str">
        <f>VLOOKUP(A551,[1]Sheet!B$3:G$2921,3,0)</f>
        <v>Вимір.</v>
      </c>
      <c r="D551" s="4">
        <v>1</v>
      </c>
      <c r="E551" s="5" t="e">
        <f>VLOOKUP(A551,N$3:S$1271,4,FALSE)</f>
        <v>#N/A</v>
      </c>
      <c r="F551" s="6">
        <f t="shared" si="32"/>
        <v>1</v>
      </c>
      <c r="G551" s="7">
        <f>VLOOKUP(A551,[1]Sheet!B$3:G$2921,5,0)</f>
        <v>303.04000000000002</v>
      </c>
      <c r="H551" s="5" t="e">
        <f>VLOOKUP(A551,N$3:S$1271,5,FALSE)</f>
        <v>#N/A</v>
      </c>
      <c r="I551" s="6">
        <f t="shared" si="33"/>
        <v>303.04000000000002</v>
      </c>
      <c r="J551" s="7">
        <f>VLOOKUP(A551,[1]Sheet!B$3:G$2921,6,0)</f>
        <v>303.04000000000002</v>
      </c>
      <c r="K551" s="8" t="e">
        <f t="shared" si="34"/>
        <v>#N/A</v>
      </c>
      <c r="L551" s="6">
        <f t="shared" si="35"/>
        <v>303.04000000000002</v>
      </c>
    </row>
    <row r="552" spans="1:12" x14ac:dyDescent="0.25">
      <c r="A552" s="9" t="s">
        <v>551</v>
      </c>
      <c r="B552" s="2" t="str">
        <f>VLOOKUP(A552,[1]Sheet!B$3:G$2921,2,0)</f>
        <v>Улаштування вентиляційних ґрат у
гіпсокартонній стіні (лючків пластикових)</v>
      </c>
      <c r="C552" s="3" t="str">
        <f>VLOOKUP(A552,[1]Sheet!B$3:G$2921,3,0)</f>
        <v>100 шт</v>
      </c>
      <c r="D552" s="4">
        <v>0.01</v>
      </c>
      <c r="E552" s="5" t="e">
        <f>VLOOKUP(A552,N$3:S$1271,4,FALSE)</f>
        <v>#N/A</v>
      </c>
      <c r="F552" s="6">
        <f t="shared" si="32"/>
        <v>0.01</v>
      </c>
      <c r="G552" s="7">
        <f>VLOOKUP(A552,[1]Sheet!B$3:G$2921,5,0)</f>
        <v>1069.72</v>
      </c>
      <c r="H552" s="5" t="e">
        <f>VLOOKUP(A552,N$3:S$1271,5,FALSE)</f>
        <v>#N/A</v>
      </c>
      <c r="I552" s="6">
        <f t="shared" si="33"/>
        <v>1069.72</v>
      </c>
      <c r="J552" s="7">
        <f>VLOOKUP(A552,[1]Sheet!B$3:G$2921,6,0)</f>
        <v>10.7</v>
      </c>
      <c r="K552" s="8" t="e">
        <f t="shared" si="34"/>
        <v>#N/A</v>
      </c>
      <c r="L552" s="6">
        <f t="shared" si="35"/>
        <v>10.7</v>
      </c>
    </row>
    <row r="553" spans="1:12" x14ac:dyDescent="0.25">
      <c r="A553" s="9" t="s">
        <v>552</v>
      </c>
      <c r="B553" s="2" t="str">
        <f>VLOOKUP(A553,[1]Sheet!B$3:G$2921,2,0)</f>
        <v>Облицювання фасадів плитами з
пенополістиролу на розчинній суміші
"Ceresit-85" із пристроєм декоративних
елементів, облицювання з землі, лісів,
риштованнь (Теплоiзоляцiя виробами з
пiнопласту )</v>
      </c>
      <c r="C553" s="3" t="str">
        <f>VLOOKUP(A553,[1]Sheet!B$3:G$2921,3,0)</f>
        <v>100 м2</v>
      </c>
      <c r="D553" s="4">
        <v>0.61199999999999999</v>
      </c>
      <c r="E553" s="5" t="e">
        <f>VLOOKUP(A553,N$3:S$1271,4,FALSE)</f>
        <v>#N/A</v>
      </c>
      <c r="F553" s="6">
        <f t="shared" si="32"/>
        <v>0.61199999999999999</v>
      </c>
      <c r="G553" s="7">
        <f>VLOOKUP(A553,[1]Sheet!B$3:G$2921,5,0)</f>
        <v>6258.88</v>
      </c>
      <c r="H553" s="5" t="e">
        <f>VLOOKUP(A553,N$3:S$1271,5,FALSE)</f>
        <v>#N/A</v>
      </c>
      <c r="I553" s="6">
        <f t="shared" si="33"/>
        <v>6258.88</v>
      </c>
      <c r="J553" s="7">
        <f>VLOOKUP(A553,[1]Sheet!B$3:G$2921,6,0)</f>
        <v>3830.43</v>
      </c>
      <c r="K553" s="8" t="e">
        <f t="shared" si="34"/>
        <v>#N/A</v>
      </c>
      <c r="L553" s="6">
        <f t="shared" si="35"/>
        <v>3830.43</v>
      </c>
    </row>
    <row r="554" spans="1:12" x14ac:dyDescent="0.25">
      <c r="A554" s="9" t="s">
        <v>553</v>
      </c>
      <c r="B554" s="2" t="str">
        <f>VLOOKUP(A554,[1]Sheet!B$3:G$2921,2,0)</f>
        <v>Оклеювання стiн тканинами (Гiдроiзоляцiя
з Профільованоі мембрани Planter standart
ТехноНІКОЛЬ)</v>
      </c>
      <c r="C554" s="3" t="str">
        <f>VLOOKUP(A554,[1]Sheet!B$3:G$2921,3,0)</f>
        <v>100м2</v>
      </c>
      <c r="D554" s="4">
        <v>0.61199999999999999</v>
      </c>
      <c r="E554" s="5" t="e">
        <f>VLOOKUP(A554,N$3:S$1271,4,FALSE)</f>
        <v>#N/A</v>
      </c>
      <c r="F554" s="6">
        <f t="shared" si="32"/>
        <v>0.61199999999999999</v>
      </c>
      <c r="G554" s="7">
        <f>VLOOKUP(A554,[1]Sheet!B$3:G$2921,5,0)</f>
        <v>2420.7399999999998</v>
      </c>
      <c r="H554" s="5" t="e">
        <f>VLOOKUP(A554,N$3:S$1271,5,FALSE)</f>
        <v>#N/A</v>
      </c>
      <c r="I554" s="6">
        <f t="shared" si="33"/>
        <v>2420.7399999999998</v>
      </c>
      <c r="J554" s="7">
        <f>VLOOKUP(A554,[1]Sheet!B$3:G$2921,6,0)</f>
        <v>1481.49</v>
      </c>
      <c r="K554" s="8" t="e">
        <f t="shared" si="34"/>
        <v>#N/A</v>
      </c>
      <c r="L554" s="6">
        <f t="shared" si="35"/>
        <v>1481.49</v>
      </c>
    </row>
    <row r="555" spans="1:12" x14ac:dyDescent="0.25">
      <c r="A555" s="9" t="s">
        <v>554</v>
      </c>
      <c r="B555" s="2" t="str">
        <f>VLOOKUP(A555,[1]Sheet!B$3:G$2921,2,0)</f>
        <v>Під'єднання нових ділянок трубопроводу до
існуючих мереж водопостачання чи
опалення діаметром 150 мм</v>
      </c>
      <c r="C555" s="3" t="str">
        <f>VLOOKUP(A555,[1]Sheet!B$3:G$2921,3,0)</f>
        <v>1 шт</v>
      </c>
      <c r="D555" s="4">
        <v>1</v>
      </c>
      <c r="E555" s="5" t="e">
        <f>VLOOKUP(A555,N$3:S$1271,4,FALSE)</f>
        <v>#N/A</v>
      </c>
      <c r="F555" s="6">
        <f t="shared" si="32"/>
        <v>1</v>
      </c>
      <c r="G555" s="7">
        <f>VLOOKUP(A555,[1]Sheet!B$3:G$2921,5,0)</f>
        <v>196.76</v>
      </c>
      <c r="H555" s="5" t="e">
        <f>VLOOKUP(A555,N$3:S$1271,5,FALSE)</f>
        <v>#N/A</v>
      </c>
      <c r="I555" s="6">
        <f t="shared" si="33"/>
        <v>196.76</v>
      </c>
      <c r="J555" s="7">
        <f>VLOOKUP(A555,[1]Sheet!B$3:G$2921,6,0)</f>
        <v>196.76</v>
      </c>
      <c r="K555" s="8" t="e">
        <f t="shared" si="34"/>
        <v>#N/A</v>
      </c>
      <c r="L555" s="6">
        <f t="shared" si="35"/>
        <v>196.76</v>
      </c>
    </row>
    <row r="556" spans="1:12" x14ac:dyDescent="0.25">
      <c r="A556" s="9" t="s">
        <v>555</v>
      </c>
      <c r="B556" s="2" t="str">
        <f>VLOOKUP(A556,[1]Sheet!B$3:G$2921,2,0)</f>
        <v>Під'єднання нових ділянок трубопроводу до
існуючих мереж водопостачання чи
опалення діаметром 200 мм</v>
      </c>
      <c r="C556" s="3" t="str">
        <f>VLOOKUP(A556,[1]Sheet!B$3:G$2921,3,0)</f>
        <v>1 шт</v>
      </c>
      <c r="D556" s="4">
        <v>1</v>
      </c>
      <c r="E556" s="5" t="e">
        <f>VLOOKUP(A556,N$3:S$1271,4,FALSE)</f>
        <v>#N/A</v>
      </c>
      <c r="F556" s="6">
        <f t="shared" si="32"/>
        <v>1</v>
      </c>
      <c r="G556" s="7">
        <f>VLOOKUP(A556,[1]Sheet!B$3:G$2921,5,0)</f>
        <v>231.7</v>
      </c>
      <c r="H556" s="5" t="e">
        <f>VLOOKUP(A556,N$3:S$1271,5,FALSE)</f>
        <v>#N/A</v>
      </c>
      <c r="I556" s="6">
        <f t="shared" si="33"/>
        <v>231.7</v>
      </c>
      <c r="J556" s="7">
        <f>VLOOKUP(A556,[1]Sheet!B$3:G$2921,6,0)</f>
        <v>231.7</v>
      </c>
      <c r="K556" s="8" t="e">
        <f t="shared" si="34"/>
        <v>#N/A</v>
      </c>
      <c r="L556" s="6">
        <f t="shared" si="35"/>
        <v>231.7</v>
      </c>
    </row>
    <row r="557" spans="1:12" x14ac:dyDescent="0.25">
      <c r="A557" s="9" t="s">
        <v>556</v>
      </c>
      <c r="B557" s="2" t="str">
        <f>VLOOKUP(A557,[1]Sheet!B$3:G$2921,2,0)</f>
        <v>Під'єднання нових ділянок трубопроводу до
існуючих мереж водопостачання чи
опалення діаметром 32 мм</v>
      </c>
      <c r="C557" s="3" t="str">
        <f>VLOOKUP(A557,[1]Sheet!B$3:G$2921,3,0)</f>
        <v>1 шт</v>
      </c>
      <c r="D557" s="4">
        <v>10</v>
      </c>
      <c r="E557" s="5" t="e">
        <f>VLOOKUP(A557,N$3:S$1271,4,FALSE)</f>
        <v>#N/A</v>
      </c>
      <c r="F557" s="6">
        <f t="shared" si="32"/>
        <v>10</v>
      </c>
      <c r="G557" s="7">
        <f>VLOOKUP(A557,[1]Sheet!B$3:G$2921,5,0)</f>
        <v>82.81</v>
      </c>
      <c r="H557" s="5" t="e">
        <f>VLOOKUP(A557,N$3:S$1271,5,FALSE)</f>
        <v>#N/A</v>
      </c>
      <c r="I557" s="6">
        <f t="shared" si="33"/>
        <v>82.81</v>
      </c>
      <c r="J557" s="7">
        <f>VLOOKUP(A557,[1]Sheet!B$3:G$2921,6,0)</f>
        <v>828.1</v>
      </c>
      <c r="K557" s="8" t="e">
        <f t="shared" si="34"/>
        <v>#N/A</v>
      </c>
      <c r="L557" s="6">
        <f t="shared" si="35"/>
        <v>828.1</v>
      </c>
    </row>
    <row r="558" spans="1:12" x14ac:dyDescent="0.25">
      <c r="A558" s="9" t="s">
        <v>557</v>
      </c>
      <c r="B558" s="2" t="str">
        <f>VLOOKUP(A558,[1]Sheet!B$3:G$2921,2,0)</f>
        <v>Під'єднання нових ділянок трубопроводу до
існуючих мереж водопостачання чи
опалення діаметром 100 мм</v>
      </c>
      <c r="C558" s="3" t="str">
        <f>VLOOKUP(A558,[1]Sheet!B$3:G$2921,3,0)</f>
        <v>1 шт</v>
      </c>
      <c r="D558" s="4">
        <v>12</v>
      </c>
      <c r="E558" s="5" t="e">
        <f>VLOOKUP(A558,N$3:S$1271,4,FALSE)</f>
        <v>#N/A</v>
      </c>
      <c r="F558" s="6">
        <f t="shared" si="32"/>
        <v>12</v>
      </c>
      <c r="G558" s="7">
        <f>VLOOKUP(A558,[1]Sheet!B$3:G$2921,5,0)</f>
        <v>142.01</v>
      </c>
      <c r="H558" s="5" t="e">
        <f>VLOOKUP(A558,N$3:S$1271,5,FALSE)</f>
        <v>#N/A</v>
      </c>
      <c r="I558" s="6">
        <f t="shared" si="33"/>
        <v>142.01</v>
      </c>
      <c r="J558" s="7">
        <f>VLOOKUP(A558,[1]Sheet!B$3:G$2921,6,0)</f>
        <v>284.02</v>
      </c>
      <c r="K558" s="8" t="e">
        <f t="shared" si="34"/>
        <v>#N/A</v>
      </c>
      <c r="L558" s="6">
        <f t="shared" si="35"/>
        <v>284.02</v>
      </c>
    </row>
    <row r="559" spans="1:12" x14ac:dyDescent="0.25">
      <c r="A559" s="9" t="s">
        <v>558</v>
      </c>
      <c r="B559" s="2" t="str">
        <f>VLOOKUP(A559,[1]Sheet!B$3:G$2921,2,0)</f>
        <v>Демонтування заслінок Ду65 мм</v>
      </c>
      <c r="C559" s="3" t="str">
        <f>VLOOKUP(A559,[1]Sheet!B$3:G$2921,3,0)</f>
        <v>100шт</v>
      </c>
      <c r="D559" s="4">
        <v>0.05</v>
      </c>
      <c r="E559" s="5" t="e">
        <f>VLOOKUP(A559,N$3:S$1271,4,FALSE)</f>
        <v>#N/A</v>
      </c>
      <c r="F559" s="6">
        <f t="shared" si="32"/>
        <v>0.05</v>
      </c>
      <c r="G559" s="7">
        <f>VLOOKUP(A559,[1]Sheet!B$3:G$2921,5,0)</f>
        <v>9308.1299999999992</v>
      </c>
      <c r="H559" s="5" t="e">
        <f>VLOOKUP(A559,N$3:S$1271,5,FALSE)</f>
        <v>#N/A</v>
      </c>
      <c r="I559" s="6">
        <f t="shared" si="33"/>
        <v>9308.1299999999992</v>
      </c>
      <c r="J559" s="7">
        <f>VLOOKUP(A559,[1]Sheet!B$3:G$2921,6,0)</f>
        <v>372.33</v>
      </c>
      <c r="K559" s="8" t="e">
        <f t="shared" si="34"/>
        <v>#N/A</v>
      </c>
      <c r="L559" s="6">
        <f t="shared" si="35"/>
        <v>372.33</v>
      </c>
    </row>
    <row r="560" spans="1:12" x14ac:dyDescent="0.25">
      <c r="A560" s="9" t="s">
        <v>559</v>
      </c>
      <c r="B560" s="2" t="str">
        <f>VLOOKUP(A560,[1]Sheet!B$3:G$2921,2,0)</f>
        <v>Демонтаж водопiдiгрiвачiв</v>
      </c>
      <c r="C560" s="3" t="str">
        <f>VLOOKUP(A560,[1]Sheet!B$3:G$2921,3,0)</f>
        <v>шт</v>
      </c>
      <c r="D560" s="4">
        <v>1</v>
      </c>
      <c r="E560" s="5" t="e">
        <f>VLOOKUP(A560,N$3:S$1271,4,FALSE)</f>
        <v>#N/A</v>
      </c>
      <c r="F560" s="6">
        <f t="shared" si="32"/>
        <v>1</v>
      </c>
      <c r="G560" s="7">
        <f>VLOOKUP(A560,[1]Sheet!B$3:G$2921,5,0)</f>
        <v>1035.6300000000001</v>
      </c>
      <c r="H560" s="5" t="e">
        <f>VLOOKUP(A560,N$3:S$1271,5,FALSE)</f>
        <v>#N/A</v>
      </c>
      <c r="I560" s="6">
        <f t="shared" si="33"/>
        <v>1035.6300000000001</v>
      </c>
      <c r="J560" s="7">
        <f>VLOOKUP(A560,[1]Sheet!B$3:G$2921,6,0)</f>
        <v>1035.6300000000001</v>
      </c>
      <c r="K560" s="8" t="e">
        <f t="shared" si="34"/>
        <v>#N/A</v>
      </c>
      <c r="L560" s="6">
        <f t="shared" si="35"/>
        <v>1035.6300000000001</v>
      </c>
    </row>
    <row r="561" spans="1:12" x14ac:dyDescent="0.25">
      <c r="A561" s="9" t="s">
        <v>560</v>
      </c>
      <c r="B561" s="2" t="str">
        <f>VLOOKUP(A561,[1]Sheet!B$3:G$2921,2,0)</f>
        <v>Демонтаж вiдцентрових насосiв з
електродвигуном масою до 0,1 т</v>
      </c>
      <c r="C561" s="3" t="str">
        <f>VLOOKUP(A561,[1]Sheet!B$3:G$2921,3,0)</f>
        <v>насос</v>
      </c>
      <c r="D561" s="4">
        <v>1</v>
      </c>
      <c r="E561" s="5" t="e">
        <f>VLOOKUP(A561,N$3:S$1271,4,FALSE)</f>
        <v>#N/A</v>
      </c>
      <c r="F561" s="6">
        <f t="shared" si="32"/>
        <v>1</v>
      </c>
      <c r="G561" s="7">
        <f>VLOOKUP(A561,[1]Sheet!B$3:G$2921,5,0)</f>
        <v>377.5</v>
      </c>
      <c r="H561" s="5" t="e">
        <f>VLOOKUP(A561,N$3:S$1271,5,FALSE)</f>
        <v>#N/A</v>
      </c>
      <c r="I561" s="6">
        <f t="shared" si="33"/>
        <v>377.5</v>
      </c>
      <c r="J561" s="7">
        <f>VLOOKUP(A561,[1]Sheet!B$3:G$2921,6,0)</f>
        <v>377.5</v>
      </c>
      <c r="K561" s="8" t="e">
        <f t="shared" si="34"/>
        <v>#N/A</v>
      </c>
      <c r="L561" s="6">
        <f t="shared" si="35"/>
        <v>377.5</v>
      </c>
    </row>
    <row r="562" spans="1:12" x14ac:dyDescent="0.25">
      <c r="A562" s="9" t="s">
        <v>561</v>
      </c>
      <c r="B562" s="2" t="str">
        <f>VLOOKUP(A562,[1]Sheet!B$3:G$2921,2,0)</f>
        <v>Нарощування пластин існуючого підігрівача</v>
      </c>
      <c r="C562" s="3" t="str">
        <f>VLOOKUP(A562,[1]Sheet!B$3:G$2921,3,0)</f>
        <v>100шт</v>
      </c>
      <c r="D562" s="4">
        <v>0.18</v>
      </c>
      <c r="E562" s="5" t="e">
        <f>VLOOKUP(A562,N$3:S$1271,4,FALSE)</f>
        <v>#N/A</v>
      </c>
      <c r="F562" s="6">
        <f t="shared" si="32"/>
        <v>0.18</v>
      </c>
      <c r="G562" s="7">
        <f>VLOOKUP(A562,[1]Sheet!B$3:G$2921,5,0)</f>
        <v>21747.84</v>
      </c>
      <c r="H562" s="5" t="e">
        <f>VLOOKUP(A562,N$3:S$1271,5,FALSE)</f>
        <v>#N/A</v>
      </c>
      <c r="I562" s="6">
        <f t="shared" si="33"/>
        <v>21747.84</v>
      </c>
      <c r="J562" s="7">
        <f>VLOOKUP(A562,[1]Sheet!B$3:G$2921,6,0)</f>
        <v>3914.61</v>
      </c>
      <c r="K562" s="8" t="e">
        <f t="shared" si="34"/>
        <v>#N/A</v>
      </c>
      <c r="L562" s="6">
        <f t="shared" si="35"/>
        <v>3914.61</v>
      </c>
    </row>
    <row r="563" spans="1:12" x14ac:dyDescent="0.25">
      <c r="A563" s="9" t="s">
        <v>562</v>
      </c>
      <c r="B563" s="2" t="str">
        <f>VLOOKUP(A563,[1]Sheet!B$3:G$2921,2,0)</f>
        <v>Розбирання вручну цегляної кладки камер,
каналiв, компенсаторних нiш, кутiв
повороту без очищення цегли</v>
      </c>
      <c r="C563" s="3" t="str">
        <f>VLOOKUP(A563,[1]Sheet!B$3:G$2921,3,0)</f>
        <v>м3</v>
      </c>
      <c r="D563" s="4">
        <v>0.4</v>
      </c>
      <c r="E563" s="5" t="e">
        <f>VLOOKUP(A563,N$3:S$1271,4,FALSE)</f>
        <v>#N/A</v>
      </c>
      <c r="F563" s="6">
        <f t="shared" si="32"/>
        <v>0.4</v>
      </c>
      <c r="G563" s="7">
        <f>VLOOKUP(A563,[1]Sheet!B$3:G$2921,5,0)</f>
        <v>657.43</v>
      </c>
      <c r="H563" s="5" t="e">
        <f>VLOOKUP(A563,N$3:S$1271,5,FALSE)</f>
        <v>#N/A</v>
      </c>
      <c r="I563" s="6">
        <f t="shared" si="33"/>
        <v>657.43</v>
      </c>
      <c r="J563" s="7">
        <f>VLOOKUP(A563,[1]Sheet!B$3:G$2921,6,0)</f>
        <v>262.97000000000003</v>
      </c>
      <c r="K563" s="8" t="e">
        <f t="shared" si="34"/>
        <v>#N/A</v>
      </c>
      <c r="L563" s="6">
        <f t="shared" si="35"/>
        <v>262.97000000000003</v>
      </c>
    </row>
    <row r="564" spans="1:12" x14ac:dyDescent="0.25">
      <c r="A564" s="9" t="s">
        <v>563</v>
      </c>
      <c r="B564" s="2" t="str">
        <f>VLOOKUP(A564,[1]Sheet!B$3:G$2921,2,0)</f>
        <v>Розбирання бортових каменiв</v>
      </c>
      <c r="C564" s="3" t="str">
        <f>VLOOKUP(A564,[1]Sheet!B$3:G$2921,3,0)</f>
        <v>100м</v>
      </c>
      <c r="D564" s="4">
        <v>1.2</v>
      </c>
      <c r="E564" s="5" t="e">
        <f>VLOOKUP(A564,N$3:S$1271,4,FALSE)</f>
        <v>#N/A</v>
      </c>
      <c r="F564" s="6">
        <f t="shared" si="32"/>
        <v>1.2</v>
      </c>
      <c r="G564" s="7">
        <f>VLOOKUP(A564,[1]Sheet!B$3:G$2921,5,0)</f>
        <v>8931.99</v>
      </c>
      <c r="H564" s="5" t="e">
        <f>VLOOKUP(A564,N$3:S$1271,5,FALSE)</f>
        <v>#N/A</v>
      </c>
      <c r="I564" s="6">
        <f t="shared" si="33"/>
        <v>8931.99</v>
      </c>
      <c r="J564" s="7">
        <f>VLOOKUP(A564,[1]Sheet!B$3:G$2921,6,0)</f>
        <v>10718.39</v>
      </c>
      <c r="K564" s="8" t="e">
        <f t="shared" si="34"/>
        <v>#N/A</v>
      </c>
      <c r="L564" s="6">
        <f t="shared" si="35"/>
        <v>10718.39</v>
      </c>
    </row>
    <row r="565" spans="1:12" x14ac:dyDescent="0.25">
      <c r="A565" s="9" t="s">
        <v>564</v>
      </c>
      <c r="B565" s="2" t="str">
        <f>VLOOKUP(A565,[1]Sheet!B$3:G$2921,2,0)</f>
        <v>Розбирання iзоляцiї з мiнеральної вати</v>
      </c>
      <c r="C565" s="3" t="str">
        <f>VLOOKUP(A565,[1]Sheet!B$3:G$2921,3,0)</f>
        <v>м3</v>
      </c>
      <c r="D565" s="4">
        <v>45.814999999999998</v>
      </c>
      <c r="E565" s="5" t="e">
        <f>VLOOKUP(A565,N$3:S$1271,4,FALSE)</f>
        <v>#N/A</v>
      </c>
      <c r="F565" s="6">
        <f t="shared" si="32"/>
        <v>45.814999999999998</v>
      </c>
      <c r="G565" s="7">
        <f>VLOOKUP(A565,[1]Sheet!B$3:G$2921,5,0)</f>
        <v>285.51</v>
      </c>
      <c r="H565" s="5" t="e">
        <f>VLOOKUP(A565,N$3:S$1271,5,FALSE)</f>
        <v>#N/A</v>
      </c>
      <c r="I565" s="6">
        <f t="shared" si="33"/>
        <v>285.51</v>
      </c>
      <c r="J565" s="7">
        <f>VLOOKUP(A565,[1]Sheet!B$3:G$2921,6,0)</f>
        <v>9992.85</v>
      </c>
      <c r="K565" s="8" t="e">
        <f t="shared" si="34"/>
        <v>#N/A</v>
      </c>
      <c r="L565" s="6">
        <f t="shared" si="35"/>
        <v>9992.85</v>
      </c>
    </row>
    <row r="566" spans="1:12" x14ac:dyDescent="0.25">
      <c r="A566" s="9" t="s">
        <v>565</v>
      </c>
      <c r="B566" s="2" t="str">
        <f>VLOOKUP(A566,[1]Sheet!B$3:G$2921,2,0)</f>
        <v>Монтаж дрiбних металоконструкцiй вагою
до 0,1 т (заглушки зі сталевого листа
6х200х200 2шт)</v>
      </c>
      <c r="C566" s="3" t="str">
        <f>VLOOKUP(A566,[1]Sheet!B$3:G$2921,3,0)</f>
        <v>1т</v>
      </c>
      <c r="D566" s="4">
        <v>4.0000000000000001E-3</v>
      </c>
      <c r="E566" s="5" t="e">
        <f>VLOOKUP(A566,N$3:S$1271,4,FALSE)</f>
        <v>#N/A</v>
      </c>
      <c r="F566" s="6">
        <f t="shared" si="32"/>
        <v>4.0000000000000001E-3</v>
      </c>
      <c r="G566" s="7">
        <f>VLOOKUP(A566,[1]Sheet!B$3:G$2921,5,0)</f>
        <v>7845.06</v>
      </c>
      <c r="H566" s="5" t="e">
        <f>VLOOKUP(A566,N$3:S$1271,5,FALSE)</f>
        <v>#N/A</v>
      </c>
      <c r="I566" s="6">
        <f t="shared" si="33"/>
        <v>7845.06</v>
      </c>
      <c r="J566" s="7">
        <f>VLOOKUP(A566,[1]Sheet!B$3:G$2921,6,0)</f>
        <v>31.38</v>
      </c>
      <c r="K566" s="8" t="e">
        <f t="shared" si="34"/>
        <v>#N/A</v>
      </c>
      <c r="L566" s="6">
        <f t="shared" si="35"/>
        <v>31.38</v>
      </c>
    </row>
    <row r="567" spans="1:12" x14ac:dyDescent="0.25">
      <c r="A567" s="9" t="s">
        <v>566</v>
      </c>
      <c r="B567" s="2" t="str">
        <f>VLOOKUP(A567,[1]Sheet!B$3:G$2921,2,0)</f>
        <v>Демонтаж каркасу огорожі
спортмайданчику.</v>
      </c>
      <c r="C567" s="3" t="str">
        <f>VLOOKUP(A567,[1]Sheet!B$3:G$2921,3,0)</f>
        <v>1т</v>
      </c>
      <c r="D567" s="4">
        <v>0.5</v>
      </c>
      <c r="E567" s="5" t="e">
        <f>VLOOKUP(A567,N$3:S$1271,4,FALSE)</f>
        <v>#N/A</v>
      </c>
      <c r="F567" s="6">
        <f t="shared" si="32"/>
        <v>0.5</v>
      </c>
      <c r="G567" s="7">
        <f>VLOOKUP(A567,[1]Sheet!B$3:G$2921,5,0)</f>
        <v>9923.14</v>
      </c>
      <c r="H567" s="5" t="e">
        <f>VLOOKUP(A567,N$3:S$1271,5,FALSE)</f>
        <v>#N/A</v>
      </c>
      <c r="I567" s="6">
        <f t="shared" si="33"/>
        <v>9923.14</v>
      </c>
      <c r="J567" s="7">
        <f>VLOOKUP(A567,[1]Sheet!B$3:G$2921,6,0)</f>
        <v>4961.57</v>
      </c>
      <c r="K567" s="8" t="e">
        <f t="shared" si="34"/>
        <v>#N/A</v>
      </c>
      <c r="L567" s="6">
        <f t="shared" si="35"/>
        <v>4961.57</v>
      </c>
    </row>
    <row r="568" spans="1:12" x14ac:dyDescent="0.25">
      <c r="A568" s="9" t="s">
        <v>567</v>
      </c>
      <c r="B568" s="2" t="str">
        <f>VLOOKUP(A568,[1]Sheet!B$3:G$2921,2,0)</f>
        <v>Монтаж дрiбних металоконструкцiй вагою
до 0,5 т (2 стійки для баскетболу)</v>
      </c>
      <c r="C568" s="3" t="str">
        <f>VLOOKUP(A568,[1]Sheet!B$3:G$2921,3,0)</f>
        <v>1т</v>
      </c>
      <c r="D568" s="4">
        <v>0.8</v>
      </c>
      <c r="E568" s="5" t="e">
        <f>VLOOKUP(A568,N$3:S$1271,4,FALSE)</f>
        <v>#N/A</v>
      </c>
      <c r="F568" s="6">
        <f t="shared" si="32"/>
        <v>0.8</v>
      </c>
      <c r="G568" s="7">
        <f>VLOOKUP(A568,[1]Sheet!B$3:G$2921,5,0)</f>
        <v>7714.65</v>
      </c>
      <c r="H568" s="5" t="e">
        <f>VLOOKUP(A568,N$3:S$1271,5,FALSE)</f>
        <v>#N/A</v>
      </c>
      <c r="I568" s="6">
        <f t="shared" si="33"/>
        <v>7714.65</v>
      </c>
      <c r="J568" s="7">
        <f>VLOOKUP(A568,[1]Sheet!B$3:G$2921,6,0)</f>
        <v>6171.72</v>
      </c>
      <c r="K568" s="8" t="e">
        <f t="shared" si="34"/>
        <v>#N/A</v>
      </c>
      <c r="L568" s="6">
        <f t="shared" si="35"/>
        <v>6171.72</v>
      </c>
    </row>
    <row r="569" spans="1:12" x14ac:dyDescent="0.25">
      <c r="A569" s="9" t="s">
        <v>568</v>
      </c>
      <c r="B569" s="2" t="str">
        <f>VLOOKUP(A569,[1]Sheet!B$3:G$2921,2,0)</f>
        <v>Монтаж дрiбних металоконструкцiй вагою
до 0,5 т (2 стійки для баскетболу)</v>
      </c>
      <c r="C569" s="3" t="str">
        <f>VLOOKUP(A569,[1]Sheet!B$3:G$2921,3,0)</f>
        <v>1т</v>
      </c>
      <c r="D569" s="4">
        <v>0.8</v>
      </c>
      <c r="E569" s="5" t="e">
        <f>VLOOKUP(A569,N$3:S$1271,4,FALSE)</f>
        <v>#N/A</v>
      </c>
      <c r="F569" s="6">
        <f t="shared" si="32"/>
        <v>0.8</v>
      </c>
      <c r="G569" s="7">
        <f>VLOOKUP(A569,[1]Sheet!B$3:G$2921,5,0)</f>
        <v>5012.08</v>
      </c>
      <c r="H569" s="5" t="e">
        <f>VLOOKUP(A569,N$3:S$1271,5,FALSE)</f>
        <v>#N/A</v>
      </c>
      <c r="I569" s="6">
        <f t="shared" si="33"/>
        <v>5012.08</v>
      </c>
      <c r="J569" s="7">
        <f>VLOOKUP(A569,[1]Sheet!B$3:G$2921,6,0)</f>
        <v>4009.66</v>
      </c>
      <c r="K569" s="8" t="e">
        <f t="shared" si="34"/>
        <v>#N/A</v>
      </c>
      <c r="L569" s="6">
        <f t="shared" si="35"/>
        <v>4009.66</v>
      </c>
    </row>
    <row r="570" spans="1:12" x14ac:dyDescent="0.25">
      <c r="A570" s="9" t="s">
        <v>569</v>
      </c>
      <c r="B570" s="2" t="str">
        <f>VLOOKUP(A570,[1]Sheet!B$3:G$2921,2,0)</f>
        <v>Свердлення отворiв в цегляних стiнах,
товщина стiн 0,5 цеглини, дiаметр отвору до
20 мм</v>
      </c>
      <c r="C570" s="3" t="str">
        <f>VLOOKUP(A570,[1]Sheet!B$3:G$2921,3,0)</f>
        <v>100шт</v>
      </c>
      <c r="D570" s="4">
        <v>1.2</v>
      </c>
      <c r="E570" s="5" t="e">
        <f>VLOOKUP(A570,N$3:S$1271,4,FALSE)</f>
        <v>#N/A</v>
      </c>
      <c r="F570" s="6">
        <f t="shared" si="32"/>
        <v>1.2</v>
      </c>
      <c r="G570" s="7">
        <f>VLOOKUP(A570,[1]Sheet!B$3:G$2921,5,0)</f>
        <v>628.28</v>
      </c>
      <c r="H570" s="5" t="e">
        <f>VLOOKUP(A570,N$3:S$1271,5,FALSE)</f>
        <v>#N/A</v>
      </c>
      <c r="I570" s="6">
        <f t="shared" si="33"/>
        <v>628.28</v>
      </c>
      <c r="J570" s="7">
        <f>VLOOKUP(A570,[1]Sheet!B$3:G$2921,6,0)</f>
        <v>753.94</v>
      </c>
      <c r="K570" s="8" t="e">
        <f t="shared" si="34"/>
        <v>#N/A</v>
      </c>
      <c r="L570" s="6">
        <f t="shared" si="35"/>
        <v>753.94</v>
      </c>
    </row>
    <row r="571" spans="1:12" x14ac:dyDescent="0.25">
      <c r="A571" s="9" t="s">
        <v>570</v>
      </c>
      <c r="B571" s="2" t="str">
        <f>VLOOKUP(A571,[1]Sheet!B$3:G$2921,2,0)</f>
        <v>Навантаження сміття екскаваторами на
автомобілі-самоскиди, місткість ковша
екскаватора 0,25 м3.</v>
      </c>
      <c r="C571" s="3" t="str">
        <f>VLOOKUP(A571,[1]Sheet!B$3:G$2921,3,0)</f>
        <v>100 т</v>
      </c>
      <c r="D571" s="4">
        <v>1.1778200000000001</v>
      </c>
      <c r="E571" s="5" t="e">
        <f>VLOOKUP(A571,N$3:S$1271,4,FALSE)</f>
        <v>#N/A</v>
      </c>
      <c r="F571" s="6">
        <f t="shared" si="32"/>
        <v>1.1778200000000001</v>
      </c>
      <c r="G571" s="7">
        <f>VLOOKUP(A571,[1]Sheet!B$3:G$2921,5,0)</f>
        <v>7042.6</v>
      </c>
      <c r="H571" s="5" t="e">
        <f>VLOOKUP(A571,N$3:S$1271,5,FALSE)</f>
        <v>#N/A</v>
      </c>
      <c r="I571" s="6">
        <f t="shared" si="33"/>
        <v>7042.6</v>
      </c>
      <c r="J571" s="7">
        <f>VLOOKUP(A571,[1]Sheet!B$3:G$2921,6,0)</f>
        <v>69.72</v>
      </c>
      <c r="K571" s="8" t="e">
        <f t="shared" si="34"/>
        <v>#N/A</v>
      </c>
      <c r="L571" s="6">
        <f t="shared" si="35"/>
        <v>69.72</v>
      </c>
    </row>
    <row r="572" spans="1:12" x14ac:dyDescent="0.25">
      <c r="A572" s="9" t="s">
        <v>571</v>
      </c>
      <c r="B572" s="2" t="str">
        <f>VLOOKUP(A572,[1]Sheet!B$3:G$2921,2,0)</f>
        <v>Улаштування осадового шва з просмолених
дощок</v>
      </c>
      <c r="C572" s="3" t="str">
        <f>VLOOKUP(A572,[1]Sheet!B$3:G$2921,3,0)</f>
        <v>100 м2</v>
      </c>
      <c r="D572" s="4">
        <v>0.16217499999999999</v>
      </c>
      <c r="E572" s="5" t="e">
        <f>VLOOKUP(A572,N$3:S$1271,4,FALSE)</f>
        <v>#N/A</v>
      </c>
      <c r="F572" s="6">
        <f t="shared" si="32"/>
        <v>0.16217499999999999</v>
      </c>
      <c r="G572" s="7">
        <f>VLOOKUP(A572,[1]Sheet!B$3:G$2921,5,0)</f>
        <v>48211.57</v>
      </c>
      <c r="H572" s="5" t="e">
        <f>VLOOKUP(A572,N$3:S$1271,5,FALSE)</f>
        <v>#N/A</v>
      </c>
      <c r="I572" s="6">
        <f t="shared" si="33"/>
        <v>48211.57</v>
      </c>
      <c r="J572" s="7">
        <f>VLOOKUP(A572,[1]Sheet!B$3:G$2921,6,0)</f>
        <v>7818.71</v>
      </c>
      <c r="K572" s="8" t="e">
        <f t="shared" si="34"/>
        <v>#N/A</v>
      </c>
      <c r="L572" s="6">
        <f t="shared" si="35"/>
        <v>7818.71</v>
      </c>
    </row>
    <row r="573" spans="1:12" x14ac:dyDescent="0.25">
      <c r="A573" s="9" t="s">
        <v>572</v>
      </c>
      <c r="B573" s="2" t="str">
        <f>VLOOKUP(A573,[1]Sheet!B$3:G$2921,2,0)</f>
        <v>Установлення анкерiв</v>
      </c>
      <c r="C573" s="3" t="str">
        <f>VLOOKUP(A573,[1]Sheet!B$3:G$2921,3,0)</f>
        <v>100 кг</v>
      </c>
      <c r="D573" s="4">
        <v>2.1335999999999999</v>
      </c>
      <c r="E573" s="5" t="e">
        <f>VLOOKUP(A573,N$3:S$1271,4,FALSE)</f>
        <v>#N/A</v>
      </c>
      <c r="F573" s="6">
        <f t="shared" si="32"/>
        <v>2.1335999999999999</v>
      </c>
      <c r="G573" s="7">
        <f>VLOOKUP(A573,[1]Sheet!B$3:G$2921,5,0)</f>
        <v>8074.69</v>
      </c>
      <c r="H573" s="5" t="e">
        <f>VLOOKUP(A573,N$3:S$1271,5,FALSE)</f>
        <v>#N/A</v>
      </c>
      <c r="I573" s="6">
        <f t="shared" si="33"/>
        <v>8074.69</v>
      </c>
      <c r="J573" s="7">
        <f>VLOOKUP(A573,[1]Sheet!B$3:G$2921,6,0)</f>
        <v>11424.07</v>
      </c>
      <c r="K573" s="8" t="e">
        <f t="shared" si="34"/>
        <v>#N/A</v>
      </c>
      <c r="L573" s="6">
        <f t="shared" si="35"/>
        <v>11424.07</v>
      </c>
    </row>
    <row r="574" spans="1:12" x14ac:dyDescent="0.25">
      <c r="A574" s="9" t="s">
        <v>573</v>
      </c>
      <c r="B574" s="2" t="str">
        <f>VLOOKUP(A574,[1]Sheet!B$3:G$2921,2,0)</f>
        <v>Установлення замків дверних накладних
(дверний доводчик)</v>
      </c>
      <c r="C574" s="3" t="str">
        <f>VLOOKUP(A574,[1]Sheet!B$3:G$2921,3,0)</f>
        <v>100 шт</v>
      </c>
      <c r="D574" s="4">
        <v>0.03</v>
      </c>
      <c r="E574" s="5" t="e">
        <f>VLOOKUP(A574,N$3:S$1271,4,FALSE)</f>
        <v>#N/A</v>
      </c>
      <c r="F574" s="6">
        <f t="shared" si="32"/>
        <v>0.03</v>
      </c>
      <c r="G574" s="7">
        <f>VLOOKUP(A574,[1]Sheet!B$3:G$2921,5,0)</f>
        <v>8772.82</v>
      </c>
      <c r="H574" s="5" t="e">
        <f>VLOOKUP(A574,N$3:S$1271,5,FALSE)</f>
        <v>#N/A</v>
      </c>
      <c r="I574" s="6">
        <f t="shared" si="33"/>
        <v>8772.82</v>
      </c>
      <c r="J574" s="7">
        <f>VLOOKUP(A574,[1]Sheet!B$3:G$2921,6,0)</f>
        <v>175.46</v>
      </c>
      <c r="K574" s="8" t="e">
        <f t="shared" si="34"/>
        <v>#N/A</v>
      </c>
      <c r="L574" s="6">
        <f t="shared" si="35"/>
        <v>175.46</v>
      </c>
    </row>
    <row r="575" spans="1:12" x14ac:dyDescent="0.25">
      <c r="A575" s="9" t="s">
        <v>574</v>
      </c>
      <c r="B575" s="2" t="str">
        <f>VLOOKUP(A575,[1]Sheet!B$3:G$2921,2,0)</f>
        <v>Розбирання покриттiв пiдлог з лiнолеуму
та релiну</v>
      </c>
      <c r="C575" s="3" t="str">
        <f>VLOOKUP(A575,[1]Sheet!B$3:G$2921,3,0)</f>
        <v>100м2</v>
      </c>
      <c r="D575" s="4">
        <v>0.1154</v>
      </c>
      <c r="E575" s="5" t="e">
        <f>VLOOKUP(A575,N$3:S$1271,4,FALSE)</f>
        <v>#N/A</v>
      </c>
      <c r="F575" s="6">
        <f t="shared" si="32"/>
        <v>0.1154</v>
      </c>
      <c r="G575" s="7">
        <f>VLOOKUP(A575,[1]Sheet!B$3:G$2921,5,0)</f>
        <v>1024.56</v>
      </c>
      <c r="H575" s="5" t="e">
        <f>VLOOKUP(A575,N$3:S$1271,5,FALSE)</f>
        <v>#N/A</v>
      </c>
      <c r="I575" s="6">
        <f t="shared" si="33"/>
        <v>1024.56</v>
      </c>
      <c r="J575" s="7">
        <f>VLOOKUP(A575,[1]Sheet!B$3:G$2921,6,0)</f>
        <v>118.23</v>
      </c>
      <c r="K575" s="8" t="e">
        <f t="shared" si="34"/>
        <v>#N/A</v>
      </c>
      <c r="L575" s="6">
        <f t="shared" si="35"/>
        <v>118.23</v>
      </c>
    </row>
    <row r="576" spans="1:12" x14ac:dyDescent="0.25">
      <c r="A576" s="9" t="s">
        <v>575</v>
      </c>
      <c r="B576" s="2" t="str">
        <f>VLOOKUP(A576,[1]Sheet!B$3:G$2921,2,0)</f>
        <v>Розбирання цементних покриттiв пiдлог</v>
      </c>
      <c r="C576" s="3" t="str">
        <f>VLOOKUP(A576,[1]Sheet!B$3:G$2921,3,0)</f>
        <v>100м2</v>
      </c>
      <c r="D576" s="4">
        <v>3.7</v>
      </c>
      <c r="E576" s="5" t="e">
        <f>VLOOKUP(A576,N$3:S$1271,4,FALSE)</f>
        <v>#N/A</v>
      </c>
      <c r="F576" s="6">
        <f t="shared" si="32"/>
        <v>3.7</v>
      </c>
      <c r="G576" s="7">
        <f>VLOOKUP(A576,[1]Sheet!B$3:G$2921,5,0)</f>
        <v>3801.75</v>
      </c>
      <c r="H576" s="5" t="e">
        <f>VLOOKUP(A576,N$3:S$1271,5,FALSE)</f>
        <v>#N/A</v>
      </c>
      <c r="I576" s="6">
        <f t="shared" si="33"/>
        <v>3801.75</v>
      </c>
      <c r="J576" s="7">
        <f>VLOOKUP(A576,[1]Sheet!B$3:G$2921,6,0)</f>
        <v>14066.48</v>
      </c>
      <c r="K576" s="8" t="e">
        <f t="shared" si="34"/>
        <v>#N/A</v>
      </c>
      <c r="L576" s="6">
        <f t="shared" si="35"/>
        <v>14066.48</v>
      </c>
    </row>
    <row r="577" spans="1:12" x14ac:dyDescent="0.25">
      <c r="A577" s="9" t="s">
        <v>576</v>
      </c>
      <c r="B577" s="2" t="str">
        <f>VLOOKUP(A577,[1]Sheet!B$3:G$2921,2,0)</f>
        <v>На кожні 100 мм зміни висоти примикань
додавати або виключати при ремонті
примикань до цегляних стін і парапетів з
рулонних покрівельних матеріалів
(виключати до Н=250)</v>
      </c>
      <c r="C577" s="3" t="str">
        <f>VLOOKUP(A577,[1]Sheet!B$3:G$2921,3,0)</f>
        <v>100 м</v>
      </c>
      <c r="D577" s="4">
        <v>-1.236</v>
      </c>
      <c r="E577" s="5" t="e">
        <f>VLOOKUP(A577,N$3:S$1271,4,FALSE)</f>
        <v>#N/A</v>
      </c>
      <c r="F577" s="6">
        <f t="shared" si="32"/>
        <v>-1.236</v>
      </c>
      <c r="G577" s="7">
        <f>VLOOKUP(A577,[1]Sheet!B$3:G$2921,5,0)</f>
        <v>490.15</v>
      </c>
      <c r="H577" s="5" t="e">
        <f>VLOOKUP(A577,N$3:S$1271,5,FALSE)</f>
        <v>#N/A</v>
      </c>
      <c r="I577" s="6">
        <f t="shared" si="33"/>
        <v>490.15</v>
      </c>
      <c r="J577" s="7">
        <f>VLOOKUP(A577,[1]Sheet!B$3:G$2921,6,0)</f>
        <v>-71.56</v>
      </c>
      <c r="K577" s="8" t="e">
        <f t="shared" si="34"/>
        <v>#N/A</v>
      </c>
      <c r="L577" s="6">
        <f t="shared" si="35"/>
        <v>-71.56</v>
      </c>
    </row>
    <row r="578" spans="1:12" x14ac:dyDescent="0.25">
      <c r="A578" s="9" t="s">
        <v>577</v>
      </c>
      <c r="B578" s="2" t="str">
        <f>VLOOKUP(A578,[1]Sheet!B$3:G$2921,2,0)</f>
        <v>Навiшування водостiчних труб, колiн,
вiдливiв i лiйок з готових елементiв
(Навiшування жолобiв )</v>
      </c>
      <c r="C578" s="3" t="str">
        <f>VLOOKUP(A578,[1]Sheet!B$3:G$2921,3,0)</f>
        <v>100м</v>
      </c>
      <c r="D578" s="4">
        <v>0.52</v>
      </c>
      <c r="E578" s="5" t="e">
        <f>VLOOKUP(A578,N$3:S$1271,4,FALSE)</f>
        <v>#N/A</v>
      </c>
      <c r="F578" s="6">
        <f t="shared" ref="F578:F641" si="36">IFERROR(D578-E578,D578)</f>
        <v>0.52</v>
      </c>
      <c r="G578" s="7">
        <f>VLOOKUP(A578,[1]Sheet!B$3:G$2921,5,0)</f>
        <v>4197.5600000000004</v>
      </c>
      <c r="H578" s="5" t="e">
        <f>VLOOKUP(A578,N$3:S$1271,5,FALSE)</f>
        <v>#N/A</v>
      </c>
      <c r="I578" s="6">
        <f t="shared" ref="I578:I641" si="37">IFERROR(G578-H578,G578)</f>
        <v>4197.5600000000004</v>
      </c>
      <c r="J578" s="7">
        <f>VLOOKUP(A578,[1]Sheet!B$3:G$2921,6,0)</f>
        <v>1511.12</v>
      </c>
      <c r="K578" s="8" t="e">
        <f t="shared" ref="K578:K641" si="38">VLOOKUP(A578,N$3:S$1271,6,FALSE)</f>
        <v>#N/A</v>
      </c>
      <c r="L578" s="6">
        <f t="shared" ref="L578:L641" si="39">IFERROR(J578-K578,J578)</f>
        <v>1511.12</v>
      </c>
    </row>
    <row r="579" spans="1:12" x14ac:dyDescent="0.25">
      <c r="A579" s="9" t="s">
        <v>578</v>
      </c>
      <c r="B579" s="2" t="str">
        <f>VLOOKUP(A579,[1]Sheet!B$3:G$2921,2,0)</f>
        <v>Улаштування примикань висотою 400 мм
до цегляних стiн i парапетiв з рулонних
покрiвельних матерiалiв</v>
      </c>
      <c r="C579" s="3" t="str">
        <f>VLOOKUP(A579,[1]Sheet!B$3:G$2921,3,0)</f>
        <v>100 м</v>
      </c>
      <c r="D579" s="4">
        <v>1.601</v>
      </c>
      <c r="E579" s="5" t="e">
        <f>VLOOKUP(A579,N$3:S$1271,4,FALSE)</f>
        <v>#N/A</v>
      </c>
      <c r="F579" s="6">
        <f t="shared" si="36"/>
        <v>1.601</v>
      </c>
      <c r="G579" s="7">
        <f>VLOOKUP(A579,[1]Sheet!B$3:G$2921,5,0)</f>
        <v>7518.91</v>
      </c>
      <c r="H579" s="5" t="e">
        <f>VLOOKUP(A579,N$3:S$1271,5,FALSE)</f>
        <v>#N/A</v>
      </c>
      <c r="I579" s="6">
        <f t="shared" si="37"/>
        <v>7518.91</v>
      </c>
      <c r="J579" s="7">
        <f>VLOOKUP(A579,[1]Sheet!B$3:G$2921,6,0)</f>
        <v>1097.76</v>
      </c>
      <c r="K579" s="8" t="e">
        <f t="shared" si="38"/>
        <v>#N/A</v>
      </c>
      <c r="L579" s="6">
        <f t="shared" si="39"/>
        <v>1097.76</v>
      </c>
    </row>
    <row r="580" spans="1:12" x14ac:dyDescent="0.25">
      <c r="A580" s="9" t="s">
        <v>579</v>
      </c>
      <c r="B580" s="2" t="str">
        <f>VLOOKUP(A580,[1]Sheet!B$3:G$2921,2,0)</f>
        <v>Улаштування примикань висотою 400 мм
з рулонних покрiвельних матерiалiв до
цегляних стiн i парапетiв iз
застосуванням газопламеневих пальникiв,
з улаштуванням фартуха з оцинкованої
сталi</v>
      </c>
      <c r="C580" s="3" t="str">
        <f>VLOOKUP(A580,[1]Sheet!B$3:G$2921,3,0)</f>
        <v>100 м</v>
      </c>
      <c r="D580" s="4">
        <v>1.2269999999999999</v>
      </c>
      <c r="E580" s="5" t="e">
        <f>VLOOKUP(A580,N$3:S$1271,4,FALSE)</f>
        <v>#N/A</v>
      </c>
      <c r="F580" s="6">
        <f t="shared" si="36"/>
        <v>1.2269999999999999</v>
      </c>
      <c r="G580" s="7">
        <f>VLOOKUP(A580,[1]Sheet!B$3:G$2921,5,0)</f>
        <v>7350</v>
      </c>
      <c r="H580" s="5" t="e">
        <f>VLOOKUP(A580,N$3:S$1271,5,FALSE)</f>
        <v>#N/A</v>
      </c>
      <c r="I580" s="6">
        <f t="shared" si="37"/>
        <v>7350</v>
      </c>
      <c r="J580" s="7">
        <f>VLOOKUP(A580,[1]Sheet!B$3:G$2921,6,0)</f>
        <v>2646</v>
      </c>
      <c r="K580" s="8" t="e">
        <f t="shared" si="38"/>
        <v>#N/A</v>
      </c>
      <c r="L580" s="6">
        <f t="shared" si="39"/>
        <v>2646</v>
      </c>
    </row>
    <row r="581" spans="1:12" x14ac:dyDescent="0.25">
      <c r="A581" s="9" t="s">
        <v>580</v>
      </c>
      <c r="B581" s="2" t="str">
        <f>VLOOKUP(A581,[1]Sheet!B$3:G$2921,2,0)</f>
        <v>Улаштування примикань висотою 400 мм
з рулонних покрiвельних матерiалiв до
цегляних стiн i парапетiв iз
застосуванням газопламеневих пальникiв,
з наклеюванням стрiчки типу "Экобит"</v>
      </c>
      <c r="C581" s="3" t="str">
        <f>VLOOKUP(A581,[1]Sheet!B$3:G$2921,3,0)</f>
        <v>100 м</v>
      </c>
      <c r="D581" s="4">
        <v>0.45399999999999996</v>
      </c>
      <c r="E581" s="5" t="e">
        <f>VLOOKUP(A581,N$3:S$1271,4,FALSE)</f>
        <v>#N/A</v>
      </c>
      <c r="F581" s="6">
        <f t="shared" si="36"/>
        <v>0.45399999999999996</v>
      </c>
      <c r="G581" s="7">
        <f>VLOOKUP(A581,[1]Sheet!B$3:G$2921,5,0)</f>
        <v>4569.87</v>
      </c>
      <c r="H581" s="5" t="e">
        <f>VLOOKUP(A581,N$3:S$1271,5,FALSE)</f>
        <v>#N/A</v>
      </c>
      <c r="I581" s="6">
        <f t="shared" si="37"/>
        <v>4569.87</v>
      </c>
      <c r="J581" s="7">
        <f>VLOOKUP(A581,[1]Sheet!B$3:G$2921,6,0)</f>
        <v>429.57</v>
      </c>
      <c r="K581" s="8" t="e">
        <f t="shared" si="38"/>
        <v>#N/A</v>
      </c>
      <c r="L581" s="6">
        <f t="shared" si="39"/>
        <v>429.57</v>
      </c>
    </row>
    <row r="582" spans="1:12" x14ac:dyDescent="0.25">
      <c r="A582" s="9" t="s">
        <v>581</v>
      </c>
      <c r="B582" s="2" t="str">
        <f>VLOOKUP(A582,[1]Sheet!B$3:G$2921,2,0)</f>
        <v>Додавати або виключати на кожнi 100 мм
змiни висоти примикання з рулонних
покрiвельних матерiалiв до цегляних стiн i
парапетiв [при улаштуванні примикань]
(виключати до Н=250)</v>
      </c>
      <c r="C582" s="3" t="str">
        <f>VLOOKUP(A582,[1]Sheet!B$3:G$2921,3,0)</f>
        <v>100 м</v>
      </c>
      <c r="D582" s="4">
        <v>-0.82199999999999995</v>
      </c>
      <c r="E582" s="5" t="e">
        <f>VLOOKUP(A582,N$3:S$1271,4,FALSE)</f>
        <v>#N/A</v>
      </c>
      <c r="F582" s="6">
        <f t="shared" si="36"/>
        <v>-0.82199999999999995</v>
      </c>
      <c r="G582" s="7">
        <f>VLOOKUP(A582,[1]Sheet!B$3:G$2921,5,0)</f>
        <v>247.21</v>
      </c>
      <c r="H582" s="5" t="e">
        <f>VLOOKUP(A582,N$3:S$1271,5,FALSE)</f>
        <v>#N/A</v>
      </c>
      <c r="I582" s="6">
        <f t="shared" si="37"/>
        <v>247.21</v>
      </c>
      <c r="J582" s="7">
        <f>VLOOKUP(A582,[1]Sheet!B$3:G$2921,6,0)</f>
        <v>-89</v>
      </c>
      <c r="K582" s="8" t="e">
        <f t="shared" si="38"/>
        <v>#N/A</v>
      </c>
      <c r="L582" s="6">
        <f t="shared" si="39"/>
        <v>-89</v>
      </c>
    </row>
    <row r="583" spans="1:12" x14ac:dyDescent="0.25">
      <c r="A583" s="9" t="s">
        <v>582</v>
      </c>
      <c r="B583" s="2" t="str">
        <f>VLOOKUP(A583,[1]Sheet!B$3:G$2921,2,0)</f>
        <v>Додавати або виключати на кожнi 100 мм
змiни висоти примикання з рулонних
покрiвельних матерiалiв до цегляних стiн i
парапетiв [при улаштуванні примикань]
(виключати до висоти 200 мм)</v>
      </c>
      <c r="C583" s="3" t="str">
        <f>VLOOKUP(A583,[1]Sheet!B$3:G$2921,3,0)</f>
        <v>100 м</v>
      </c>
      <c r="D583" s="4">
        <v>0.24399999999999999</v>
      </c>
      <c r="E583" s="5" t="e">
        <f>VLOOKUP(A583,N$3:S$1271,4,FALSE)</f>
        <v>#N/A</v>
      </c>
      <c r="F583" s="6">
        <f t="shared" si="36"/>
        <v>0.24399999999999999</v>
      </c>
      <c r="G583" s="7">
        <f>VLOOKUP(A583,[1]Sheet!B$3:G$2921,5,0)</f>
        <v>344.09</v>
      </c>
      <c r="H583" s="5" t="e">
        <f>VLOOKUP(A583,N$3:S$1271,5,FALSE)</f>
        <v>#N/A</v>
      </c>
      <c r="I583" s="6">
        <f t="shared" si="37"/>
        <v>344.09</v>
      </c>
      <c r="J583" s="7">
        <f>VLOOKUP(A583,[1]Sheet!B$3:G$2921,6,0)</f>
        <v>83.96</v>
      </c>
      <c r="K583" s="8" t="e">
        <f t="shared" si="38"/>
        <v>#N/A</v>
      </c>
      <c r="L583" s="6">
        <f t="shared" si="39"/>
        <v>83.96</v>
      </c>
    </row>
    <row r="584" spans="1:12" x14ac:dyDescent="0.25">
      <c r="A584" s="9" t="s">
        <v>583</v>
      </c>
      <c r="B584" s="2" t="str">
        <f>VLOOKUP(A584,[1]Sheet!B$3:G$2921,2,0)</f>
        <v>Сталь кутова 50х50 мм</v>
      </c>
      <c r="C584" s="3" t="str">
        <f>VLOOKUP(A584,[1]Sheet!B$3:G$2921,3,0)</f>
        <v>т</v>
      </c>
      <c r="D584" s="4">
        <v>2.3200000000000002E-2</v>
      </c>
      <c r="E584" s="5" t="e">
        <f>VLOOKUP(A584,N$3:S$1271,4,FALSE)</f>
        <v>#N/A</v>
      </c>
      <c r="F584" s="6">
        <f t="shared" si="36"/>
        <v>2.3200000000000002E-2</v>
      </c>
      <c r="G584" s="7">
        <f>VLOOKUP(A584,[1]Sheet!B$3:G$2921,5,0)</f>
        <v>21736</v>
      </c>
      <c r="H584" s="5" t="e">
        <f>VLOOKUP(A584,N$3:S$1271,5,FALSE)</f>
        <v>#N/A</v>
      </c>
      <c r="I584" s="6">
        <f t="shared" si="37"/>
        <v>21736</v>
      </c>
      <c r="J584" s="7">
        <f>VLOOKUP(A584,[1]Sheet!B$3:G$2921,6,0)</f>
        <v>2900.5</v>
      </c>
      <c r="K584" s="8" t="e">
        <f t="shared" si="38"/>
        <v>#N/A</v>
      </c>
      <c r="L584" s="6">
        <f t="shared" si="39"/>
        <v>2900.5</v>
      </c>
    </row>
    <row r="585" spans="1:12" x14ac:dyDescent="0.25">
      <c r="A585" s="9" t="s">
        <v>584</v>
      </c>
      <c r="B585" s="2" t="str">
        <f>VLOOKUP(A585,[1]Sheet!B$3:G$2921,2,0)</f>
        <v>Сталь кутова 75х75 мм</v>
      </c>
      <c r="C585" s="3" t="str">
        <f>VLOOKUP(A585,[1]Sheet!B$3:G$2921,3,0)</f>
        <v>т</v>
      </c>
      <c r="D585" s="4">
        <v>1.0999999999999999E-2</v>
      </c>
      <c r="E585" s="5" t="e">
        <f>VLOOKUP(A585,N$3:S$1271,4,FALSE)</f>
        <v>#N/A</v>
      </c>
      <c r="F585" s="6">
        <f t="shared" si="36"/>
        <v>1.0999999999999999E-2</v>
      </c>
      <c r="G585" s="7">
        <f>VLOOKUP(A585,[1]Sheet!B$3:G$2921,5,0)</f>
        <v>21736</v>
      </c>
      <c r="H585" s="5" t="e">
        <f>VLOOKUP(A585,N$3:S$1271,5,FALSE)</f>
        <v>#N/A</v>
      </c>
      <c r="I585" s="6">
        <f t="shared" si="37"/>
        <v>21736</v>
      </c>
      <c r="J585" s="7">
        <f>VLOOKUP(A585,[1]Sheet!B$3:G$2921,6,0)</f>
        <v>239.1</v>
      </c>
      <c r="K585" s="8" t="e">
        <f t="shared" si="38"/>
        <v>#N/A</v>
      </c>
      <c r="L585" s="6">
        <f t="shared" si="39"/>
        <v>239.1</v>
      </c>
    </row>
    <row r="586" spans="1:12" x14ac:dyDescent="0.25">
      <c r="A586" s="9" t="s">
        <v>585</v>
      </c>
      <c r="B586" s="2" t="str">
        <f>VLOOKUP(A586,[1]Sheet!B$3:G$2921,2,0)</f>
        <v>Кронштейн металевий під датчики</v>
      </c>
      <c r="C586" s="3" t="str">
        <f>VLOOKUP(A586,[1]Sheet!B$3:G$2921,3,0)</f>
        <v>шт</v>
      </c>
      <c r="D586" s="4">
        <v>5</v>
      </c>
      <c r="E586" s="5" t="e">
        <f>VLOOKUP(A586,N$3:S$1271,4,FALSE)</f>
        <v>#N/A</v>
      </c>
      <c r="F586" s="6">
        <f t="shared" si="36"/>
        <v>5</v>
      </c>
      <c r="G586" s="7">
        <f>VLOOKUP(A586,[1]Sheet!B$3:G$2921,5,0)</f>
        <v>262.83999999999997</v>
      </c>
      <c r="H586" s="5" t="e">
        <f>VLOOKUP(A586,N$3:S$1271,5,FALSE)</f>
        <v>#N/A</v>
      </c>
      <c r="I586" s="6">
        <f t="shared" si="37"/>
        <v>262.83999999999997</v>
      </c>
      <c r="J586" s="7">
        <f>VLOOKUP(A586,[1]Sheet!B$3:G$2921,6,0)</f>
        <v>788.52</v>
      </c>
      <c r="K586" s="8" t="e">
        <f t="shared" si="38"/>
        <v>#N/A</v>
      </c>
      <c r="L586" s="6">
        <f t="shared" si="39"/>
        <v>788.52</v>
      </c>
    </row>
    <row r="587" spans="1:12" x14ac:dyDescent="0.25">
      <c r="A587" s="9" t="s">
        <v>586</v>
      </c>
      <c r="B587" s="2" t="str">
        <f>VLOOKUP(A587,[1]Sheet!B$3:G$2921,2,0)</f>
        <v>Рифлений прокат 4х370х370 ГОСТ 8568-77</v>
      </c>
      <c r="C587" s="3" t="str">
        <f>VLOOKUP(A587,[1]Sheet!B$3:G$2921,3,0)</f>
        <v>т</v>
      </c>
      <c r="D587" s="4">
        <v>0.01</v>
      </c>
      <c r="E587" s="5" t="e">
        <f>VLOOKUP(A587,N$3:S$1271,4,FALSE)</f>
        <v>#N/A</v>
      </c>
      <c r="F587" s="6">
        <f t="shared" si="36"/>
        <v>0.01</v>
      </c>
      <c r="G587" s="7">
        <f>VLOOKUP(A587,[1]Sheet!B$3:G$2921,5,0)</f>
        <v>36995.589999999997</v>
      </c>
      <c r="H587" s="5" t="e">
        <f>VLOOKUP(A587,N$3:S$1271,5,FALSE)</f>
        <v>#N/A</v>
      </c>
      <c r="I587" s="6">
        <f t="shared" si="37"/>
        <v>36995.589999999997</v>
      </c>
      <c r="J587" s="7">
        <f>VLOOKUP(A587,[1]Sheet!B$3:G$2921,6,0)</f>
        <v>369.96</v>
      </c>
      <c r="K587" s="8" t="e">
        <f t="shared" si="38"/>
        <v>#N/A</v>
      </c>
      <c r="L587" s="6">
        <f t="shared" si="39"/>
        <v>369.96</v>
      </c>
    </row>
    <row r="588" spans="1:12" x14ac:dyDescent="0.25">
      <c r="A588" s="9" t="s">
        <v>587</v>
      </c>
      <c r="B588" s="2" t="str">
        <f>VLOOKUP(A588,[1]Sheet!B$3:G$2921,2,0)</f>
        <v>Профіль головний для підвісної стелі</v>
      </c>
      <c r="C588" s="3" t="str">
        <f>VLOOKUP(A588,[1]Sheet!B$3:G$2921,3,0)</f>
        <v>м</v>
      </c>
      <c r="D588" s="4">
        <v>497.1350000000001</v>
      </c>
      <c r="E588" s="5" t="e">
        <f>VLOOKUP(A588,N$3:S$1271,4,FALSE)</f>
        <v>#N/A</v>
      </c>
      <c r="F588" s="6">
        <f t="shared" si="36"/>
        <v>497.1350000000001</v>
      </c>
      <c r="G588" s="7">
        <f>VLOOKUP(A588,[1]Sheet!B$3:G$2921,5,0)</f>
        <v>32.72</v>
      </c>
      <c r="H588" s="5" t="e">
        <f>VLOOKUP(A588,N$3:S$1271,5,FALSE)</f>
        <v>#N/A</v>
      </c>
      <c r="I588" s="6">
        <f t="shared" si="37"/>
        <v>32.72</v>
      </c>
      <c r="J588" s="7">
        <f>VLOOKUP(A588,[1]Sheet!B$3:G$2921,6,0)</f>
        <v>4526.76</v>
      </c>
      <c r="K588" s="8" t="e">
        <f t="shared" si="38"/>
        <v>#N/A</v>
      </c>
      <c r="L588" s="6">
        <f t="shared" si="39"/>
        <v>4526.76</v>
      </c>
    </row>
    <row r="589" spans="1:12" x14ac:dyDescent="0.25">
      <c r="A589" s="9" t="s">
        <v>588</v>
      </c>
      <c r="B589" s="2" t="str">
        <f>VLOOKUP(A589,[1]Sheet!B$3:G$2921,2,0)</f>
        <v>Прокат для армування з/б конструкцiй
круглий та перiодичного профiлю, клас А-III,
дiаметр 10 мм</v>
      </c>
      <c r="C589" s="3" t="str">
        <f>VLOOKUP(A589,[1]Sheet!B$3:G$2921,3,0)</f>
        <v>т</v>
      </c>
      <c r="D589" s="4">
        <v>2.8200000000000005E-3</v>
      </c>
      <c r="E589" s="5" t="e">
        <f>VLOOKUP(A589,N$3:S$1271,4,FALSE)</f>
        <v>#N/A</v>
      </c>
      <c r="F589" s="6">
        <f t="shared" si="36"/>
        <v>2.8200000000000005E-3</v>
      </c>
      <c r="G589" s="7">
        <f>VLOOKUP(A589,[1]Sheet!B$3:G$2921,5,0)</f>
        <v>27851.599999999999</v>
      </c>
      <c r="H589" s="5" t="e">
        <f>VLOOKUP(A589,N$3:S$1271,5,FALSE)</f>
        <v>#N/A</v>
      </c>
      <c r="I589" s="6">
        <f t="shared" si="37"/>
        <v>27851.599999999999</v>
      </c>
      <c r="J589" s="7">
        <f>VLOOKUP(A589,[1]Sheet!B$3:G$2921,6,0)</f>
        <v>41.22</v>
      </c>
      <c r="K589" s="8" t="e">
        <f t="shared" si="38"/>
        <v>#N/A</v>
      </c>
      <c r="L589" s="6">
        <f t="shared" si="39"/>
        <v>41.22</v>
      </c>
    </row>
    <row r="590" spans="1:12" x14ac:dyDescent="0.25">
      <c r="A590" s="9" t="s">
        <v>589</v>
      </c>
      <c r="B590" s="2" t="str">
        <f>VLOOKUP(A590,[1]Sheet!B$3:G$2921,2,0)</f>
        <v>Профіль пристінний для підвісної стелі</v>
      </c>
      <c r="C590" s="3" t="str">
        <f>VLOOKUP(A590,[1]Sheet!B$3:G$2921,3,0)</f>
        <v>м</v>
      </c>
      <c r="D590" s="4">
        <v>565.16399999999999</v>
      </c>
      <c r="E590" s="5" t="e">
        <f>VLOOKUP(A590,N$3:S$1271,4,FALSE)</f>
        <v>#N/A</v>
      </c>
      <c r="F590" s="6">
        <f t="shared" si="36"/>
        <v>565.16399999999999</v>
      </c>
      <c r="G590" s="7">
        <f>VLOOKUP(A590,[1]Sheet!B$3:G$2921,5,0)</f>
        <v>21.85</v>
      </c>
      <c r="H590" s="5" t="e">
        <f>VLOOKUP(A590,N$3:S$1271,5,FALSE)</f>
        <v>#N/A</v>
      </c>
      <c r="I590" s="6">
        <f t="shared" si="37"/>
        <v>21.85</v>
      </c>
      <c r="J590" s="7">
        <f>VLOOKUP(A590,[1]Sheet!B$3:G$2921,6,0)</f>
        <v>3436.58</v>
      </c>
      <c r="K590" s="8" t="e">
        <f t="shared" si="38"/>
        <v>#N/A</v>
      </c>
      <c r="L590" s="6">
        <f t="shared" si="39"/>
        <v>3436.58</v>
      </c>
    </row>
    <row r="591" spans="1:12" x14ac:dyDescent="0.25">
      <c r="A591" s="9" t="s">
        <v>590</v>
      </c>
      <c r="B591" s="2" t="str">
        <f>VLOOKUP(A591,[1]Sheet!B$3:G$2921,2,0)</f>
        <v>Гайка M10</v>
      </c>
      <c r="C591" s="3" t="str">
        <f>VLOOKUP(A591,[1]Sheet!B$3:G$2921,3,0)</f>
        <v>шт</v>
      </c>
      <c r="D591" s="4">
        <v>987</v>
      </c>
      <c r="E591" s="5" t="e">
        <f>VLOOKUP(A591,N$3:S$1271,4,FALSE)</f>
        <v>#N/A</v>
      </c>
      <c r="F591" s="6">
        <f t="shared" si="36"/>
        <v>987</v>
      </c>
      <c r="G591" s="7">
        <f>VLOOKUP(A591,[1]Sheet!B$3:G$2921,5,0)</f>
        <v>0.43</v>
      </c>
      <c r="H591" s="5" t="e">
        <f>VLOOKUP(A591,N$3:S$1271,5,FALSE)</f>
        <v>#N/A</v>
      </c>
      <c r="I591" s="6">
        <f t="shared" si="37"/>
        <v>0.43</v>
      </c>
      <c r="J591" s="7">
        <f>VLOOKUP(A591,[1]Sheet!B$3:G$2921,6,0)</f>
        <v>424.41</v>
      </c>
      <c r="K591" s="8" t="e">
        <f t="shared" si="38"/>
        <v>#N/A</v>
      </c>
      <c r="L591" s="6">
        <f t="shared" si="39"/>
        <v>424.41</v>
      </c>
    </row>
    <row r="592" spans="1:12" x14ac:dyDescent="0.25">
      <c r="A592" s="9" t="s">
        <v>591</v>
      </c>
      <c r="B592" s="2" t="str">
        <f>VLOOKUP(A592,[1]Sheet!B$3:G$2921,2,0)</f>
        <v>Профіль поперечний 1200мм для підвісної
стелі</v>
      </c>
      <c r="C592" s="3" t="str">
        <f>VLOOKUP(A592,[1]Sheet!B$3:G$2921,3,0)</f>
        <v>м</v>
      </c>
      <c r="D592" s="4">
        <v>994.27000000000021</v>
      </c>
      <c r="E592" s="5" t="e">
        <f>VLOOKUP(A592,N$3:S$1271,4,FALSE)</f>
        <v>#N/A</v>
      </c>
      <c r="F592" s="6">
        <f t="shared" si="36"/>
        <v>994.27000000000021</v>
      </c>
      <c r="G592" s="7">
        <f>VLOOKUP(A592,[1]Sheet!B$3:G$2921,5,0)</f>
        <v>23.68</v>
      </c>
      <c r="H592" s="5" t="e">
        <f>VLOOKUP(A592,N$3:S$1271,5,FALSE)</f>
        <v>#N/A</v>
      </c>
      <c r="I592" s="6">
        <f t="shared" si="37"/>
        <v>23.68</v>
      </c>
      <c r="J592" s="7">
        <f>VLOOKUP(A592,[1]Sheet!B$3:G$2921,6,0)</f>
        <v>6552.18</v>
      </c>
      <c r="K592" s="8" t="e">
        <f t="shared" si="38"/>
        <v>#N/A</v>
      </c>
      <c r="L592" s="6">
        <f t="shared" si="39"/>
        <v>6552.18</v>
      </c>
    </row>
    <row r="593" spans="1:12" x14ac:dyDescent="0.25">
      <c r="A593" s="9" t="s">
        <v>592</v>
      </c>
      <c r="B593" s="2" t="str">
        <f>VLOOKUP(A593,[1]Sheet!B$3:G$2921,2,0)</f>
        <v>Дюбель 6х40</v>
      </c>
      <c r="C593" s="3" t="str">
        <f>VLOOKUP(A593,[1]Sheet!B$3:G$2921,3,0)</f>
        <v>шт</v>
      </c>
      <c r="D593" s="4">
        <v>2246</v>
      </c>
      <c r="E593" s="5" t="e">
        <f>VLOOKUP(A593,N$3:S$1271,4,FALSE)</f>
        <v>#N/A</v>
      </c>
      <c r="F593" s="6">
        <f t="shared" si="36"/>
        <v>2246</v>
      </c>
      <c r="G593" s="7">
        <f>VLOOKUP(A593,[1]Sheet!B$3:G$2921,5,0)</f>
        <v>0.53</v>
      </c>
      <c r="H593" s="5" t="e">
        <f>VLOOKUP(A593,N$3:S$1271,5,FALSE)</f>
        <v>#N/A</v>
      </c>
      <c r="I593" s="6">
        <f t="shared" si="37"/>
        <v>0.53</v>
      </c>
      <c r="J593" s="7">
        <f>VLOOKUP(A593,[1]Sheet!B$3:G$2921,6,0)</f>
        <v>13.25</v>
      </c>
      <c r="K593" s="8" t="e">
        <f t="shared" si="38"/>
        <v>#N/A</v>
      </c>
      <c r="L593" s="6">
        <f t="shared" si="39"/>
        <v>13.25</v>
      </c>
    </row>
    <row r="594" spans="1:12" x14ac:dyDescent="0.25">
      <c r="A594" s="9" t="s">
        <v>593</v>
      </c>
      <c r="B594" s="2" t="str">
        <f>VLOOKUP(A594,[1]Sheet!B$3:G$2921,2,0)</f>
        <v>Дюбелі фасадні LMX-10180 ф.Baumit</v>
      </c>
      <c r="C594" s="3" t="str">
        <f>VLOOKUP(A594,[1]Sheet!B$3:G$2921,3,0)</f>
        <v>шт</v>
      </c>
      <c r="D594" s="4">
        <v>2637</v>
      </c>
      <c r="E594" s="5" t="e">
        <f>VLOOKUP(A594,N$3:S$1271,4,FALSE)</f>
        <v>#N/A</v>
      </c>
      <c r="F594" s="6">
        <f t="shared" si="36"/>
        <v>2637</v>
      </c>
      <c r="G594" s="7">
        <f>VLOOKUP(A594,[1]Sheet!B$3:G$2921,5,0)</f>
        <v>5.87</v>
      </c>
      <c r="H594" s="5" t="e">
        <f>VLOOKUP(A594,N$3:S$1271,5,FALSE)</f>
        <v>#N/A</v>
      </c>
      <c r="I594" s="6">
        <f t="shared" si="37"/>
        <v>5.87</v>
      </c>
      <c r="J594" s="7">
        <f>VLOOKUP(A594,[1]Sheet!B$3:G$2921,6,0)</f>
        <v>8910.66</v>
      </c>
      <c r="K594" s="8" t="e">
        <f t="shared" si="38"/>
        <v>#N/A</v>
      </c>
      <c r="L594" s="6">
        <f t="shared" si="39"/>
        <v>8910.66</v>
      </c>
    </row>
    <row r="595" spans="1:12" x14ac:dyDescent="0.25">
      <c r="A595" s="9" t="s">
        <v>594</v>
      </c>
      <c r="B595" s="2" t="str">
        <f>VLOOKUP(A595,[1]Sheet!B$3:G$2921,2,0)</f>
        <v>Шпилька М 16х150, 2 гайки, 2 шайби та
контргайка (к-т)</v>
      </c>
      <c r="C595" s="3" t="str">
        <f>VLOOKUP(A595,[1]Sheet!B$3:G$2921,3,0)</f>
        <v>шт</v>
      </c>
      <c r="D595" s="4">
        <v>156</v>
      </c>
      <c r="E595" s="5" t="e">
        <f>VLOOKUP(A595,N$3:S$1271,4,FALSE)</f>
        <v>#N/A</v>
      </c>
      <c r="F595" s="6">
        <f t="shared" si="36"/>
        <v>156</v>
      </c>
      <c r="G595" s="7">
        <f>VLOOKUP(A595,[1]Sheet!B$3:G$2921,5,0)</f>
        <v>26.61</v>
      </c>
      <c r="H595" s="5" t="e">
        <f>VLOOKUP(A595,N$3:S$1271,5,FALSE)</f>
        <v>#N/A</v>
      </c>
      <c r="I595" s="6">
        <f t="shared" si="37"/>
        <v>26.61</v>
      </c>
      <c r="J595" s="7">
        <f>VLOOKUP(A595,[1]Sheet!B$3:G$2921,6,0)</f>
        <v>4151.16</v>
      </c>
      <c r="K595" s="8" t="e">
        <f t="shared" si="38"/>
        <v>#N/A</v>
      </c>
      <c r="L595" s="6">
        <f t="shared" si="39"/>
        <v>4151.16</v>
      </c>
    </row>
    <row r="596" spans="1:12" x14ac:dyDescent="0.25">
      <c r="A596" s="9" t="s">
        <v>595</v>
      </c>
      <c r="B596" s="2" t="str">
        <f>VLOOKUP(A596,[1]Sheet!B$3:G$2921,2,0)</f>
        <v>Профіль поперечний 600мм для підвісної
стелі</v>
      </c>
      <c r="C596" s="3" t="str">
        <f>VLOOKUP(A596,[1]Sheet!B$3:G$2921,3,0)</f>
        <v>м</v>
      </c>
      <c r="D596" s="4">
        <v>497.1350000000001</v>
      </c>
      <c r="E596" s="5" t="e">
        <f>VLOOKUP(A596,N$3:S$1271,4,FALSE)</f>
        <v>#N/A</v>
      </c>
      <c r="F596" s="6">
        <f t="shared" si="36"/>
        <v>497.1350000000001</v>
      </c>
      <c r="G596" s="7">
        <f>VLOOKUP(A596,[1]Sheet!B$3:G$2921,5,0)</f>
        <v>16.010000000000002</v>
      </c>
      <c r="H596" s="5" t="e">
        <f>VLOOKUP(A596,N$3:S$1271,5,FALSE)</f>
        <v>#N/A</v>
      </c>
      <c r="I596" s="6">
        <f t="shared" si="37"/>
        <v>16.010000000000002</v>
      </c>
      <c r="J596" s="7">
        <f>VLOOKUP(A596,[1]Sheet!B$3:G$2921,6,0)</f>
        <v>2214.96</v>
      </c>
      <c r="K596" s="8" t="e">
        <f t="shared" si="38"/>
        <v>#N/A</v>
      </c>
      <c r="L596" s="6">
        <f t="shared" si="39"/>
        <v>2214.96</v>
      </c>
    </row>
    <row r="597" spans="1:12" x14ac:dyDescent="0.25">
      <c r="A597" s="9" t="s">
        <v>596</v>
      </c>
      <c r="B597" s="2" t="str">
        <f>VLOOKUP(A597,[1]Sheet!B$3:G$2921,2,0)</f>
        <v>Комплект для монтажу (2 направляючих та
шпильки для підігрівача ТПР-7-PN16/2-44-
TKTL76</v>
      </c>
      <c r="C597" s="3" t="str">
        <f>VLOOKUP(A597,[1]Sheet!B$3:G$2921,3,0)</f>
        <v>компл.</v>
      </c>
      <c r="D597" s="4">
        <v>1</v>
      </c>
      <c r="E597" s="5" t="e">
        <f>VLOOKUP(A597,N$3:S$1271,4,FALSE)</f>
        <v>#N/A</v>
      </c>
      <c r="F597" s="6">
        <f t="shared" si="36"/>
        <v>1</v>
      </c>
      <c r="G597" s="7">
        <f>VLOOKUP(A597,[1]Sheet!B$3:G$2921,5,0)</f>
        <v>504.1</v>
      </c>
      <c r="H597" s="5" t="e">
        <f>VLOOKUP(A597,N$3:S$1271,5,FALSE)</f>
        <v>#N/A</v>
      </c>
      <c r="I597" s="6">
        <f t="shared" si="37"/>
        <v>504.1</v>
      </c>
      <c r="J597" s="7">
        <f>VLOOKUP(A597,[1]Sheet!B$3:G$2921,6,0)</f>
        <v>504.1</v>
      </c>
      <c r="K597" s="8" t="e">
        <f t="shared" si="38"/>
        <v>#N/A</v>
      </c>
      <c r="L597" s="6">
        <f t="shared" si="39"/>
        <v>504.1</v>
      </c>
    </row>
    <row r="598" spans="1:12" x14ac:dyDescent="0.25">
      <c r="A598" s="9" t="s">
        <v>597</v>
      </c>
      <c r="B598" s="2" t="str">
        <f>VLOOKUP(A598,[1]Sheet!B$3:G$2921,2,0)</f>
        <v>Самонарізні шурупи з ущільновальною
шайбою ОД-48035Т+RAL 4,8х35</v>
      </c>
      <c r="C598" s="3" t="str">
        <f>VLOOKUP(A598,[1]Sheet!B$3:G$2921,3,0)</f>
        <v>шт</v>
      </c>
      <c r="D598" s="4">
        <v>60</v>
      </c>
      <c r="E598" s="5" t="e">
        <f>VLOOKUP(A598,N$3:S$1271,4,FALSE)</f>
        <v>#N/A</v>
      </c>
      <c r="F598" s="6">
        <f t="shared" si="36"/>
        <v>60</v>
      </c>
      <c r="G598" s="7">
        <f>VLOOKUP(A598,[1]Sheet!B$3:G$2921,5,0)</f>
        <v>1.03</v>
      </c>
      <c r="H598" s="5" t="e">
        <f>VLOOKUP(A598,N$3:S$1271,5,FALSE)</f>
        <v>#N/A</v>
      </c>
      <c r="I598" s="6">
        <f t="shared" si="37"/>
        <v>1.03</v>
      </c>
      <c r="J598" s="7">
        <f>VLOOKUP(A598,[1]Sheet!B$3:G$2921,6,0)</f>
        <v>61.8</v>
      </c>
      <c r="K598" s="8" t="e">
        <f t="shared" si="38"/>
        <v>#N/A</v>
      </c>
      <c r="L598" s="6">
        <f t="shared" si="39"/>
        <v>61.8</v>
      </c>
    </row>
    <row r="599" spans="1:12" x14ac:dyDescent="0.25">
      <c r="A599" s="9" t="s">
        <v>598</v>
      </c>
      <c r="B599" s="2" t="str">
        <f>VLOOKUP(A599,[1]Sheet!B$3:G$2921,2,0)</f>
        <v>Саморез 3,5х25 мм</v>
      </c>
      <c r="C599" s="3" t="str">
        <f>VLOOKUP(A599,[1]Sheet!B$3:G$2921,3,0)</f>
        <v>шт.</v>
      </c>
      <c r="D599" s="4">
        <v>651</v>
      </c>
      <c r="E599" s="5" t="e">
        <f>VLOOKUP(A599,N$3:S$1271,4,FALSE)</f>
        <v>#N/A</v>
      </c>
      <c r="F599" s="6">
        <f t="shared" si="36"/>
        <v>651</v>
      </c>
      <c r="G599" s="7">
        <f>VLOOKUP(A599,[1]Sheet!B$3:G$2921,5,0)</f>
        <v>0.19</v>
      </c>
      <c r="H599" s="5" t="e">
        <f>VLOOKUP(A599,N$3:S$1271,5,FALSE)</f>
        <v>#N/A</v>
      </c>
      <c r="I599" s="6">
        <f t="shared" si="37"/>
        <v>0.19</v>
      </c>
      <c r="J599" s="7">
        <f>VLOOKUP(A599,[1]Sheet!B$3:G$2921,6,0)</f>
        <v>123.69</v>
      </c>
      <c r="K599" s="8" t="e">
        <f t="shared" si="38"/>
        <v>#N/A</v>
      </c>
      <c r="L599" s="6">
        <f t="shared" si="39"/>
        <v>123.69</v>
      </c>
    </row>
    <row r="600" spans="1:12" x14ac:dyDescent="0.25">
      <c r="A600" s="9" t="s">
        <v>599</v>
      </c>
      <c r="B600" s="2" t="str">
        <f>VLOOKUP(A600,[1]Sheet!B$3:G$2921,2,0)</f>
        <v>Шуруп ХТN 3,9х35мм</v>
      </c>
      <c r="C600" s="3" t="str">
        <f>VLOOKUP(A600,[1]Sheet!B$3:G$2921,3,0)</f>
        <v>шт</v>
      </c>
      <c r="D600" s="4">
        <v>8144</v>
      </c>
      <c r="E600" s="5" t="e">
        <f>VLOOKUP(A600,N$3:S$1271,4,FALSE)</f>
        <v>#N/A</v>
      </c>
      <c r="F600" s="6">
        <f t="shared" si="36"/>
        <v>8144</v>
      </c>
      <c r="G600" s="7">
        <f>VLOOKUP(A600,[1]Sheet!B$3:G$2921,5,0)</f>
        <v>0.71</v>
      </c>
      <c r="H600" s="5" t="e">
        <f>VLOOKUP(A600,N$3:S$1271,5,FALSE)</f>
        <v>#N/A</v>
      </c>
      <c r="I600" s="6">
        <f t="shared" si="37"/>
        <v>0.71</v>
      </c>
      <c r="J600" s="7">
        <f>VLOOKUP(A600,[1]Sheet!B$3:G$2921,6,0)</f>
        <v>2450.92</v>
      </c>
      <c r="K600" s="8" t="e">
        <f t="shared" si="38"/>
        <v>#N/A</v>
      </c>
      <c r="L600" s="6">
        <f t="shared" si="39"/>
        <v>2450.92</v>
      </c>
    </row>
    <row r="601" spans="1:12" x14ac:dyDescent="0.25">
      <c r="A601" s="9" t="s">
        <v>600</v>
      </c>
      <c r="B601" s="2" t="str">
        <f>VLOOKUP(A601,[1]Sheet!B$3:G$2921,2,0)</f>
        <v>Шуруп ХТN 3,9х23мм</v>
      </c>
      <c r="C601" s="3" t="str">
        <f>VLOOKUP(A601,[1]Sheet!B$3:G$2921,3,0)</f>
        <v>шт</v>
      </c>
      <c r="D601" s="4">
        <v>58803</v>
      </c>
      <c r="E601" s="5" t="e">
        <f>VLOOKUP(A601,N$3:S$1271,4,FALSE)</f>
        <v>#N/A</v>
      </c>
      <c r="F601" s="6">
        <f t="shared" si="36"/>
        <v>58803</v>
      </c>
      <c r="G601" s="7">
        <f>VLOOKUP(A601,[1]Sheet!B$3:G$2921,5,0)</f>
        <v>0.51</v>
      </c>
      <c r="H601" s="5" t="e">
        <f>VLOOKUP(A601,N$3:S$1271,5,FALSE)</f>
        <v>#N/A</v>
      </c>
      <c r="I601" s="6">
        <f t="shared" si="37"/>
        <v>0.51</v>
      </c>
      <c r="J601" s="7">
        <f>VLOOKUP(A601,[1]Sheet!B$3:G$2921,6,0)</f>
        <v>14878.74</v>
      </c>
      <c r="K601" s="8" t="e">
        <f t="shared" si="38"/>
        <v>#N/A</v>
      </c>
      <c r="L601" s="6">
        <f t="shared" si="39"/>
        <v>14878.74</v>
      </c>
    </row>
    <row r="602" spans="1:12" x14ac:dyDescent="0.25">
      <c r="A602" s="9" t="s">
        <v>601</v>
      </c>
      <c r="B602" s="2" t="str">
        <f>VLOOKUP(A602,[1]Sheet!B$3:G$2921,2,0)</f>
        <v>Дюбель 8х100 мм</v>
      </c>
      <c r="C602" s="3" t="str">
        <f>VLOOKUP(A602,[1]Sheet!B$3:G$2921,3,0)</f>
        <v>100шт</v>
      </c>
      <c r="D602" s="4">
        <v>9.9300000000000015</v>
      </c>
      <c r="E602" s="5" t="e">
        <f>VLOOKUP(A602,N$3:S$1271,4,FALSE)</f>
        <v>#N/A</v>
      </c>
      <c r="F602" s="6">
        <f t="shared" si="36"/>
        <v>9.9300000000000015</v>
      </c>
      <c r="G602" s="7">
        <f>VLOOKUP(A602,[1]Sheet!B$3:G$2921,5,0)</f>
        <v>202.71</v>
      </c>
      <c r="H602" s="5" t="e">
        <f>VLOOKUP(A602,N$3:S$1271,5,FALSE)</f>
        <v>#N/A</v>
      </c>
      <c r="I602" s="6">
        <f t="shared" si="37"/>
        <v>202.71</v>
      </c>
      <c r="J602" s="7">
        <f>VLOOKUP(A602,[1]Sheet!B$3:G$2921,6,0)</f>
        <v>1487.89</v>
      </c>
      <c r="K602" s="8" t="e">
        <f t="shared" si="38"/>
        <v>#N/A</v>
      </c>
      <c r="L602" s="6">
        <f t="shared" si="39"/>
        <v>1487.89</v>
      </c>
    </row>
    <row r="603" spans="1:12" x14ac:dyDescent="0.25">
      <c r="A603" s="9" t="s">
        <v>602</v>
      </c>
      <c r="B603" s="2" t="str">
        <f>VLOOKUP(A603,[1]Sheet!B$3:G$2921,2,0)</f>
        <v>Гiдроiзол</v>
      </c>
      <c r="C603" s="3" t="str">
        <f>VLOOKUP(A603,[1]Sheet!B$3:G$2921,3,0)</f>
        <v>м2</v>
      </c>
      <c r="D603" s="4">
        <v>37.927999999999997</v>
      </c>
      <c r="E603" s="5" t="e">
        <f>VLOOKUP(A603,N$3:S$1271,4,FALSE)</f>
        <v>#N/A</v>
      </c>
      <c r="F603" s="6">
        <f t="shared" si="36"/>
        <v>37.927999999999997</v>
      </c>
      <c r="G603" s="7">
        <f>VLOOKUP(A603,[1]Sheet!B$3:G$2921,5,0)</f>
        <v>41.98</v>
      </c>
      <c r="H603" s="5" t="e">
        <f>VLOOKUP(A603,N$3:S$1271,5,FALSE)</f>
        <v>#N/A</v>
      </c>
      <c r="I603" s="6">
        <f t="shared" si="37"/>
        <v>41.98</v>
      </c>
      <c r="J603" s="7">
        <f>VLOOKUP(A603,[1]Sheet!B$3:G$2921,6,0)</f>
        <v>1592.22</v>
      </c>
      <c r="K603" s="8" t="e">
        <f t="shared" si="38"/>
        <v>#N/A</v>
      </c>
      <c r="L603" s="6">
        <f t="shared" si="39"/>
        <v>1592.22</v>
      </c>
    </row>
    <row r="604" spans="1:12" x14ac:dyDescent="0.25">
      <c r="A604" s="9" t="s">
        <v>603</v>
      </c>
      <c r="B604" s="2" t="str">
        <f>VLOOKUP(A604,[1]Sheet!B$3:G$2921,2,0)</f>
        <v>Підвіс</v>
      </c>
      <c r="C604" s="3" t="str">
        <f>VLOOKUP(A604,[1]Sheet!B$3:G$2921,3,0)</f>
        <v>шт</v>
      </c>
      <c r="D604" s="4">
        <v>420</v>
      </c>
      <c r="E604" s="5" t="e">
        <f>VLOOKUP(A604,N$3:S$1271,4,FALSE)</f>
        <v>#N/A</v>
      </c>
      <c r="F604" s="6">
        <f t="shared" si="36"/>
        <v>420</v>
      </c>
      <c r="G604" s="7">
        <f>VLOOKUP(A604,[1]Sheet!B$3:G$2921,5,0)</f>
        <v>8.7899999999999991</v>
      </c>
      <c r="H604" s="5" t="e">
        <f>VLOOKUP(A604,N$3:S$1271,5,FALSE)</f>
        <v>#N/A</v>
      </c>
      <c r="I604" s="6">
        <f t="shared" si="37"/>
        <v>8.7899999999999991</v>
      </c>
      <c r="J604" s="7">
        <f>VLOOKUP(A604,[1]Sheet!B$3:G$2921,6,0)</f>
        <v>1028.43</v>
      </c>
      <c r="K604" s="8" t="e">
        <f t="shared" si="38"/>
        <v>#N/A</v>
      </c>
      <c r="L604" s="6">
        <f t="shared" si="39"/>
        <v>1028.43</v>
      </c>
    </row>
    <row r="605" spans="1:12" x14ac:dyDescent="0.25">
      <c r="A605" s="9" t="s">
        <v>604</v>
      </c>
      <c r="B605" s="2" t="str">
        <f>VLOOKUP(A605,[1]Sheet!B$3:G$2921,2,0)</f>
        <v>Грунтовка бiтумна</v>
      </c>
      <c r="C605" s="3" t="str">
        <f>VLOOKUP(A605,[1]Sheet!B$3:G$2921,3,0)</f>
        <v>т</v>
      </c>
      <c r="D605" s="4">
        <v>1.3791999999999999E-2</v>
      </c>
      <c r="E605" s="5" t="e">
        <f>VLOOKUP(A605,N$3:S$1271,4,FALSE)</f>
        <v>#N/A</v>
      </c>
      <c r="F605" s="6">
        <f t="shared" si="36"/>
        <v>1.3791999999999999E-2</v>
      </c>
      <c r="G605" s="7">
        <f>VLOOKUP(A605,[1]Sheet!B$3:G$2921,5,0)</f>
        <v>54107.75</v>
      </c>
      <c r="H605" s="5" t="e">
        <f>VLOOKUP(A605,N$3:S$1271,5,FALSE)</f>
        <v>#N/A</v>
      </c>
      <c r="I605" s="6">
        <f t="shared" si="37"/>
        <v>54107.75</v>
      </c>
      <c r="J605" s="7">
        <f>VLOOKUP(A605,[1]Sheet!B$3:G$2921,6,0)</f>
        <v>746.25</v>
      </c>
      <c r="K605" s="8" t="e">
        <f t="shared" si="38"/>
        <v>#N/A</v>
      </c>
      <c r="L605" s="6">
        <f t="shared" si="39"/>
        <v>746.25</v>
      </c>
    </row>
    <row r="606" spans="1:12" x14ac:dyDescent="0.25">
      <c r="A606" s="9" t="s">
        <v>605</v>
      </c>
      <c r="B606" s="2" t="str">
        <f>VLOOKUP(A606,[1]Sheet!B$3:G$2921,2,0)</f>
        <v>Грунтувальна суміш Baumit UniPrimer</v>
      </c>
      <c r="C606" s="3" t="str">
        <f>VLOOKUP(A606,[1]Sheet!B$3:G$2921,3,0)</f>
        <v>л</v>
      </c>
      <c r="D606" s="4">
        <v>48.935999999999993</v>
      </c>
      <c r="E606" s="5" t="e">
        <f>VLOOKUP(A606,N$3:S$1271,4,FALSE)</f>
        <v>#N/A</v>
      </c>
      <c r="F606" s="6">
        <f t="shared" si="36"/>
        <v>48.935999999999993</v>
      </c>
      <c r="G606" s="7">
        <f>VLOOKUP(A606,[1]Sheet!B$3:G$2921,5,0)</f>
        <v>58.93</v>
      </c>
      <c r="H606" s="5" t="e">
        <f>VLOOKUP(A606,N$3:S$1271,5,FALSE)</f>
        <v>#N/A</v>
      </c>
      <c r="I606" s="6">
        <f t="shared" si="37"/>
        <v>58.93</v>
      </c>
      <c r="J606" s="7">
        <f>VLOOKUP(A606,[1]Sheet!B$3:G$2921,6,0)</f>
        <v>223.4</v>
      </c>
      <c r="K606" s="8" t="e">
        <f t="shared" si="38"/>
        <v>#N/A</v>
      </c>
      <c r="L606" s="6">
        <f t="shared" si="39"/>
        <v>223.4</v>
      </c>
    </row>
    <row r="607" spans="1:12" x14ac:dyDescent="0.25">
      <c r="A607" s="9" t="s">
        <v>606</v>
      </c>
      <c r="B607" s="2" t="str">
        <f>VLOOKUP(A607,[1]Sheet!B$3:G$2921,2,0)</f>
        <v>Фарба водоемульсійна</v>
      </c>
      <c r="C607" s="3" t="str">
        <f>VLOOKUP(A607,[1]Sheet!B$3:G$2921,3,0)</f>
        <v>кг</v>
      </c>
      <c r="D607" s="4">
        <v>61.883399999999995</v>
      </c>
      <c r="E607" s="5" t="e">
        <f>VLOOKUP(A607,N$3:S$1271,4,FALSE)</f>
        <v>#N/A</v>
      </c>
      <c r="F607" s="6">
        <f t="shared" si="36"/>
        <v>61.883399999999995</v>
      </c>
      <c r="G607" s="7">
        <f>VLOOKUP(A607,[1]Sheet!B$3:G$2921,5,0)</f>
        <v>119.02</v>
      </c>
      <c r="H607" s="5" t="e">
        <f>VLOOKUP(A607,N$3:S$1271,5,FALSE)</f>
        <v>#N/A</v>
      </c>
      <c r="I607" s="6">
        <f t="shared" si="37"/>
        <v>119.02</v>
      </c>
      <c r="J607" s="7">
        <f>VLOOKUP(A607,[1]Sheet!B$3:G$2921,6,0)</f>
        <v>5262.02</v>
      </c>
      <c r="K607" s="8" t="e">
        <f t="shared" si="38"/>
        <v>#N/A</v>
      </c>
      <c r="L607" s="6">
        <f t="shared" si="39"/>
        <v>5262.02</v>
      </c>
    </row>
    <row r="608" spans="1:12" x14ac:dyDescent="0.25">
      <c r="A608" s="9" t="s">
        <v>607</v>
      </c>
      <c r="B608" s="2" t="str">
        <f>VLOOKUP(A608,[1]Sheet!B$3:G$2921,2,0)</f>
        <v>Клей монтажний для теплоізоляційних
матеріалів</v>
      </c>
      <c r="C608" s="3" t="str">
        <f>VLOOKUP(A608,[1]Sheet!B$3:G$2921,3,0)</f>
        <v>л</v>
      </c>
      <c r="D608" s="4">
        <v>21.434999999999999</v>
      </c>
      <c r="E608" s="5" t="e">
        <f>VLOOKUP(A608,N$3:S$1271,4,FALSE)</f>
        <v>#N/A</v>
      </c>
      <c r="F608" s="6">
        <f t="shared" si="36"/>
        <v>21.434999999999999</v>
      </c>
      <c r="G608" s="7">
        <f>VLOOKUP(A608,[1]Sheet!B$3:G$2921,5,0)</f>
        <v>478.23</v>
      </c>
      <c r="H608" s="5" t="e">
        <f>VLOOKUP(A608,N$3:S$1271,5,FALSE)</f>
        <v>#N/A</v>
      </c>
      <c r="I608" s="6">
        <f t="shared" si="37"/>
        <v>478.23</v>
      </c>
      <c r="J608" s="7">
        <f>VLOOKUP(A608,[1]Sheet!B$3:G$2921,6,0)</f>
        <v>651.91999999999996</v>
      </c>
      <c r="K608" s="8" t="e">
        <f t="shared" si="38"/>
        <v>#N/A</v>
      </c>
      <c r="L608" s="6">
        <f t="shared" si="39"/>
        <v>651.91999999999996</v>
      </c>
    </row>
    <row r="609" spans="1:12" x14ac:dyDescent="0.25">
      <c r="A609" s="9" t="s">
        <v>608</v>
      </c>
      <c r="B609" s="2" t="str">
        <f>VLOOKUP(A609,[1]Sheet!B$3:G$2921,2,0)</f>
        <v>Гвіздки самоклеючі</v>
      </c>
      <c r="C609" s="3" t="str">
        <f>VLOOKUP(A609,[1]Sheet!B$3:G$2921,3,0)</f>
        <v>шт</v>
      </c>
      <c r="D609" s="4">
        <v>485</v>
      </c>
      <c r="E609" s="5" t="e">
        <f>VLOOKUP(A609,N$3:S$1271,4,FALSE)</f>
        <v>#N/A</v>
      </c>
      <c r="F609" s="6">
        <f t="shared" si="36"/>
        <v>485</v>
      </c>
      <c r="G609" s="7">
        <f>VLOOKUP(A609,[1]Sheet!B$3:G$2921,5,0)</f>
        <v>4.6399999999999997</v>
      </c>
      <c r="H609" s="5" t="e">
        <f>VLOOKUP(A609,N$3:S$1271,5,FALSE)</f>
        <v>#N/A</v>
      </c>
      <c r="I609" s="6">
        <f t="shared" si="37"/>
        <v>4.6399999999999997</v>
      </c>
      <c r="J609" s="7">
        <f>VLOOKUP(A609,[1]Sheet!B$3:G$2921,6,0)</f>
        <v>301.60000000000002</v>
      </c>
      <c r="K609" s="8" t="e">
        <f t="shared" si="38"/>
        <v>#N/A</v>
      </c>
      <c r="L609" s="6">
        <f t="shared" si="39"/>
        <v>301.60000000000002</v>
      </c>
    </row>
    <row r="610" spans="1:12" x14ac:dyDescent="0.25">
      <c r="A610" s="9" t="s">
        <v>609</v>
      </c>
      <c r="B610" s="2" t="str">
        <f>VLOOKUP(A610,[1]Sheet!B$3:G$2921,2,0)</f>
        <v>Хомут оцинкований з гумовою ізоляцією,
для кріплення трубопроводів, діам. 16х2,2</v>
      </c>
      <c r="C610" s="3" t="str">
        <f>VLOOKUP(A610,[1]Sheet!B$3:G$2921,3,0)</f>
        <v>шт</v>
      </c>
      <c r="D610" s="4">
        <v>270</v>
      </c>
      <c r="E610" s="5" t="e">
        <f>VLOOKUP(A610,N$3:S$1271,4,FALSE)</f>
        <v>#N/A</v>
      </c>
      <c r="F610" s="6">
        <f t="shared" si="36"/>
        <v>270</v>
      </c>
      <c r="G610" s="7">
        <f>VLOOKUP(A610,[1]Sheet!B$3:G$2921,5,0)</f>
        <v>7.09</v>
      </c>
      <c r="H610" s="5" t="e">
        <f>VLOOKUP(A610,N$3:S$1271,5,FALSE)</f>
        <v>#N/A</v>
      </c>
      <c r="I610" s="6">
        <f t="shared" si="37"/>
        <v>7.09</v>
      </c>
      <c r="J610" s="7">
        <f>VLOOKUP(A610,[1]Sheet!B$3:G$2921,6,0)</f>
        <v>42.54</v>
      </c>
      <c r="K610" s="8" t="e">
        <f t="shared" si="38"/>
        <v>#N/A</v>
      </c>
      <c r="L610" s="6">
        <f t="shared" si="39"/>
        <v>42.54</v>
      </c>
    </row>
    <row r="611" spans="1:12" x14ac:dyDescent="0.25">
      <c r="A611" s="9" t="s">
        <v>610</v>
      </c>
      <c r="B611" s="2" t="str">
        <f>VLOOKUP(A611,[1]Sheet!B$3:G$2921,2,0)</f>
        <v>Обжимний хомут з оцинкованоі сталі (КС1,
КС2, КС3, КС4) (комплект)</v>
      </c>
      <c r="C611" s="3" t="str">
        <f>VLOOKUP(A611,[1]Sheet!B$3:G$2921,3,0)</f>
        <v>т</v>
      </c>
      <c r="D611" s="4">
        <v>0</v>
      </c>
      <c r="E611" s="5" t="e">
        <f>VLOOKUP(A611,N$3:S$1271,4,FALSE)</f>
        <v>#N/A</v>
      </c>
      <c r="F611" s="6">
        <f t="shared" si="36"/>
        <v>0</v>
      </c>
      <c r="G611" s="7">
        <f>VLOOKUP(A611,[1]Sheet!B$3:G$2921,5,0)</f>
        <v>42429.37</v>
      </c>
      <c r="H611" s="5" t="e">
        <f>VLOOKUP(A611,N$3:S$1271,5,FALSE)</f>
        <v>#N/A</v>
      </c>
      <c r="I611" s="6">
        <f t="shared" si="37"/>
        <v>42429.37</v>
      </c>
      <c r="J611" s="7">
        <f>VLOOKUP(A611,[1]Sheet!B$3:G$2921,6,0)</f>
        <v>1658.04</v>
      </c>
      <c r="K611" s="8" t="e">
        <f t="shared" si="38"/>
        <v>#N/A</v>
      </c>
      <c r="L611" s="6">
        <f t="shared" si="39"/>
        <v>1658.04</v>
      </c>
    </row>
    <row r="612" spans="1:12" x14ac:dyDescent="0.25">
      <c r="A612" s="9" t="s">
        <v>611</v>
      </c>
      <c r="B612" s="2" t="str">
        <f>VLOOKUP(A612,[1]Sheet!B$3:G$2921,2,0)</f>
        <v>Эмаль "ЗЕБРА" (3 в 1) антикорозійна</v>
      </c>
      <c r="C612" s="3" t="str">
        <f>VLOOKUP(A612,[1]Sheet!B$3:G$2921,3,0)</f>
        <v>л</v>
      </c>
      <c r="D612" s="4">
        <v>65.620799999999988</v>
      </c>
      <c r="E612" s="5" t="e">
        <f>VLOOKUP(A612,N$3:S$1271,4,FALSE)</f>
        <v>#N/A</v>
      </c>
      <c r="F612" s="6">
        <f t="shared" si="36"/>
        <v>65.620799999999988</v>
      </c>
      <c r="G612" s="7">
        <f>VLOOKUP(A612,[1]Sheet!B$3:G$2921,5,0)</f>
        <v>182.96</v>
      </c>
      <c r="H612" s="5" t="e">
        <f>VLOOKUP(A612,N$3:S$1271,5,FALSE)</f>
        <v>#N/A</v>
      </c>
      <c r="I612" s="6">
        <f t="shared" si="37"/>
        <v>182.96</v>
      </c>
      <c r="J612" s="7">
        <f>VLOOKUP(A612,[1]Sheet!B$3:G$2921,6,0)</f>
        <v>1709.21</v>
      </c>
      <c r="K612" s="8" t="e">
        <f t="shared" si="38"/>
        <v>#N/A</v>
      </c>
      <c r="L612" s="6">
        <f t="shared" si="39"/>
        <v>1709.21</v>
      </c>
    </row>
    <row r="613" spans="1:12" x14ac:dyDescent="0.25">
      <c r="A613" s="9" t="s">
        <v>612</v>
      </c>
      <c r="B613" s="2" t="str">
        <f>VLOOKUP(A613,[1]Sheet!B$3:G$2921,2,0)</f>
        <v>Стрiчка самоклеюча для спінених
теплоізоляційних матеріалів 3х50мм</v>
      </c>
      <c r="C613" s="3" t="str">
        <f>VLOOKUP(A613,[1]Sheet!B$3:G$2921,3,0)</f>
        <v>м</v>
      </c>
      <c r="D613" s="4">
        <v>1968.4950000000001</v>
      </c>
      <c r="E613" s="5" t="e">
        <f>VLOOKUP(A613,N$3:S$1271,4,FALSE)</f>
        <v>#N/A</v>
      </c>
      <c r="F613" s="6">
        <f t="shared" si="36"/>
        <v>1968.4950000000001</v>
      </c>
      <c r="G613" s="7">
        <f>VLOOKUP(A613,[1]Sheet!B$3:G$2921,5,0)</f>
        <v>7.78</v>
      </c>
      <c r="H613" s="5" t="e">
        <f>VLOOKUP(A613,N$3:S$1271,5,FALSE)</f>
        <v>#N/A</v>
      </c>
      <c r="I613" s="6">
        <f t="shared" si="37"/>
        <v>7.78</v>
      </c>
      <c r="J613" s="7">
        <f>VLOOKUP(A613,[1]Sheet!B$3:G$2921,6,0)</f>
        <v>1031.74</v>
      </c>
      <c r="K613" s="8" t="e">
        <f t="shared" si="38"/>
        <v>#N/A</v>
      </c>
      <c r="L613" s="6">
        <f t="shared" si="39"/>
        <v>1031.74</v>
      </c>
    </row>
    <row r="614" spans="1:12" x14ac:dyDescent="0.25">
      <c r="A614" s="9" t="s">
        <v>613</v>
      </c>
      <c r="B614" s="2" t="str">
        <f>VLOOKUP(A614,[1]Sheet!B$3:G$2921,2,0)</f>
        <v>Стрiчка гідроізоляційна Флехендихтбанд
ф.Кнауф</v>
      </c>
      <c r="C614" s="3" t="str">
        <f>VLOOKUP(A614,[1]Sheet!B$3:G$2921,3,0)</f>
        <v>м</v>
      </c>
      <c r="D614" s="4">
        <v>506.7</v>
      </c>
      <c r="E614" s="5" t="e">
        <f>VLOOKUP(A614,N$3:S$1271,4,FALSE)</f>
        <v>#N/A</v>
      </c>
      <c r="F614" s="6">
        <f t="shared" si="36"/>
        <v>506.7</v>
      </c>
      <c r="G614" s="7">
        <f>VLOOKUP(A614,[1]Sheet!B$3:G$2921,5,0)</f>
        <v>64.88</v>
      </c>
      <c r="H614" s="5" t="e">
        <f>VLOOKUP(A614,N$3:S$1271,5,FALSE)</f>
        <v>#N/A</v>
      </c>
      <c r="I614" s="6">
        <f t="shared" si="37"/>
        <v>64.88</v>
      </c>
      <c r="J614" s="7">
        <f>VLOOKUP(A614,[1]Sheet!B$3:G$2921,6,0)</f>
        <v>27249.599999999999</v>
      </c>
      <c r="K614" s="8" t="e">
        <f t="shared" si="38"/>
        <v>#N/A</v>
      </c>
      <c r="L614" s="6">
        <f t="shared" si="39"/>
        <v>27249.599999999999</v>
      </c>
    </row>
    <row r="615" spans="1:12" x14ac:dyDescent="0.25">
      <c r="A615" s="9" t="s">
        <v>614</v>
      </c>
      <c r="B615" s="2" t="str">
        <f>VLOOKUP(A615,[1]Sheet!B$3:G$2921,2,0)</f>
        <v>Стрічка армуюча Kurt ф.Кнауф</v>
      </c>
      <c r="C615" s="3" t="str">
        <f>VLOOKUP(A615,[1]Sheet!B$3:G$2921,3,0)</f>
        <v>м</v>
      </c>
      <c r="D615" s="4">
        <v>6957.681999999998</v>
      </c>
      <c r="E615" s="5" t="e">
        <f>VLOOKUP(A615,N$3:S$1271,4,FALSE)</f>
        <v>#N/A</v>
      </c>
      <c r="F615" s="6">
        <f t="shared" si="36"/>
        <v>6957.681999999998</v>
      </c>
      <c r="G615" s="7">
        <f>VLOOKUP(A615,[1]Sheet!B$3:G$2921,5,0)</f>
        <v>8.5</v>
      </c>
      <c r="H615" s="5" t="e">
        <f>VLOOKUP(A615,N$3:S$1271,5,FALSE)</f>
        <v>#N/A</v>
      </c>
      <c r="I615" s="6">
        <f t="shared" si="37"/>
        <v>8.5</v>
      </c>
      <c r="J615" s="7">
        <f>VLOOKUP(A615,[1]Sheet!B$3:G$2921,6,0)</f>
        <v>16435.43</v>
      </c>
      <c r="K615" s="8" t="e">
        <f t="shared" si="38"/>
        <v>#N/A</v>
      </c>
      <c r="L615" s="6">
        <f t="shared" si="39"/>
        <v>16435.43</v>
      </c>
    </row>
    <row r="616" spans="1:12" x14ac:dyDescent="0.25">
      <c r="A616" s="9" t="s">
        <v>615</v>
      </c>
      <c r="B616" s="2" t="str">
        <f>VLOOKUP(A616,[1]Sheet!B$3:G$2921,2,0)</f>
        <v>Тяга підвісу</v>
      </c>
      <c r="C616" s="3" t="str">
        <f>VLOOKUP(A616,[1]Sheet!B$3:G$2921,3,0)</f>
        <v>шт</v>
      </c>
      <c r="D616" s="4">
        <v>420</v>
      </c>
      <c r="E616" s="5" t="e">
        <f>VLOOKUP(A616,N$3:S$1271,4,FALSE)</f>
        <v>#N/A</v>
      </c>
      <c r="F616" s="6">
        <f t="shared" si="36"/>
        <v>420</v>
      </c>
      <c r="G616" s="7">
        <f>VLOOKUP(A616,[1]Sheet!B$3:G$2921,5,0)</f>
        <v>6.29</v>
      </c>
      <c r="H616" s="5" t="e">
        <f>VLOOKUP(A616,N$3:S$1271,5,FALSE)</f>
        <v>#N/A</v>
      </c>
      <c r="I616" s="6">
        <f t="shared" si="37"/>
        <v>6.29</v>
      </c>
      <c r="J616" s="7">
        <f>VLOOKUP(A616,[1]Sheet!B$3:G$2921,6,0)</f>
        <v>735.93</v>
      </c>
      <c r="K616" s="8" t="e">
        <f t="shared" si="38"/>
        <v>#N/A</v>
      </c>
      <c r="L616" s="6">
        <f t="shared" si="39"/>
        <v>735.93</v>
      </c>
    </row>
    <row r="617" spans="1:12" x14ac:dyDescent="0.25">
      <c r="A617" s="9" t="s">
        <v>616</v>
      </c>
      <c r="B617" s="2" t="str">
        <f>VLOOKUP(A617,[1]Sheet!B$3:G$2921,2,0)</f>
        <v>Фольгова ізоляція Пінофол тип С товщиною
4 мм</v>
      </c>
      <c r="C617" s="3" t="str">
        <f>VLOOKUP(A617,[1]Sheet!B$3:G$2921,3,0)</f>
        <v>м2</v>
      </c>
      <c r="D617" s="4">
        <v>30.067</v>
      </c>
      <c r="E617" s="5" t="e">
        <f>VLOOKUP(A617,N$3:S$1271,4,FALSE)</f>
        <v>#N/A</v>
      </c>
      <c r="F617" s="6">
        <f t="shared" si="36"/>
        <v>30.067</v>
      </c>
      <c r="G617" s="7">
        <f>VLOOKUP(A617,[1]Sheet!B$3:G$2921,5,0)</f>
        <v>100.12</v>
      </c>
      <c r="H617" s="5" t="e">
        <f>VLOOKUP(A617,N$3:S$1271,5,FALSE)</f>
        <v>#N/A</v>
      </c>
      <c r="I617" s="6">
        <f t="shared" si="37"/>
        <v>100.12</v>
      </c>
      <c r="J617" s="7">
        <f>VLOOKUP(A617,[1]Sheet!B$3:G$2921,6,0)</f>
        <v>3010.31</v>
      </c>
      <c r="K617" s="8" t="e">
        <f t="shared" si="38"/>
        <v>#N/A</v>
      </c>
      <c r="L617" s="6">
        <f t="shared" si="39"/>
        <v>3010.31</v>
      </c>
    </row>
    <row r="618" spans="1:12" x14ac:dyDescent="0.25">
      <c r="A618" s="9" t="s">
        <v>617</v>
      </c>
      <c r="B618" s="2" t="str">
        <f>VLOOKUP(A618,[1]Sheet!B$3:G$2921,2,0)</f>
        <v>Плiвка полiетиленова</v>
      </c>
      <c r="C618" s="3" t="str">
        <f>VLOOKUP(A618,[1]Sheet!B$3:G$2921,3,0)</f>
        <v>м2</v>
      </c>
      <c r="D618" s="4">
        <v>1068.617</v>
      </c>
      <c r="E618" s="5" t="e">
        <f>VLOOKUP(A618,N$3:S$1271,4,FALSE)</f>
        <v>#N/A</v>
      </c>
      <c r="F618" s="6">
        <f t="shared" si="36"/>
        <v>1068.617</v>
      </c>
      <c r="G618" s="7">
        <f>VLOOKUP(A618,[1]Sheet!B$3:G$2921,5,0)</f>
        <v>8.5299999999999994</v>
      </c>
      <c r="H618" s="5" t="e">
        <f>VLOOKUP(A618,N$3:S$1271,5,FALSE)</f>
        <v>#N/A</v>
      </c>
      <c r="I618" s="6">
        <f t="shared" si="37"/>
        <v>8.5299999999999994</v>
      </c>
      <c r="J618" s="7">
        <f>VLOOKUP(A618,[1]Sheet!B$3:G$2921,6,0)</f>
        <v>5680.09</v>
      </c>
      <c r="K618" s="8" t="e">
        <f t="shared" si="38"/>
        <v>#N/A</v>
      </c>
      <c r="L618" s="6">
        <f t="shared" si="39"/>
        <v>5680.09</v>
      </c>
    </row>
    <row r="619" spans="1:12" x14ac:dyDescent="0.25">
      <c r="A619" s="9" t="s">
        <v>618</v>
      </c>
      <c r="B619" s="2" t="str">
        <f>VLOOKUP(A619,[1]Sheet!B$3:G$2921,2,0)</f>
        <v>Стрiчка сигнальна</v>
      </c>
      <c r="C619" s="3" t="str">
        <f>VLOOKUP(A619,[1]Sheet!B$3:G$2921,3,0)</f>
        <v>м</v>
      </c>
      <c r="D619" s="4">
        <v>14</v>
      </c>
      <c r="E619" s="5" t="e">
        <f>VLOOKUP(A619,N$3:S$1271,4,FALSE)</f>
        <v>#N/A</v>
      </c>
      <c r="F619" s="6">
        <f t="shared" si="36"/>
        <v>14</v>
      </c>
      <c r="G619" s="7">
        <f>VLOOKUP(A619,[1]Sheet!B$3:G$2921,5,0)</f>
        <v>5.66</v>
      </c>
      <c r="H619" s="5" t="e">
        <f>VLOOKUP(A619,N$3:S$1271,5,FALSE)</f>
        <v>#N/A</v>
      </c>
      <c r="I619" s="6">
        <f t="shared" si="37"/>
        <v>5.66</v>
      </c>
      <c r="J619" s="7">
        <f>VLOOKUP(A619,[1]Sheet!B$3:G$2921,6,0)</f>
        <v>79.239999999999995</v>
      </c>
      <c r="K619" s="8" t="e">
        <f t="shared" si="38"/>
        <v>#N/A</v>
      </c>
      <c r="L619" s="6">
        <f t="shared" si="39"/>
        <v>79.239999999999995</v>
      </c>
    </row>
    <row r="620" spans="1:12" x14ac:dyDescent="0.25">
      <c r="A620" s="9" t="s">
        <v>619</v>
      </c>
      <c r="B620" s="2" t="str">
        <f>VLOOKUP(A620,[1]Sheet!B$3:G$2921,2,0)</f>
        <v>Повітробор'єрна плівка</v>
      </c>
      <c r="C620" s="3" t="str">
        <f>VLOOKUP(A620,[1]Sheet!B$3:G$2921,3,0)</f>
        <v>м2</v>
      </c>
      <c r="D620" s="4">
        <v>844.7</v>
      </c>
      <c r="E620" s="5" t="e">
        <f>VLOOKUP(A620,N$3:S$1271,4,FALSE)</f>
        <v>#N/A</v>
      </c>
      <c r="F620" s="6">
        <f t="shared" si="36"/>
        <v>844.7</v>
      </c>
      <c r="G620" s="7">
        <f>VLOOKUP(A620,[1]Sheet!B$3:G$2921,5,0)</f>
        <v>22.21</v>
      </c>
      <c r="H620" s="5" t="e">
        <f>VLOOKUP(A620,N$3:S$1271,5,FALSE)</f>
        <v>#N/A</v>
      </c>
      <c r="I620" s="6">
        <f t="shared" si="37"/>
        <v>22.21</v>
      </c>
      <c r="J620" s="7">
        <f>VLOOKUP(A620,[1]Sheet!B$3:G$2921,6,0)</f>
        <v>16273.27</v>
      </c>
      <c r="K620" s="8" t="e">
        <f t="shared" si="38"/>
        <v>#N/A</v>
      </c>
      <c r="L620" s="6">
        <f t="shared" si="39"/>
        <v>16273.27</v>
      </c>
    </row>
    <row r="621" spans="1:12" x14ac:dyDescent="0.25">
      <c r="A621" s="9" t="s">
        <v>620</v>
      </c>
      <c r="B621" s="2" t="str">
        <f>VLOOKUP(A621,[1]Sheet!B$3:G$2921,2,0)</f>
        <v>Ущiльнювач до касет 20х5 мм ф.Blachy
Pruszynski</v>
      </c>
      <c r="C621" s="3" t="str">
        <f>VLOOKUP(A621,[1]Sheet!B$3:G$2921,3,0)</f>
        <v>100м</v>
      </c>
      <c r="D621" s="4">
        <v>8.0519999999999996</v>
      </c>
      <c r="E621" s="5" t="e">
        <f>VLOOKUP(A621,N$3:S$1271,4,FALSE)</f>
        <v>#N/A</v>
      </c>
      <c r="F621" s="6">
        <f t="shared" si="36"/>
        <v>8.0519999999999996</v>
      </c>
      <c r="G621" s="7">
        <f>VLOOKUP(A621,[1]Sheet!B$3:G$2921,5,0)</f>
        <v>611.1</v>
      </c>
      <c r="H621" s="5" t="e">
        <f>VLOOKUP(A621,N$3:S$1271,5,FALSE)</f>
        <v>#N/A</v>
      </c>
      <c r="I621" s="6">
        <f t="shared" si="37"/>
        <v>611.1</v>
      </c>
      <c r="J621" s="7">
        <f>VLOOKUP(A621,[1]Sheet!B$3:G$2921,6,0)</f>
        <v>3936.71</v>
      </c>
      <c r="K621" s="8" t="e">
        <f t="shared" si="38"/>
        <v>#N/A</v>
      </c>
      <c r="L621" s="6">
        <f t="shared" si="39"/>
        <v>3936.71</v>
      </c>
    </row>
    <row r="622" spans="1:12" x14ac:dyDescent="0.25">
      <c r="A622" s="9" t="s">
        <v>621</v>
      </c>
      <c r="B622" s="2" t="str">
        <f>VLOOKUP(A622,[1]Sheet!B$3:G$2921,2,0)</f>
        <v>Термопрокладка 5х50 мм ф.Blachy
Pruszynski</v>
      </c>
      <c r="C622" s="3" t="str">
        <f>VLOOKUP(A622,[1]Sheet!B$3:G$2921,3,0)</f>
        <v>м2</v>
      </c>
      <c r="D622" s="4">
        <v>61.04</v>
      </c>
      <c r="E622" s="5" t="e">
        <f>VLOOKUP(A622,N$3:S$1271,4,FALSE)</f>
        <v>#N/A</v>
      </c>
      <c r="F622" s="6">
        <f t="shared" si="36"/>
        <v>61.04</v>
      </c>
      <c r="G622" s="7">
        <f>VLOOKUP(A622,[1]Sheet!B$3:G$2921,5,0)</f>
        <v>222.04</v>
      </c>
      <c r="H622" s="5" t="e">
        <f>VLOOKUP(A622,N$3:S$1271,5,FALSE)</f>
        <v>#N/A</v>
      </c>
      <c r="I622" s="6">
        <f t="shared" si="37"/>
        <v>222.04</v>
      </c>
      <c r="J622" s="7">
        <f>VLOOKUP(A622,[1]Sheet!B$3:G$2921,6,0)</f>
        <v>10977.66</v>
      </c>
      <c r="K622" s="8" t="e">
        <f t="shared" si="38"/>
        <v>#N/A</v>
      </c>
      <c r="L622" s="6">
        <f t="shared" si="39"/>
        <v>10977.66</v>
      </c>
    </row>
    <row r="623" spans="1:12" x14ac:dyDescent="0.25">
      <c r="A623" s="9" t="s">
        <v>622</v>
      </c>
      <c r="B623" s="2" t="str">
        <f>VLOOKUP(A623,[1]Sheet!B$3:G$2921,2,0)</f>
        <v>Ущiльнювач до касети вертикальний
ф.Blachy Pruszynski</v>
      </c>
      <c r="C623" s="3" t="str">
        <f>VLOOKUP(A623,[1]Sheet!B$3:G$2921,3,0)</f>
        <v>шт</v>
      </c>
      <c r="D623" s="4">
        <v>96</v>
      </c>
      <c r="E623" s="5" t="e">
        <f>VLOOKUP(A623,N$3:S$1271,4,FALSE)</f>
        <v>#N/A</v>
      </c>
      <c r="F623" s="6">
        <f t="shared" si="36"/>
        <v>96</v>
      </c>
      <c r="G623" s="7">
        <f>VLOOKUP(A623,[1]Sheet!B$3:G$2921,5,0)</f>
        <v>21.13</v>
      </c>
      <c r="H623" s="5" t="e">
        <f>VLOOKUP(A623,N$3:S$1271,5,FALSE)</f>
        <v>#N/A</v>
      </c>
      <c r="I623" s="6">
        <f t="shared" si="37"/>
        <v>21.13</v>
      </c>
      <c r="J623" s="7">
        <f>VLOOKUP(A623,[1]Sheet!B$3:G$2921,6,0)</f>
        <v>2028.48</v>
      </c>
      <c r="K623" s="8" t="e">
        <f t="shared" si="38"/>
        <v>#N/A</v>
      </c>
      <c r="L623" s="6">
        <f t="shared" si="39"/>
        <v>2028.48</v>
      </c>
    </row>
    <row r="624" spans="1:12" x14ac:dyDescent="0.25">
      <c r="A624" s="9" t="s">
        <v>623</v>
      </c>
      <c r="B624" s="2" t="str">
        <f>VLOOKUP(A624,[1]Sheet!B$3:G$2921,2,0)</f>
        <v>Круг відрізний алмазний, діаметр 230 мм</v>
      </c>
      <c r="C624" s="3" t="str">
        <f>VLOOKUP(A624,[1]Sheet!B$3:G$2921,3,0)</f>
        <v>шт</v>
      </c>
      <c r="D624" s="4">
        <v>4.1280000000000001</v>
      </c>
      <c r="E624" s="5" t="e">
        <f>VLOOKUP(A624,N$3:S$1271,4,FALSE)</f>
        <v>#N/A</v>
      </c>
      <c r="F624" s="6">
        <f t="shared" si="36"/>
        <v>4.1280000000000001</v>
      </c>
      <c r="G624" s="7">
        <f>VLOOKUP(A624,[1]Sheet!B$3:G$2921,5,0)</f>
        <v>1133.71</v>
      </c>
      <c r="H624" s="5" t="e">
        <f>VLOOKUP(A624,N$3:S$1271,5,FALSE)</f>
        <v>#N/A</v>
      </c>
      <c r="I624" s="6">
        <f t="shared" si="37"/>
        <v>1133.71</v>
      </c>
      <c r="J624" s="7">
        <f>VLOOKUP(A624,[1]Sheet!B$3:G$2921,6,0)</f>
        <v>3373.92</v>
      </c>
      <c r="K624" s="8" t="e">
        <f t="shared" si="38"/>
        <v>#N/A</v>
      </c>
      <c r="L624" s="6">
        <f t="shared" si="39"/>
        <v>3373.92</v>
      </c>
    </row>
    <row r="625" spans="1:12" x14ac:dyDescent="0.25">
      <c r="A625" s="9" t="s">
        <v>624</v>
      </c>
      <c r="B625" s="2" t="str">
        <f>VLOOKUP(A625,[1]Sheet!B$3:G$2921,2,0)</f>
        <v>Сiтка №10 ГОСТ 5336-80</v>
      </c>
      <c r="C625" s="3" t="str">
        <f>VLOOKUP(A625,[1]Sheet!B$3:G$2921,3,0)</f>
        <v>т</v>
      </c>
      <c r="D625" s="4">
        <v>9.0000000000000019E-5</v>
      </c>
      <c r="E625" s="5" t="e">
        <f>VLOOKUP(A625,N$3:S$1271,4,FALSE)</f>
        <v>#N/A</v>
      </c>
      <c r="F625" s="6">
        <f t="shared" si="36"/>
        <v>9.0000000000000019E-5</v>
      </c>
      <c r="G625" s="7">
        <f>VLOOKUP(A625,[1]Sheet!B$3:G$2921,5,0)</f>
        <v>63898.9</v>
      </c>
      <c r="H625" s="5" t="e">
        <f>VLOOKUP(A625,N$3:S$1271,5,FALSE)</f>
        <v>#N/A</v>
      </c>
      <c r="I625" s="6">
        <f t="shared" si="37"/>
        <v>63898.9</v>
      </c>
      <c r="J625" s="7">
        <f>VLOOKUP(A625,[1]Sheet!B$3:G$2921,6,0)</f>
        <v>5.75</v>
      </c>
      <c r="K625" s="8" t="e">
        <f t="shared" si="38"/>
        <v>#N/A</v>
      </c>
      <c r="L625" s="6">
        <f t="shared" si="39"/>
        <v>5.75</v>
      </c>
    </row>
    <row r="626" spans="1:12" x14ac:dyDescent="0.25">
      <c r="A626" s="9" t="s">
        <v>625</v>
      </c>
      <c r="B626" s="2" t="str">
        <f>VLOOKUP(A626,[1]Sheet!B$3:G$2921,2,0)</f>
        <v>Склосітка Baumit StarTex</v>
      </c>
      <c r="C626" s="3" t="str">
        <f>VLOOKUP(A626,[1]Sheet!B$3:G$2921,3,0)</f>
        <v>м2</v>
      </c>
      <c r="D626" s="4">
        <v>183.08699999999999</v>
      </c>
      <c r="E626" s="5" t="e">
        <f>VLOOKUP(A626,N$3:S$1271,4,FALSE)</f>
        <v>#N/A</v>
      </c>
      <c r="F626" s="6">
        <f t="shared" si="36"/>
        <v>183.08699999999999</v>
      </c>
      <c r="G626" s="7">
        <f>VLOOKUP(A626,[1]Sheet!B$3:G$2921,5,0)</f>
        <v>50.6</v>
      </c>
      <c r="H626" s="5" t="e">
        <f>VLOOKUP(A626,N$3:S$1271,5,FALSE)</f>
        <v>#N/A</v>
      </c>
      <c r="I626" s="6">
        <f t="shared" si="37"/>
        <v>50.6</v>
      </c>
      <c r="J626" s="7">
        <f>VLOOKUP(A626,[1]Sheet!B$3:G$2921,6,0)</f>
        <v>1297.6400000000001</v>
      </c>
      <c r="K626" s="8" t="e">
        <f t="shared" si="38"/>
        <v>#N/A</v>
      </c>
      <c r="L626" s="6">
        <f t="shared" si="39"/>
        <v>1297.6400000000001</v>
      </c>
    </row>
    <row r="627" spans="1:12" x14ac:dyDescent="0.25">
      <c r="A627" s="9" t="s">
        <v>626</v>
      </c>
      <c r="B627" s="2" t="str">
        <f>VLOOKUP(A627,[1]Sheet!B$3:G$2921,2,0)</f>
        <v>Скоби ходовi</v>
      </c>
      <c r="C627" s="3" t="str">
        <f>VLOOKUP(A627,[1]Sheet!B$3:G$2921,3,0)</f>
        <v>кг</v>
      </c>
      <c r="D627" s="4">
        <v>27.09233</v>
      </c>
      <c r="E627" s="5" t="e">
        <f>VLOOKUP(A627,N$3:S$1271,4,FALSE)</f>
        <v>#N/A</v>
      </c>
      <c r="F627" s="6">
        <f t="shared" si="36"/>
        <v>27.09233</v>
      </c>
      <c r="G627" s="7">
        <f>VLOOKUP(A627,[1]Sheet!B$3:G$2921,5,0)</f>
        <v>40.93</v>
      </c>
      <c r="H627" s="5" t="e">
        <f>VLOOKUP(A627,N$3:S$1271,5,FALSE)</f>
        <v>#N/A</v>
      </c>
      <c r="I627" s="6">
        <f t="shared" si="37"/>
        <v>40.93</v>
      </c>
      <c r="J627" s="7">
        <f>VLOOKUP(A627,[1]Sheet!B$3:G$2921,6,0)</f>
        <v>336.44</v>
      </c>
      <c r="K627" s="8" t="e">
        <f t="shared" si="38"/>
        <v>#N/A</v>
      </c>
      <c r="L627" s="6">
        <f t="shared" si="39"/>
        <v>336.44</v>
      </c>
    </row>
    <row r="628" spans="1:12" x14ac:dyDescent="0.25">
      <c r="A628" s="9" t="s">
        <v>627</v>
      </c>
      <c r="B628" s="2" t="str">
        <f>VLOOKUP(A628,[1]Sheet!B$3:G$2921,2,0)</f>
        <v>Сталь листова оцинкована, товщина листа
0,5 мм</v>
      </c>
      <c r="C628" s="3" t="str">
        <f>VLOOKUP(A628,[1]Sheet!B$3:G$2921,3,0)</f>
        <v>т</v>
      </c>
      <c r="D628" s="4">
        <v>0.21272000000000002</v>
      </c>
      <c r="E628" s="5" t="e">
        <f>VLOOKUP(A628,N$3:S$1271,4,FALSE)</f>
        <v>#N/A</v>
      </c>
      <c r="F628" s="6">
        <f t="shared" si="36"/>
        <v>0.21272000000000002</v>
      </c>
      <c r="G628" s="7">
        <f>VLOOKUP(A628,[1]Sheet!B$3:G$2921,5,0)</f>
        <v>90811.51</v>
      </c>
      <c r="H628" s="5" t="e">
        <f>VLOOKUP(A628,N$3:S$1271,5,FALSE)</f>
        <v>#N/A</v>
      </c>
      <c r="I628" s="6">
        <f t="shared" si="37"/>
        <v>90811.51</v>
      </c>
      <c r="J628" s="7">
        <f>VLOOKUP(A628,[1]Sheet!B$3:G$2921,6,0)</f>
        <v>1607.36</v>
      </c>
      <c r="K628" s="8" t="e">
        <f t="shared" si="38"/>
        <v>#N/A</v>
      </c>
      <c r="L628" s="6">
        <f t="shared" si="39"/>
        <v>1607.36</v>
      </c>
    </row>
    <row r="629" spans="1:12" x14ac:dyDescent="0.25">
      <c r="A629" s="9" t="s">
        <v>628</v>
      </c>
      <c r="B629" s="2" t="str">
        <f>VLOOKUP(A629,[1]Sheet!B$3:G$2921,2,0)</f>
        <v>Кутик зовнішній ф. Blachy Pruszynski</v>
      </c>
      <c r="C629" s="3" t="str">
        <f>VLOOKUP(A629,[1]Sheet!B$3:G$2921,3,0)</f>
        <v>м</v>
      </c>
      <c r="D629" s="4">
        <v>89.4</v>
      </c>
      <c r="E629" s="5" t="e">
        <f>VLOOKUP(A629,N$3:S$1271,4,FALSE)</f>
        <v>#N/A</v>
      </c>
      <c r="F629" s="6">
        <f t="shared" si="36"/>
        <v>89.4</v>
      </c>
      <c r="G629" s="7">
        <f>VLOOKUP(A629,[1]Sheet!B$3:G$2921,5,0)</f>
        <v>23.62</v>
      </c>
      <c r="H629" s="5" t="e">
        <f>VLOOKUP(A629,N$3:S$1271,5,FALSE)</f>
        <v>#N/A</v>
      </c>
      <c r="I629" s="6">
        <f t="shared" si="37"/>
        <v>23.62</v>
      </c>
      <c r="J629" s="7">
        <f>VLOOKUP(A629,[1]Sheet!B$3:G$2921,6,0)</f>
        <v>472.4</v>
      </c>
      <c r="K629" s="8" t="e">
        <f t="shared" si="38"/>
        <v>#N/A</v>
      </c>
      <c r="L629" s="6">
        <f t="shared" si="39"/>
        <v>472.4</v>
      </c>
    </row>
    <row r="630" spans="1:12" x14ac:dyDescent="0.25">
      <c r="A630" s="9" t="s">
        <v>629</v>
      </c>
      <c r="B630" s="2" t="str">
        <f>VLOOKUP(A630,[1]Sheet!B$3:G$2921,2,0)</f>
        <v>Планка стартова (стандартні обробки ) ф.
Blachy Pruszynski</v>
      </c>
      <c r="C630" s="3" t="str">
        <f>VLOOKUP(A630,[1]Sheet!B$3:G$2921,3,0)</f>
        <v>м</v>
      </c>
      <c r="D630" s="4">
        <v>88.4</v>
      </c>
      <c r="E630" s="5" t="e">
        <f>VLOOKUP(A630,N$3:S$1271,4,FALSE)</f>
        <v>#N/A</v>
      </c>
      <c r="F630" s="6">
        <f t="shared" si="36"/>
        <v>88.4</v>
      </c>
      <c r="G630" s="7">
        <f>VLOOKUP(A630,[1]Sheet!B$3:G$2921,5,0)</f>
        <v>29.67</v>
      </c>
      <c r="H630" s="5" t="e">
        <f>VLOOKUP(A630,N$3:S$1271,5,FALSE)</f>
        <v>#N/A</v>
      </c>
      <c r="I630" s="6">
        <f t="shared" si="37"/>
        <v>29.67</v>
      </c>
      <c r="J630" s="7">
        <f>VLOOKUP(A630,[1]Sheet!B$3:G$2921,6,0)</f>
        <v>2622.83</v>
      </c>
      <c r="K630" s="8" t="e">
        <f t="shared" si="38"/>
        <v>#N/A</v>
      </c>
      <c r="L630" s="6">
        <f t="shared" si="39"/>
        <v>2622.83</v>
      </c>
    </row>
    <row r="631" spans="1:12" x14ac:dyDescent="0.25">
      <c r="A631" s="9" t="s">
        <v>630</v>
      </c>
      <c r="B631" s="2" t="str">
        <f>VLOOKUP(A631,[1]Sheet!B$3:G$2921,2,0)</f>
        <v>Планка звісу (стандартні обробки ) ф.
Blachy Pruszynski</v>
      </c>
      <c r="C631" s="3" t="str">
        <f>VLOOKUP(A631,[1]Sheet!B$3:G$2921,3,0)</f>
        <v>м</v>
      </c>
      <c r="D631" s="4">
        <v>14.8</v>
      </c>
      <c r="E631" s="5" t="e">
        <f>VLOOKUP(A631,N$3:S$1271,4,FALSE)</f>
        <v>#N/A</v>
      </c>
      <c r="F631" s="6">
        <f t="shared" si="36"/>
        <v>14.8</v>
      </c>
      <c r="G631" s="7">
        <f>VLOOKUP(A631,[1]Sheet!B$3:G$2921,5,0)</f>
        <v>32.06</v>
      </c>
      <c r="H631" s="5" t="e">
        <f>VLOOKUP(A631,N$3:S$1271,5,FALSE)</f>
        <v>#N/A</v>
      </c>
      <c r="I631" s="6">
        <f t="shared" si="37"/>
        <v>32.06</v>
      </c>
      <c r="J631" s="7">
        <f>VLOOKUP(A631,[1]Sheet!B$3:G$2921,6,0)</f>
        <v>474.49</v>
      </c>
      <c r="K631" s="8" t="e">
        <f t="shared" si="38"/>
        <v>#N/A</v>
      </c>
      <c r="L631" s="6">
        <f t="shared" si="39"/>
        <v>474.49</v>
      </c>
    </row>
    <row r="632" spans="1:12" x14ac:dyDescent="0.25">
      <c r="A632" s="9" t="s">
        <v>631</v>
      </c>
      <c r="B632" s="2" t="str">
        <f>VLOOKUP(A632,[1]Sheet!B$3:G$2921,2,0)</f>
        <v>Кутик зовнішній (прості обробки ) ф. Blachy
Pruszynski</v>
      </c>
      <c r="C632" s="3" t="str">
        <f>VLOOKUP(A632,[1]Sheet!B$3:G$2921,3,0)</f>
        <v>м</v>
      </c>
      <c r="D632" s="4">
        <v>69.900000000000006</v>
      </c>
      <c r="E632" s="5" t="e">
        <f>VLOOKUP(A632,N$3:S$1271,4,FALSE)</f>
        <v>#N/A</v>
      </c>
      <c r="F632" s="6">
        <f t="shared" si="36"/>
        <v>69.900000000000006</v>
      </c>
      <c r="G632" s="7">
        <f>VLOOKUP(A632,[1]Sheet!B$3:G$2921,5,0)</f>
        <v>78.98</v>
      </c>
      <c r="H632" s="5" t="e">
        <f>VLOOKUP(A632,N$3:S$1271,5,FALSE)</f>
        <v>#N/A</v>
      </c>
      <c r="I632" s="6">
        <f t="shared" si="37"/>
        <v>78.98</v>
      </c>
      <c r="J632" s="7">
        <f>VLOOKUP(A632,[1]Sheet!B$3:G$2921,6,0)</f>
        <v>5520.7</v>
      </c>
      <c r="K632" s="8" t="e">
        <f t="shared" si="38"/>
        <v>#N/A</v>
      </c>
      <c r="L632" s="6">
        <f t="shared" si="39"/>
        <v>5520.7</v>
      </c>
    </row>
    <row r="633" spans="1:12" x14ac:dyDescent="0.25">
      <c r="A633" s="9" t="s">
        <v>632</v>
      </c>
      <c r="B633" s="2" t="str">
        <f>VLOOKUP(A633,[1]Sheet!B$3:G$2921,2,0)</f>
        <v>Кутик внутрішній (прості обробки ) ф. Blachy
Pruszynski</v>
      </c>
      <c r="C633" s="3" t="str">
        <f>VLOOKUP(A633,[1]Sheet!B$3:G$2921,3,0)</f>
        <v>м</v>
      </c>
      <c r="D633" s="4">
        <v>22.6</v>
      </c>
      <c r="E633" s="5" t="e">
        <f>VLOOKUP(A633,N$3:S$1271,4,FALSE)</f>
        <v>#N/A</v>
      </c>
      <c r="F633" s="6">
        <f t="shared" si="36"/>
        <v>22.6</v>
      </c>
      <c r="G633" s="7">
        <f>VLOOKUP(A633,[1]Sheet!B$3:G$2921,5,0)</f>
        <v>78.98</v>
      </c>
      <c r="H633" s="5" t="e">
        <f>VLOOKUP(A633,N$3:S$1271,5,FALSE)</f>
        <v>#N/A</v>
      </c>
      <c r="I633" s="6">
        <f t="shared" si="37"/>
        <v>78.98</v>
      </c>
      <c r="J633" s="7">
        <f>VLOOKUP(A633,[1]Sheet!B$3:G$2921,6,0)</f>
        <v>1784.95</v>
      </c>
      <c r="K633" s="8" t="e">
        <f t="shared" si="38"/>
        <v>#N/A</v>
      </c>
      <c r="L633" s="6">
        <f t="shared" si="39"/>
        <v>1784.95</v>
      </c>
    </row>
    <row r="634" spans="1:12" x14ac:dyDescent="0.25">
      <c r="A634" s="9" t="s">
        <v>633</v>
      </c>
      <c r="B634" s="2" t="str">
        <f>VLOOKUP(A634,[1]Sheet!B$3:G$2921,2,0)</f>
        <v>Роздівювальна планка (прості обробки ) ф.
Blachy Pruszynski</v>
      </c>
      <c r="C634" s="3" t="str">
        <f>VLOOKUP(A634,[1]Sheet!B$3:G$2921,3,0)</f>
        <v>м</v>
      </c>
      <c r="D634" s="4">
        <v>17</v>
      </c>
      <c r="E634" s="5" t="e">
        <f>VLOOKUP(A634,N$3:S$1271,4,FALSE)</f>
        <v>#N/A</v>
      </c>
      <c r="F634" s="6">
        <f t="shared" si="36"/>
        <v>17</v>
      </c>
      <c r="G634" s="7">
        <f>VLOOKUP(A634,[1]Sheet!B$3:G$2921,5,0)</f>
        <v>33.229999999999997</v>
      </c>
      <c r="H634" s="5" t="e">
        <f>VLOOKUP(A634,N$3:S$1271,5,FALSE)</f>
        <v>#N/A</v>
      </c>
      <c r="I634" s="6">
        <f t="shared" si="37"/>
        <v>33.229999999999997</v>
      </c>
      <c r="J634" s="7">
        <f>VLOOKUP(A634,[1]Sheet!B$3:G$2921,6,0)</f>
        <v>564.91</v>
      </c>
      <c r="K634" s="8" t="e">
        <f t="shared" si="38"/>
        <v>#N/A</v>
      </c>
      <c r="L634" s="6">
        <f t="shared" si="39"/>
        <v>564.91</v>
      </c>
    </row>
    <row r="635" spans="1:12" x14ac:dyDescent="0.25">
      <c r="A635" s="9" t="s">
        <v>634</v>
      </c>
      <c r="B635" s="2" t="str">
        <f>VLOOKUP(A635,[1]Sheet!B$3:G$2921,2,0)</f>
        <v>Лист 1,0х120 ОЦ ф.Blachy Pruszynski</v>
      </c>
      <c r="C635" s="3" t="str">
        <f>VLOOKUP(A635,[1]Sheet!B$3:G$2921,3,0)</f>
        <v>м2</v>
      </c>
      <c r="D635" s="4">
        <v>472.60339999999985</v>
      </c>
      <c r="E635" s="5" t="e">
        <f>VLOOKUP(A635,N$3:S$1271,4,FALSE)</f>
        <v>#N/A</v>
      </c>
      <c r="F635" s="6">
        <f t="shared" si="36"/>
        <v>472.60339999999985</v>
      </c>
      <c r="G635" s="7">
        <f>VLOOKUP(A635,[1]Sheet!B$3:G$2921,5,0)</f>
        <v>559.39</v>
      </c>
      <c r="H635" s="5" t="e">
        <f>VLOOKUP(A635,N$3:S$1271,5,FALSE)</f>
        <v>#N/A</v>
      </c>
      <c r="I635" s="6">
        <f t="shared" si="37"/>
        <v>559.39</v>
      </c>
      <c r="J635" s="7">
        <f>VLOOKUP(A635,[1]Sheet!B$3:G$2921,6,0)</f>
        <v>1933.25</v>
      </c>
      <c r="K635" s="8" t="e">
        <f t="shared" si="38"/>
        <v>#N/A</v>
      </c>
      <c r="L635" s="6">
        <f t="shared" si="39"/>
        <v>1933.25</v>
      </c>
    </row>
    <row r="636" spans="1:12" x14ac:dyDescent="0.25">
      <c r="A636" s="9" t="s">
        <v>635</v>
      </c>
      <c r="B636" s="2" t="str">
        <f>VLOOKUP(A636,[1]Sheet!B$3:G$2921,2,0)</f>
        <v>L-прогон 50х50х1,0</v>
      </c>
      <c r="C636" s="3" t="str">
        <f>VLOOKUP(A636,[1]Sheet!B$3:G$2921,3,0)</f>
        <v>м</v>
      </c>
      <c r="D636" s="4">
        <v>3</v>
      </c>
      <c r="E636" s="5" t="e">
        <f>VLOOKUP(A636,N$3:S$1271,4,FALSE)</f>
        <v>#N/A</v>
      </c>
      <c r="F636" s="6">
        <f t="shared" si="36"/>
        <v>3</v>
      </c>
      <c r="G636" s="7">
        <f>VLOOKUP(A636,[1]Sheet!B$3:G$2921,5,0)</f>
        <v>43.97</v>
      </c>
      <c r="H636" s="5" t="e">
        <f>VLOOKUP(A636,N$3:S$1271,5,FALSE)</f>
        <v>#N/A</v>
      </c>
      <c r="I636" s="6">
        <f t="shared" si="37"/>
        <v>43.97</v>
      </c>
      <c r="J636" s="7">
        <f>VLOOKUP(A636,[1]Sheet!B$3:G$2921,6,0)</f>
        <v>131.91</v>
      </c>
      <c r="K636" s="8" t="e">
        <f t="shared" si="38"/>
        <v>#N/A</v>
      </c>
      <c r="L636" s="6">
        <f t="shared" si="39"/>
        <v>131.91</v>
      </c>
    </row>
    <row r="637" spans="1:12" x14ac:dyDescent="0.25">
      <c r="A637" s="9" t="s">
        <v>636</v>
      </c>
      <c r="B637" s="2" t="str">
        <f>VLOOKUP(A637,[1]Sheet!B$3:G$2921,2,0)</f>
        <v>L прогон 50х50х1,25 ф. Blachy Pruszynski</v>
      </c>
      <c r="C637" s="3" t="str">
        <f>VLOOKUP(A637,[1]Sheet!B$3:G$2921,3,0)</f>
        <v>м</v>
      </c>
      <c r="D637" s="4">
        <v>36.299999999999997</v>
      </c>
      <c r="E637" s="5" t="e">
        <f>VLOOKUP(A637,N$3:S$1271,4,FALSE)</f>
        <v>#N/A</v>
      </c>
      <c r="F637" s="6">
        <f t="shared" si="36"/>
        <v>36.299999999999997</v>
      </c>
      <c r="G637" s="7">
        <f>VLOOKUP(A637,[1]Sheet!B$3:G$2921,5,0)</f>
        <v>54.64</v>
      </c>
      <c r="H637" s="5" t="e">
        <f>VLOOKUP(A637,N$3:S$1271,5,FALSE)</f>
        <v>#N/A</v>
      </c>
      <c r="I637" s="6">
        <f t="shared" si="37"/>
        <v>54.64</v>
      </c>
      <c r="J637" s="7">
        <f>VLOOKUP(A637,[1]Sheet!B$3:G$2921,6,0)</f>
        <v>1983.43</v>
      </c>
      <c r="K637" s="8" t="e">
        <f t="shared" si="38"/>
        <v>#N/A</v>
      </c>
      <c r="L637" s="6">
        <f t="shared" si="39"/>
        <v>1983.43</v>
      </c>
    </row>
    <row r="638" spans="1:12" x14ac:dyDescent="0.25">
      <c r="A638" s="9" t="s">
        <v>637</v>
      </c>
      <c r="B638" s="2" t="str">
        <f>VLOOKUP(A638,[1]Sheet!B$3:G$2921,2,0)</f>
        <v>L-прогон 75х50х1,0</v>
      </c>
      <c r="C638" s="3" t="str">
        <f>VLOOKUP(A638,[1]Sheet!B$3:G$2921,3,0)</f>
        <v>м</v>
      </c>
      <c r="D638" s="4">
        <v>59</v>
      </c>
      <c r="E638" s="5" t="e">
        <f>VLOOKUP(A638,N$3:S$1271,4,FALSE)</f>
        <v>#N/A</v>
      </c>
      <c r="F638" s="6">
        <f t="shared" si="36"/>
        <v>59</v>
      </c>
      <c r="G638" s="7">
        <f>VLOOKUP(A638,[1]Sheet!B$3:G$2921,5,0)</f>
        <v>59.13</v>
      </c>
      <c r="H638" s="5" t="e">
        <f>VLOOKUP(A638,N$3:S$1271,5,FALSE)</f>
        <v>#N/A</v>
      </c>
      <c r="I638" s="6">
        <f t="shared" si="37"/>
        <v>59.13</v>
      </c>
      <c r="J638" s="7">
        <f>VLOOKUP(A638,[1]Sheet!B$3:G$2921,6,0)</f>
        <v>3488.67</v>
      </c>
      <c r="K638" s="8" t="e">
        <f t="shared" si="38"/>
        <v>#N/A</v>
      </c>
      <c r="L638" s="6">
        <f t="shared" si="39"/>
        <v>3488.67</v>
      </c>
    </row>
    <row r="639" spans="1:12" x14ac:dyDescent="0.25">
      <c r="A639" s="9" t="s">
        <v>638</v>
      </c>
      <c r="B639" s="2" t="str">
        <f>VLOOKUP(A639,[1]Sheet!B$3:G$2921,2,0)</f>
        <v>L-прогон 100х50х1,0</v>
      </c>
      <c r="C639" s="3" t="str">
        <f>VLOOKUP(A639,[1]Sheet!B$3:G$2921,3,0)</f>
        <v>м</v>
      </c>
      <c r="D639" s="4">
        <v>15.2</v>
      </c>
      <c r="E639" s="5" t="e">
        <f>VLOOKUP(A639,N$3:S$1271,4,FALSE)</f>
        <v>#N/A</v>
      </c>
      <c r="F639" s="6">
        <f t="shared" si="36"/>
        <v>15.2</v>
      </c>
      <c r="G639" s="7">
        <f>VLOOKUP(A639,[1]Sheet!B$3:G$2921,5,0)</f>
        <v>70.41</v>
      </c>
      <c r="H639" s="5" t="e">
        <f>VLOOKUP(A639,N$3:S$1271,5,FALSE)</f>
        <v>#N/A</v>
      </c>
      <c r="I639" s="6">
        <f t="shared" si="37"/>
        <v>70.41</v>
      </c>
      <c r="J639" s="7">
        <f>VLOOKUP(A639,[1]Sheet!B$3:G$2921,6,0)</f>
        <v>1056.1500000000001</v>
      </c>
      <c r="K639" s="8" t="e">
        <f t="shared" si="38"/>
        <v>#N/A</v>
      </c>
      <c r="L639" s="6">
        <f t="shared" si="39"/>
        <v>1056.1500000000001</v>
      </c>
    </row>
    <row r="640" spans="1:12" x14ac:dyDescent="0.25">
      <c r="A640" s="9" t="s">
        <v>639</v>
      </c>
      <c r="B640" s="2" t="str">
        <f>VLOOKUP(A640,[1]Sheet!B$3:G$2921,2,0)</f>
        <v>L-прогон 100х50х1,25</v>
      </c>
      <c r="C640" s="3" t="str">
        <f>VLOOKUP(A640,[1]Sheet!B$3:G$2921,3,0)</f>
        <v>м</v>
      </c>
      <c r="D640" s="4">
        <v>277.89999999999998</v>
      </c>
      <c r="E640" s="5" t="e">
        <f>VLOOKUP(A640,N$3:S$1271,4,FALSE)</f>
        <v>#N/A</v>
      </c>
      <c r="F640" s="6">
        <f t="shared" si="36"/>
        <v>277.89999999999998</v>
      </c>
      <c r="G640" s="7">
        <f>VLOOKUP(A640,[1]Sheet!B$3:G$2921,5,0)</f>
        <v>84.44</v>
      </c>
      <c r="H640" s="5" t="e">
        <f>VLOOKUP(A640,N$3:S$1271,5,FALSE)</f>
        <v>#N/A</v>
      </c>
      <c r="I640" s="6">
        <f t="shared" si="37"/>
        <v>84.44</v>
      </c>
      <c r="J640" s="7">
        <f>VLOOKUP(A640,[1]Sheet!B$3:G$2921,6,0)</f>
        <v>23465.88</v>
      </c>
      <c r="K640" s="8" t="e">
        <f t="shared" si="38"/>
        <v>#N/A</v>
      </c>
      <c r="L640" s="6">
        <f t="shared" si="39"/>
        <v>23465.88</v>
      </c>
    </row>
    <row r="641" spans="1:12" x14ac:dyDescent="0.25">
      <c r="A641" s="9" t="s">
        <v>640</v>
      </c>
      <c r="B641" s="2" t="str">
        <f>VLOOKUP(A641,[1]Sheet!B$3:G$2921,2,0)</f>
        <v>Лист 1х1000 ОЦ ф. Blachy Pruszynski</v>
      </c>
      <c r="C641" s="3" t="str">
        <f>VLOOKUP(A641,[1]Sheet!B$3:G$2921,3,0)</f>
        <v>м2</v>
      </c>
      <c r="D641" s="4">
        <v>6</v>
      </c>
      <c r="E641" s="5" t="e">
        <f>VLOOKUP(A641,N$3:S$1271,4,FALSE)</f>
        <v>#N/A</v>
      </c>
      <c r="F641" s="6">
        <f t="shared" si="36"/>
        <v>6</v>
      </c>
      <c r="G641" s="7">
        <f>VLOOKUP(A641,[1]Sheet!B$3:G$2921,5,0)</f>
        <v>559.91</v>
      </c>
      <c r="H641" s="5" t="e">
        <f>VLOOKUP(A641,N$3:S$1271,5,FALSE)</f>
        <v>#N/A</v>
      </c>
      <c r="I641" s="6">
        <f t="shared" si="37"/>
        <v>559.91</v>
      </c>
      <c r="J641" s="7">
        <f>VLOOKUP(A641,[1]Sheet!B$3:G$2921,6,0)</f>
        <v>3359.46</v>
      </c>
      <c r="K641" s="8" t="e">
        <f t="shared" si="38"/>
        <v>#N/A</v>
      </c>
      <c r="L641" s="6">
        <f t="shared" si="39"/>
        <v>3359.46</v>
      </c>
    </row>
    <row r="642" spans="1:12" x14ac:dyDescent="0.25">
      <c r="A642" s="9" t="s">
        <v>641</v>
      </c>
      <c r="B642" s="2" t="str">
        <f>VLOOKUP(A642,[1]Sheet!B$3:G$2921,2,0)</f>
        <v>С-прогон 150х60х1,5 ф.Blachy Pruszynski</v>
      </c>
      <c r="C642" s="3" t="str">
        <f>VLOOKUP(A642,[1]Sheet!B$3:G$2921,3,0)</f>
        <v>м</v>
      </c>
      <c r="D642" s="4">
        <v>44.85</v>
      </c>
      <c r="E642" s="5" t="e">
        <f>VLOOKUP(A642,N$3:S$1271,4,FALSE)</f>
        <v>#N/A</v>
      </c>
      <c r="F642" s="6">
        <f t="shared" ref="F642:F705" si="40">IFERROR(D642-E642,D642)</f>
        <v>44.85</v>
      </c>
      <c r="G642" s="7">
        <f>VLOOKUP(A642,[1]Sheet!B$3:G$2921,5,0)</f>
        <v>269.49</v>
      </c>
      <c r="H642" s="5" t="e">
        <f>VLOOKUP(A642,N$3:S$1271,5,FALSE)</f>
        <v>#N/A</v>
      </c>
      <c r="I642" s="6">
        <f t="shared" ref="I642:I705" si="41">IFERROR(G642-H642,G642)</f>
        <v>269.49</v>
      </c>
      <c r="J642" s="7">
        <f>VLOOKUP(A642,[1]Sheet!B$3:G$2921,6,0)</f>
        <v>12086.63</v>
      </c>
      <c r="K642" s="8" t="e">
        <f t="shared" ref="K642:K705" si="42">VLOOKUP(A642,N$3:S$1271,6,FALSE)</f>
        <v>#N/A</v>
      </c>
      <c r="L642" s="6">
        <f t="shared" ref="L642:L705" si="43">IFERROR(J642-K642,J642)</f>
        <v>12086.63</v>
      </c>
    </row>
    <row r="643" spans="1:12" x14ac:dyDescent="0.25">
      <c r="A643" s="9" t="s">
        <v>642</v>
      </c>
      <c r="B643" s="2" t="str">
        <f>VLOOKUP(A643,[1]Sheet!B$3:G$2921,2,0)</f>
        <v>U-прогон 129х60/60х1,25 ф.Blachy Pruszynski</v>
      </c>
      <c r="C643" s="3" t="str">
        <f>VLOOKUP(A643,[1]Sheet!B$3:G$2921,3,0)</f>
        <v>м</v>
      </c>
      <c r="D643" s="4">
        <v>10.56</v>
      </c>
      <c r="E643" s="5" t="e">
        <f>VLOOKUP(A643,N$3:S$1271,4,FALSE)</f>
        <v>#N/A</v>
      </c>
      <c r="F643" s="6">
        <f t="shared" si="40"/>
        <v>10.56</v>
      </c>
      <c r="G643" s="7">
        <f>VLOOKUP(A643,[1]Sheet!B$3:G$2921,5,0)</f>
        <v>131.24</v>
      </c>
      <c r="H643" s="5" t="e">
        <f>VLOOKUP(A643,N$3:S$1271,5,FALSE)</f>
        <v>#N/A</v>
      </c>
      <c r="I643" s="6">
        <f t="shared" si="41"/>
        <v>131.24</v>
      </c>
      <c r="J643" s="7">
        <f>VLOOKUP(A643,[1]Sheet!B$3:G$2921,6,0)</f>
        <v>1385.89</v>
      </c>
      <c r="K643" s="8" t="e">
        <f t="shared" si="42"/>
        <v>#N/A</v>
      </c>
      <c r="L643" s="6">
        <f t="shared" si="43"/>
        <v>1385.89</v>
      </c>
    </row>
    <row r="644" spans="1:12" x14ac:dyDescent="0.25">
      <c r="A644" s="9" t="s">
        <v>643</v>
      </c>
      <c r="B644" s="2" t="str">
        <f>VLOOKUP(A644,[1]Sheet!B$3:G$2921,2,0)</f>
        <v>Кутик посил. перф. (оп. столик) 100х80х1,25
ф.Blachy Pruszynski</v>
      </c>
      <c r="C644" s="3" t="str">
        <f>VLOOKUP(A644,[1]Sheet!B$3:G$2921,3,0)</f>
        <v>шт</v>
      </c>
      <c r="D644" s="4">
        <v>368</v>
      </c>
      <c r="E644" s="5" t="e">
        <f>VLOOKUP(A644,N$3:S$1271,4,FALSE)</f>
        <v>#N/A</v>
      </c>
      <c r="F644" s="6">
        <f t="shared" si="40"/>
        <v>368</v>
      </c>
      <c r="G644" s="7">
        <f>VLOOKUP(A644,[1]Sheet!B$3:G$2921,5,0)</f>
        <v>10.36</v>
      </c>
      <c r="H644" s="5" t="e">
        <f>VLOOKUP(A644,N$3:S$1271,5,FALSE)</f>
        <v>#N/A</v>
      </c>
      <c r="I644" s="6">
        <f t="shared" si="41"/>
        <v>10.36</v>
      </c>
      <c r="J644" s="7">
        <f>VLOOKUP(A644,[1]Sheet!B$3:G$2921,6,0)</f>
        <v>3802.12</v>
      </c>
      <c r="K644" s="8" t="e">
        <f t="shared" si="42"/>
        <v>#N/A</v>
      </c>
      <c r="L644" s="6">
        <f t="shared" si="43"/>
        <v>3802.12</v>
      </c>
    </row>
    <row r="645" spans="1:12" x14ac:dyDescent="0.25">
      <c r="A645" s="9" t="s">
        <v>644</v>
      </c>
      <c r="B645" s="2" t="str">
        <f>VLOOKUP(A645,[1]Sheet!B$3:G$2921,2,0)</f>
        <v>U-прогон 154х48/48х1,25 ф.Blachy Pruszynski</v>
      </c>
      <c r="C645" s="3" t="str">
        <f>VLOOKUP(A645,[1]Sheet!B$3:G$2921,3,0)</f>
        <v>м</v>
      </c>
      <c r="D645" s="4">
        <v>90.67</v>
      </c>
      <c r="E645" s="5" t="e">
        <f>VLOOKUP(A645,N$3:S$1271,4,FALSE)</f>
        <v>#N/A</v>
      </c>
      <c r="F645" s="6">
        <f t="shared" si="40"/>
        <v>90.67</v>
      </c>
      <c r="G645" s="7">
        <f>VLOOKUP(A645,[1]Sheet!B$3:G$2921,5,0)</f>
        <v>164.63</v>
      </c>
      <c r="H645" s="5" t="e">
        <f>VLOOKUP(A645,N$3:S$1271,5,FALSE)</f>
        <v>#N/A</v>
      </c>
      <c r="I645" s="6">
        <f t="shared" si="41"/>
        <v>164.63</v>
      </c>
      <c r="J645" s="7">
        <f>VLOOKUP(A645,[1]Sheet!B$3:G$2921,6,0)</f>
        <v>14927</v>
      </c>
      <c r="K645" s="8" t="e">
        <f t="shared" si="42"/>
        <v>#N/A</v>
      </c>
      <c r="L645" s="6">
        <f t="shared" si="43"/>
        <v>14927</v>
      </c>
    </row>
    <row r="646" spans="1:12" x14ac:dyDescent="0.25">
      <c r="A646" s="9" t="s">
        <v>645</v>
      </c>
      <c r="B646" s="2" t="str">
        <f>VLOOKUP(A646,[1]Sheet!B$3:G$2921,2,0)</f>
        <v>С-прогон 200х60х2 ф.Blachy Pruszynski</v>
      </c>
      <c r="C646" s="3" t="str">
        <f>VLOOKUP(A646,[1]Sheet!B$3:G$2921,3,0)</f>
        <v>м</v>
      </c>
      <c r="D646" s="4">
        <v>45.550000000000004</v>
      </c>
      <c r="E646" s="5" t="e">
        <f>VLOOKUP(A646,N$3:S$1271,4,FALSE)</f>
        <v>#N/A</v>
      </c>
      <c r="F646" s="6">
        <f t="shared" si="40"/>
        <v>45.550000000000004</v>
      </c>
      <c r="G646" s="7">
        <f>VLOOKUP(A646,[1]Sheet!B$3:G$2921,5,0)</f>
        <v>314.91000000000003</v>
      </c>
      <c r="H646" s="5" t="e">
        <f>VLOOKUP(A646,N$3:S$1271,5,FALSE)</f>
        <v>#N/A</v>
      </c>
      <c r="I646" s="6">
        <f t="shared" si="41"/>
        <v>314.91000000000003</v>
      </c>
      <c r="J646" s="7">
        <f>VLOOKUP(A646,[1]Sheet!B$3:G$2921,6,0)</f>
        <v>12130.33</v>
      </c>
      <c r="K646" s="8" t="e">
        <f t="shared" si="42"/>
        <v>#N/A</v>
      </c>
      <c r="L646" s="6">
        <f t="shared" si="43"/>
        <v>12130.33</v>
      </c>
    </row>
    <row r="647" spans="1:12" x14ac:dyDescent="0.25">
      <c r="A647" s="9" t="s">
        <v>646</v>
      </c>
      <c r="B647" s="2" t="str">
        <f>VLOOKUP(A647,[1]Sheet!B$3:G$2921,2,0)</f>
        <v>Прогон Омега - 20 ф.Blachy Pruszynski</v>
      </c>
      <c r="C647" s="3" t="str">
        <f>VLOOKUP(A647,[1]Sheet!B$3:G$2921,3,0)</f>
        <v>м</v>
      </c>
      <c r="D647" s="4">
        <v>390.7</v>
      </c>
      <c r="E647" s="5" t="e">
        <f>VLOOKUP(A647,N$3:S$1271,4,FALSE)</f>
        <v>#N/A</v>
      </c>
      <c r="F647" s="6">
        <f t="shared" si="40"/>
        <v>390.7</v>
      </c>
      <c r="G647" s="7">
        <f>VLOOKUP(A647,[1]Sheet!B$3:G$2921,5,0)</f>
        <v>56.77</v>
      </c>
      <c r="H647" s="5" t="e">
        <f>VLOOKUP(A647,N$3:S$1271,5,FALSE)</f>
        <v>#N/A</v>
      </c>
      <c r="I647" s="6">
        <f t="shared" si="41"/>
        <v>56.77</v>
      </c>
      <c r="J647" s="7">
        <f>VLOOKUP(A647,[1]Sheet!B$3:G$2921,6,0)</f>
        <v>14430.93</v>
      </c>
      <c r="K647" s="8" t="e">
        <f t="shared" si="42"/>
        <v>#N/A</v>
      </c>
      <c r="L647" s="6">
        <f t="shared" si="43"/>
        <v>14430.93</v>
      </c>
    </row>
    <row r="648" spans="1:12" x14ac:dyDescent="0.25">
      <c r="A648" s="9" t="s">
        <v>647</v>
      </c>
      <c r="B648" s="2" t="str">
        <f>VLOOKUP(A648,[1]Sheet!B$3:G$2921,2,0)</f>
        <v>Сталь листова</v>
      </c>
      <c r="C648" s="3" t="str">
        <f>VLOOKUP(A648,[1]Sheet!B$3:G$2921,3,0)</f>
        <v>т</v>
      </c>
      <c r="D648" s="4">
        <v>0.19772000000000001</v>
      </c>
      <c r="E648" s="5" t="e">
        <f>VLOOKUP(A648,N$3:S$1271,4,FALSE)</f>
        <v>#N/A</v>
      </c>
      <c r="F648" s="6">
        <f t="shared" si="40"/>
        <v>0.19772000000000001</v>
      </c>
      <c r="G648" s="7">
        <f>VLOOKUP(A648,[1]Sheet!B$3:G$2921,5,0)</f>
        <v>26536.13</v>
      </c>
      <c r="H648" s="5" t="e">
        <f>VLOOKUP(A648,N$3:S$1271,5,FALSE)</f>
        <v>#N/A</v>
      </c>
      <c r="I648" s="6">
        <f t="shared" si="41"/>
        <v>26536.13</v>
      </c>
      <c r="J648" s="7">
        <f>VLOOKUP(A648,[1]Sheet!B$3:G$2921,6,0)</f>
        <v>106.14</v>
      </c>
      <c r="K648" s="8" t="e">
        <f t="shared" si="42"/>
        <v>#N/A</v>
      </c>
      <c r="L648" s="6">
        <f t="shared" si="43"/>
        <v>106.14</v>
      </c>
    </row>
    <row r="649" spans="1:12" x14ac:dyDescent="0.25">
      <c r="A649" s="9" t="s">
        <v>648</v>
      </c>
      <c r="B649" s="2" t="str">
        <f>VLOOKUP(A649,[1]Sheet!B$3:G$2921,2,0)</f>
        <v>Профнастил ТП 150-580-1,0А (позитив)</v>
      </c>
      <c r="C649" s="3" t="str">
        <f>VLOOKUP(A649,[1]Sheet!B$3:G$2921,3,0)</f>
        <v>м2</v>
      </c>
      <c r="D649" s="4">
        <v>26.538000000000004</v>
      </c>
      <c r="E649" s="5" t="e">
        <f>VLOOKUP(A649,N$3:S$1271,4,FALSE)</f>
        <v>#N/A</v>
      </c>
      <c r="F649" s="6">
        <f t="shared" si="40"/>
        <v>26.538000000000004</v>
      </c>
      <c r="G649" s="7">
        <f>VLOOKUP(A649,[1]Sheet!B$3:G$2921,5,0)</f>
        <v>661.12</v>
      </c>
      <c r="H649" s="5" t="e">
        <f>VLOOKUP(A649,N$3:S$1271,5,FALSE)</f>
        <v>#N/A</v>
      </c>
      <c r="I649" s="6">
        <f t="shared" si="41"/>
        <v>661.12</v>
      </c>
      <c r="J649" s="7">
        <f>VLOOKUP(A649,[1]Sheet!B$3:G$2921,6,0)</f>
        <v>2887.77</v>
      </c>
      <c r="K649" s="8" t="e">
        <f t="shared" si="42"/>
        <v>#N/A</v>
      </c>
      <c r="L649" s="6">
        <f t="shared" si="43"/>
        <v>2887.77</v>
      </c>
    </row>
    <row r="650" spans="1:12" x14ac:dyDescent="0.25">
      <c r="A650" s="9" t="s">
        <v>649</v>
      </c>
      <c r="B650" s="2" t="str">
        <f>VLOOKUP(A650,[1]Sheet!B$3:G$2921,2,0)</f>
        <v>Профнастил ТП 150-870-1,0А (позитив)</v>
      </c>
      <c r="C650" s="3" t="str">
        <f>VLOOKUP(A650,[1]Sheet!B$3:G$2921,3,0)</f>
        <v>м2</v>
      </c>
      <c r="D650" s="4">
        <v>0</v>
      </c>
      <c r="E650" s="5" t="e">
        <f>VLOOKUP(A650,N$3:S$1271,4,FALSE)</f>
        <v>#N/A</v>
      </c>
      <c r="F650" s="6">
        <f t="shared" si="40"/>
        <v>0</v>
      </c>
      <c r="G650" s="7">
        <f>VLOOKUP(A650,[1]Sheet!B$3:G$2921,5,0)</f>
        <v>721.2</v>
      </c>
      <c r="H650" s="5" t="e">
        <f>VLOOKUP(A650,N$3:S$1271,5,FALSE)</f>
        <v>#N/A</v>
      </c>
      <c r="I650" s="6">
        <f t="shared" si="41"/>
        <v>721.2</v>
      </c>
      <c r="J650" s="7">
        <f>VLOOKUP(A650,[1]Sheet!B$3:G$2921,6,0)</f>
        <v>131672.24</v>
      </c>
      <c r="K650" s="8" t="e">
        <f t="shared" si="42"/>
        <v>#N/A</v>
      </c>
      <c r="L650" s="6">
        <f t="shared" si="43"/>
        <v>131672.24</v>
      </c>
    </row>
    <row r="651" spans="1:12" x14ac:dyDescent="0.25">
      <c r="A651" s="9" t="s">
        <v>650</v>
      </c>
      <c r="B651" s="2" t="str">
        <f>VLOOKUP(A651,[1]Sheet!B$3:G$2921,2,0)</f>
        <v>Стінова касета звичайна 600х150х0,75
ф.Blachy Pruszynski</v>
      </c>
      <c r="C651" s="3" t="str">
        <f>VLOOKUP(A651,[1]Sheet!B$3:G$2921,3,0)</f>
        <v>м2</v>
      </c>
      <c r="D651" s="4">
        <v>374.53799999999995</v>
      </c>
      <c r="E651" s="5" t="e">
        <f>VLOOKUP(A651,N$3:S$1271,4,FALSE)</f>
        <v>#N/A</v>
      </c>
      <c r="F651" s="6">
        <f t="shared" si="40"/>
        <v>374.53799999999995</v>
      </c>
      <c r="G651" s="7">
        <f>VLOOKUP(A651,[1]Sheet!B$3:G$2921,5,0)</f>
        <v>781.05</v>
      </c>
      <c r="H651" s="5" t="e">
        <f>VLOOKUP(A651,N$3:S$1271,5,FALSE)</f>
        <v>#N/A</v>
      </c>
      <c r="I651" s="6">
        <f t="shared" si="41"/>
        <v>781.05</v>
      </c>
      <c r="J651" s="7">
        <f>VLOOKUP(A651,[1]Sheet!B$3:G$2921,6,0)</f>
        <v>291829.96000000002</v>
      </c>
      <c r="K651" s="8" t="e">
        <f t="shared" si="42"/>
        <v>#N/A</v>
      </c>
      <c r="L651" s="6">
        <f t="shared" si="43"/>
        <v>291829.96000000002</v>
      </c>
    </row>
    <row r="652" spans="1:12" x14ac:dyDescent="0.25">
      <c r="A652" s="9" t="s">
        <v>651</v>
      </c>
      <c r="B652" s="2" t="str">
        <f>VLOOKUP(A652,[1]Sheet!B$3:G$2921,2,0)</f>
        <v>Профлист Т 10-1145-0,45-В РЕ 25 мк ф.
Blachy Pruszynski</v>
      </c>
      <c r="C652" s="3" t="str">
        <f>VLOOKUP(A652,[1]Sheet!B$3:G$2921,3,0)</f>
        <v>м2</v>
      </c>
      <c r="D652" s="4">
        <v>193.03</v>
      </c>
      <c r="E652" s="5" t="e">
        <f>VLOOKUP(A652,N$3:S$1271,4,FALSE)</f>
        <v>#N/A</v>
      </c>
      <c r="F652" s="6">
        <f t="shared" si="40"/>
        <v>193.03</v>
      </c>
      <c r="G652" s="7">
        <f>VLOOKUP(A652,[1]Sheet!B$3:G$2921,5,0)</f>
        <v>232.45</v>
      </c>
      <c r="H652" s="5" t="e">
        <f>VLOOKUP(A652,N$3:S$1271,5,FALSE)</f>
        <v>#N/A</v>
      </c>
      <c r="I652" s="6">
        <f t="shared" si="41"/>
        <v>232.45</v>
      </c>
      <c r="J652" s="7">
        <f>VLOOKUP(A652,[1]Sheet!B$3:G$2921,6,0)</f>
        <v>27894</v>
      </c>
      <c r="K652" s="8" t="e">
        <f t="shared" si="42"/>
        <v>#N/A</v>
      </c>
      <c r="L652" s="6">
        <f t="shared" si="43"/>
        <v>27894</v>
      </c>
    </row>
    <row r="653" spans="1:12" x14ac:dyDescent="0.25">
      <c r="A653" s="9" t="s">
        <v>652</v>
      </c>
      <c r="B653" s="2" t="str">
        <f>VLOOKUP(A653,[1]Sheet!B$3:G$2921,2,0)</f>
        <v>Профільований лист Т 10 ф-ми "Blachy
Pruszynski"</v>
      </c>
      <c r="C653" s="3" t="str">
        <f>VLOOKUP(A653,[1]Sheet!B$3:G$2921,3,0)</f>
        <v>м2</v>
      </c>
      <c r="D653" s="4">
        <v>10</v>
      </c>
      <c r="E653" s="5" t="e">
        <f>VLOOKUP(A653,N$3:S$1271,4,FALSE)</f>
        <v>#N/A</v>
      </c>
      <c r="F653" s="6">
        <f t="shared" si="40"/>
        <v>10</v>
      </c>
      <c r="G653" s="7">
        <f>VLOOKUP(A653,[1]Sheet!B$3:G$2921,5,0)</f>
        <v>305.66000000000003</v>
      </c>
      <c r="H653" s="5" t="e">
        <f>VLOOKUP(A653,N$3:S$1271,5,FALSE)</f>
        <v>#N/A</v>
      </c>
      <c r="I653" s="6">
        <f t="shared" si="41"/>
        <v>305.66000000000003</v>
      </c>
      <c r="J653" s="7">
        <f>VLOOKUP(A653,[1]Sheet!B$3:G$2921,6,0)</f>
        <v>3056.6</v>
      </c>
      <c r="K653" s="8" t="e">
        <f t="shared" si="42"/>
        <v>#N/A</v>
      </c>
      <c r="L653" s="6">
        <f t="shared" si="43"/>
        <v>3056.6</v>
      </c>
    </row>
    <row r="654" spans="1:12" x14ac:dyDescent="0.25">
      <c r="A654" s="9" t="s">
        <v>653</v>
      </c>
      <c r="B654" s="2" t="str">
        <f>VLOOKUP(A654,[1]Sheet!B$3:G$2921,2,0)</f>
        <v>Стінова касета звичайна 600х100х0,75
ф.Blachy Pruszynski</v>
      </c>
      <c r="C654" s="3" t="str">
        <f>VLOOKUP(A654,[1]Sheet!B$3:G$2921,3,0)</f>
        <v>м2</v>
      </c>
      <c r="D654" s="4">
        <v>95.94</v>
      </c>
      <c r="E654" s="5" t="e">
        <f>VLOOKUP(A654,N$3:S$1271,4,FALSE)</f>
        <v>#N/A</v>
      </c>
      <c r="F654" s="6">
        <f t="shared" si="40"/>
        <v>95.94</v>
      </c>
      <c r="G654" s="7">
        <f>VLOOKUP(A654,[1]Sheet!B$3:G$2921,5,0)</f>
        <v>668.57</v>
      </c>
      <c r="H654" s="5" t="e">
        <f>VLOOKUP(A654,N$3:S$1271,5,FALSE)</f>
        <v>#N/A</v>
      </c>
      <c r="I654" s="6">
        <f t="shared" si="41"/>
        <v>668.57</v>
      </c>
      <c r="J654" s="7">
        <f>VLOOKUP(A654,[1]Sheet!B$3:G$2921,6,0)</f>
        <v>4416.57</v>
      </c>
      <c r="K654" s="8" t="e">
        <f t="shared" si="42"/>
        <v>#N/A</v>
      </c>
      <c r="L654" s="6">
        <f t="shared" si="43"/>
        <v>4416.57</v>
      </c>
    </row>
    <row r="655" spans="1:12" x14ac:dyDescent="0.25">
      <c r="A655" s="9" t="s">
        <v>654</v>
      </c>
      <c r="B655" s="2" t="str">
        <f>VLOOKUP(A655,[1]Sheet!B$3:G$2921,2,0)</f>
        <v>Стінова касета стартова 600х150х0,75
ф.Blachy Pruszynski</v>
      </c>
      <c r="C655" s="3" t="str">
        <f>VLOOKUP(A655,[1]Sheet!B$3:G$2921,3,0)</f>
        <v>м2</v>
      </c>
      <c r="D655" s="4">
        <v>93.804000000000002</v>
      </c>
      <c r="E655" s="5" t="e">
        <f>VLOOKUP(A655,N$3:S$1271,4,FALSE)</f>
        <v>#N/A</v>
      </c>
      <c r="F655" s="6">
        <f t="shared" si="40"/>
        <v>93.804000000000002</v>
      </c>
      <c r="G655" s="7">
        <f>VLOOKUP(A655,[1]Sheet!B$3:G$2921,5,0)</f>
        <v>796.67</v>
      </c>
      <c r="H655" s="5" t="e">
        <f>VLOOKUP(A655,N$3:S$1271,5,FALSE)</f>
        <v>#N/A</v>
      </c>
      <c r="I655" s="6">
        <f t="shared" si="41"/>
        <v>796.67</v>
      </c>
      <c r="J655" s="7">
        <f>VLOOKUP(A655,[1]Sheet!B$3:G$2921,6,0)</f>
        <v>74659.13</v>
      </c>
      <c r="K655" s="8" t="e">
        <f t="shared" si="42"/>
        <v>#N/A</v>
      </c>
      <c r="L655" s="6">
        <f t="shared" si="43"/>
        <v>74659.13</v>
      </c>
    </row>
    <row r="656" spans="1:12" x14ac:dyDescent="0.25">
      <c r="A656" s="9" t="s">
        <v>655</v>
      </c>
      <c r="B656" s="2" t="str">
        <f>VLOOKUP(A656,[1]Sheet!B$3:G$2921,2,0)</f>
        <v>Стінова касета стартова 600х100х0,75
ф.Blachy Pruszynski</v>
      </c>
      <c r="C656" s="3" t="str">
        <f>VLOOKUP(A656,[1]Sheet!B$3:G$2921,3,0)</f>
        <v>м2</v>
      </c>
      <c r="D656" s="4">
        <v>37.817999999999998</v>
      </c>
      <c r="E656" s="5" t="e">
        <f>VLOOKUP(A656,N$3:S$1271,4,FALSE)</f>
        <v>#N/A</v>
      </c>
      <c r="F656" s="6">
        <f t="shared" si="40"/>
        <v>37.817999999999998</v>
      </c>
      <c r="G656" s="7">
        <f>VLOOKUP(A656,[1]Sheet!B$3:G$2921,5,0)</f>
        <v>681.92</v>
      </c>
      <c r="H656" s="5" t="e">
        <f>VLOOKUP(A656,N$3:S$1271,5,FALSE)</f>
        <v>#N/A</v>
      </c>
      <c r="I656" s="6">
        <f t="shared" si="41"/>
        <v>681.92</v>
      </c>
      <c r="J656" s="7">
        <f>VLOOKUP(A656,[1]Sheet!B$3:G$2921,6,0)</f>
        <v>11763.12</v>
      </c>
      <c r="K656" s="8" t="e">
        <f t="shared" si="42"/>
        <v>#N/A</v>
      </c>
      <c r="L656" s="6">
        <f t="shared" si="43"/>
        <v>11763.12</v>
      </c>
    </row>
    <row r="657" spans="1:12" x14ac:dyDescent="0.25">
      <c r="A657" s="9" t="s">
        <v>656</v>
      </c>
      <c r="B657" s="2" t="str">
        <f>VLOOKUP(A657,[1]Sheet!B$3:G$2921,2,0)</f>
        <v>PS-панелі PS-315 (V) товщ. 0,5мм РЕ 25мк
ф.Blachy Pruszynski</v>
      </c>
      <c r="C657" s="3" t="str">
        <f>VLOOKUP(A657,[1]Sheet!B$3:G$2921,3,0)</f>
        <v>м2</v>
      </c>
      <c r="D657" s="4">
        <v>0</v>
      </c>
      <c r="E657" s="5" t="e">
        <f>VLOOKUP(A657,N$3:S$1271,4,FALSE)</f>
        <v>#N/A</v>
      </c>
      <c r="F657" s="6">
        <f t="shared" si="40"/>
        <v>0</v>
      </c>
      <c r="G657" s="7">
        <f>VLOOKUP(A657,[1]Sheet!B$3:G$2921,5,0)</f>
        <v>460.91</v>
      </c>
      <c r="H657" s="5" t="e">
        <f>VLOOKUP(A657,N$3:S$1271,5,FALSE)</f>
        <v>#N/A</v>
      </c>
      <c r="I657" s="6">
        <f t="shared" si="41"/>
        <v>460.91</v>
      </c>
      <c r="J657" s="7">
        <f>VLOOKUP(A657,[1]Sheet!B$3:G$2921,6,0)</f>
        <v>289711.96999999997</v>
      </c>
      <c r="K657" s="8" t="e">
        <f t="shared" si="42"/>
        <v>#N/A</v>
      </c>
      <c r="L657" s="6">
        <f t="shared" si="43"/>
        <v>289711.96999999997</v>
      </c>
    </row>
    <row r="658" spans="1:12" x14ac:dyDescent="0.25">
      <c r="A658" s="9" t="s">
        <v>657</v>
      </c>
      <c r="B658" s="2" t="str">
        <f>VLOOKUP(A658,[1]Sheet!B$3:G$2921,2,0)</f>
        <v>PS-панелі PS-215 (V) товщ. 0,5мм РЕ 25мк
ф.Blachy Pruszynski</v>
      </c>
      <c r="C658" s="3" t="str">
        <f>VLOOKUP(A658,[1]Sheet!B$3:G$2921,3,0)</f>
        <v>м2</v>
      </c>
      <c r="D658" s="4">
        <v>7.5981000000000005</v>
      </c>
      <c r="E658" s="5" t="e">
        <f>VLOOKUP(A658,N$3:S$1271,4,FALSE)</f>
        <v>#N/A</v>
      </c>
      <c r="F658" s="6">
        <f t="shared" si="40"/>
        <v>7.5981000000000005</v>
      </c>
      <c r="G658" s="7">
        <f>VLOOKUP(A658,[1]Sheet!B$3:G$2921,5,0)</f>
        <v>499.04</v>
      </c>
      <c r="H658" s="5" t="e">
        <f>VLOOKUP(A658,N$3:S$1271,5,FALSE)</f>
        <v>#N/A</v>
      </c>
      <c r="I658" s="6">
        <f t="shared" si="41"/>
        <v>499.04</v>
      </c>
      <c r="J658" s="7">
        <f>VLOOKUP(A658,[1]Sheet!B$3:G$2921,6,0)</f>
        <v>3791.76</v>
      </c>
      <c r="K658" s="8" t="e">
        <f t="shared" si="42"/>
        <v>#N/A</v>
      </c>
      <c r="L658" s="6">
        <f t="shared" si="43"/>
        <v>3791.76</v>
      </c>
    </row>
    <row r="659" spans="1:12" x14ac:dyDescent="0.25">
      <c r="A659" s="9" t="s">
        <v>658</v>
      </c>
      <c r="B659" s="2" t="str">
        <f>VLOOKUP(A659,[1]Sheet!B$3:G$2921,2,0)</f>
        <v>PS-панелі PS-155 (V) товщ. 0,5мм РЕ 25мк
ф.Blachy Pruszynski</v>
      </c>
      <c r="C659" s="3" t="str">
        <f>VLOOKUP(A659,[1]Sheet!B$3:G$2921,3,0)</f>
        <v>м2</v>
      </c>
      <c r="D659" s="4">
        <v>1.7328999999999999</v>
      </c>
      <c r="E659" s="5" t="e">
        <f>VLOOKUP(A659,N$3:S$1271,4,FALSE)</f>
        <v>#N/A</v>
      </c>
      <c r="F659" s="6">
        <f t="shared" si="40"/>
        <v>1.7328999999999999</v>
      </c>
      <c r="G659" s="7">
        <f>VLOOKUP(A659,[1]Sheet!B$3:G$2921,5,0)</f>
        <v>438.09</v>
      </c>
      <c r="H659" s="5" t="e">
        <f>VLOOKUP(A659,N$3:S$1271,5,FALSE)</f>
        <v>#N/A</v>
      </c>
      <c r="I659" s="6">
        <f t="shared" si="41"/>
        <v>438.09</v>
      </c>
      <c r="J659" s="7">
        <f>VLOOKUP(A659,[1]Sheet!B$3:G$2921,6,0)</f>
        <v>759.17</v>
      </c>
      <c r="K659" s="8" t="e">
        <f t="shared" si="42"/>
        <v>#N/A</v>
      </c>
      <c r="L659" s="6">
        <f t="shared" si="43"/>
        <v>759.17</v>
      </c>
    </row>
    <row r="660" spans="1:12" x14ac:dyDescent="0.25">
      <c r="A660" s="9" t="s">
        <v>659</v>
      </c>
      <c r="B660" s="2" t="str">
        <f>VLOOKUP(A660,[1]Sheet!B$3:G$2921,2,0)</f>
        <v>Профнастил ТП 92-915-1,0 (позитив)</v>
      </c>
      <c r="C660" s="3" t="str">
        <f>VLOOKUP(A660,[1]Sheet!B$3:G$2921,3,0)</f>
        <v>м2</v>
      </c>
      <c r="D660" s="4">
        <v>28.803999999999998</v>
      </c>
      <c r="E660" s="5" t="e">
        <f>VLOOKUP(A660,N$3:S$1271,4,FALSE)</f>
        <v>#N/A</v>
      </c>
      <c r="F660" s="6">
        <f t="shared" si="40"/>
        <v>28.803999999999998</v>
      </c>
      <c r="G660" s="7">
        <f>VLOOKUP(A660,[1]Sheet!B$3:G$2921,5,0)</f>
        <v>583.6</v>
      </c>
      <c r="H660" s="5" t="e">
        <f>VLOOKUP(A660,N$3:S$1271,5,FALSE)</f>
        <v>#N/A</v>
      </c>
      <c r="I660" s="6">
        <f t="shared" si="41"/>
        <v>583.6</v>
      </c>
      <c r="J660" s="7">
        <f>VLOOKUP(A660,[1]Sheet!B$3:G$2921,6,0)</f>
        <v>16810.009999999998</v>
      </c>
      <c r="K660" s="8" t="e">
        <f t="shared" si="42"/>
        <v>#N/A</v>
      </c>
      <c r="L660" s="6">
        <f t="shared" si="43"/>
        <v>16810.009999999998</v>
      </c>
    </row>
    <row r="661" spans="1:12" x14ac:dyDescent="0.25">
      <c r="A661" s="9" t="s">
        <v>660</v>
      </c>
      <c r="B661" s="2" t="str">
        <f>VLOOKUP(A661,[1]Sheet!B$3:G$2921,2,0)</f>
        <v>Сталь кругла, діам. 16 мм</v>
      </c>
      <c r="C661" s="3" t="str">
        <f>VLOOKUP(A661,[1]Sheet!B$3:G$2921,3,0)</f>
        <v>м</v>
      </c>
      <c r="D661" s="4">
        <v>147</v>
      </c>
      <c r="E661" s="5" t="e">
        <f>VLOOKUP(A661,N$3:S$1271,4,FALSE)</f>
        <v>#N/A</v>
      </c>
      <c r="F661" s="6">
        <f t="shared" si="40"/>
        <v>147</v>
      </c>
      <c r="G661" s="7">
        <f>VLOOKUP(A661,[1]Sheet!B$3:G$2921,5,0)</f>
        <v>26.47</v>
      </c>
      <c r="H661" s="5" t="e">
        <f>VLOOKUP(A661,N$3:S$1271,5,FALSE)</f>
        <v>#N/A</v>
      </c>
      <c r="I661" s="6">
        <f t="shared" si="41"/>
        <v>26.47</v>
      </c>
      <c r="J661" s="7">
        <f>VLOOKUP(A661,[1]Sheet!B$3:G$2921,6,0)</f>
        <v>3891.09</v>
      </c>
      <c r="K661" s="8" t="e">
        <f t="shared" si="42"/>
        <v>#N/A</v>
      </c>
      <c r="L661" s="6">
        <f t="shared" si="43"/>
        <v>3891.09</v>
      </c>
    </row>
    <row r="662" spans="1:12" x14ac:dyDescent="0.25">
      <c r="A662" s="9" t="s">
        <v>661</v>
      </c>
      <c r="B662" s="2" t="str">
        <f>VLOOKUP(A662,[1]Sheet!B$3:G$2921,2,0)</f>
        <v>Сталь штабова 820х40х4</v>
      </c>
      <c r="C662" s="3" t="str">
        <f>VLOOKUP(A662,[1]Sheet!B$3:G$2921,3,0)</f>
        <v>т</v>
      </c>
      <c r="D662" s="4">
        <v>7.6590000000000005E-2</v>
      </c>
      <c r="E662" s="5" t="e">
        <f>VLOOKUP(A662,N$3:S$1271,4,FALSE)</f>
        <v>#N/A</v>
      </c>
      <c r="F662" s="6">
        <f t="shared" si="40"/>
        <v>7.6590000000000005E-2</v>
      </c>
      <c r="G662" s="7">
        <f>VLOOKUP(A662,[1]Sheet!B$3:G$2921,5,0)</f>
        <v>27153.49</v>
      </c>
      <c r="H662" s="5" t="e">
        <f>VLOOKUP(A662,N$3:S$1271,5,FALSE)</f>
        <v>#N/A</v>
      </c>
      <c r="I662" s="6">
        <f t="shared" si="41"/>
        <v>27153.49</v>
      </c>
      <c r="J662" s="7">
        <f>VLOOKUP(A662,[1]Sheet!B$3:G$2921,6,0)</f>
        <v>699.2</v>
      </c>
      <c r="K662" s="8" t="e">
        <f t="shared" si="42"/>
        <v>#N/A</v>
      </c>
      <c r="L662" s="6">
        <f t="shared" si="43"/>
        <v>699.2</v>
      </c>
    </row>
    <row r="663" spans="1:12" x14ac:dyDescent="0.25">
      <c r="A663" s="9" t="s">
        <v>662</v>
      </c>
      <c r="B663" s="2" t="str">
        <f>VLOOKUP(A663,[1]Sheet!B$3:G$2921,2,0)</f>
        <v>Сталева смуга, розмiри 25х4 мм</v>
      </c>
      <c r="C663" s="3" t="str">
        <f>VLOOKUP(A663,[1]Sheet!B$3:G$2921,3,0)</f>
        <v>м</v>
      </c>
      <c r="D663" s="4">
        <v>26</v>
      </c>
      <c r="E663" s="5" t="e">
        <f>VLOOKUP(A663,N$3:S$1271,4,FALSE)</f>
        <v>#N/A</v>
      </c>
      <c r="F663" s="6">
        <f t="shared" si="40"/>
        <v>26</v>
      </c>
      <c r="G663" s="7">
        <f>VLOOKUP(A663,[1]Sheet!B$3:G$2921,5,0)</f>
        <v>22.51</v>
      </c>
      <c r="H663" s="5" t="e">
        <f>VLOOKUP(A663,N$3:S$1271,5,FALSE)</f>
        <v>#N/A</v>
      </c>
      <c r="I663" s="6">
        <f t="shared" si="41"/>
        <v>22.51</v>
      </c>
      <c r="J663" s="7">
        <f>VLOOKUP(A663,[1]Sheet!B$3:G$2921,6,0)</f>
        <v>585.26</v>
      </c>
      <c r="K663" s="8" t="e">
        <f t="shared" si="42"/>
        <v>#N/A</v>
      </c>
      <c r="L663" s="6">
        <f t="shared" si="43"/>
        <v>585.26</v>
      </c>
    </row>
    <row r="664" spans="1:12" x14ac:dyDescent="0.25">
      <c r="A664" s="9" t="s">
        <v>663</v>
      </c>
      <c r="B664" s="2" t="str">
        <f>VLOOKUP(A664,[1]Sheet!B$3:G$2921,2,0)</f>
        <v>Сталь кутова</v>
      </c>
      <c r="C664" s="3" t="str">
        <f>VLOOKUP(A664,[1]Sheet!B$3:G$2921,3,0)</f>
        <v>т</v>
      </c>
      <c r="D664" s="4">
        <v>7.8880000000000006E-2</v>
      </c>
      <c r="E664" s="5" t="e">
        <f>VLOOKUP(A664,N$3:S$1271,4,FALSE)</f>
        <v>#N/A</v>
      </c>
      <c r="F664" s="6">
        <f t="shared" si="40"/>
        <v>7.8880000000000006E-2</v>
      </c>
      <c r="G664" s="7">
        <f>VLOOKUP(A664,[1]Sheet!B$3:G$2921,5,0)</f>
        <v>26861.72</v>
      </c>
      <c r="H664" s="5" t="e">
        <f>VLOOKUP(A664,N$3:S$1271,5,FALSE)</f>
        <v>#N/A</v>
      </c>
      <c r="I664" s="6">
        <f t="shared" si="41"/>
        <v>26861.72</v>
      </c>
      <c r="J664" s="7">
        <f>VLOOKUP(A664,[1]Sheet!B$3:G$2921,6,0)</f>
        <v>22.03</v>
      </c>
      <c r="K664" s="8" t="e">
        <f t="shared" si="42"/>
        <v>#N/A</v>
      </c>
      <c r="L664" s="6">
        <f t="shared" si="43"/>
        <v>22.03</v>
      </c>
    </row>
    <row r="665" spans="1:12" x14ac:dyDescent="0.25">
      <c r="A665" s="9" t="s">
        <v>664</v>
      </c>
      <c r="B665" s="2" t="str">
        <f>VLOOKUP(A665,[1]Sheet!B$3:G$2921,2,0)</f>
        <v>Прокат штабовий ширина 60 мм, товщина 5
мм</v>
      </c>
      <c r="C665" s="3" t="str">
        <f>VLOOKUP(A665,[1]Sheet!B$3:G$2921,3,0)</f>
        <v>т</v>
      </c>
      <c r="D665" s="4">
        <v>0</v>
      </c>
      <c r="E665" s="5" t="e">
        <f>VLOOKUP(A665,N$3:S$1271,4,FALSE)</f>
        <v>#N/A</v>
      </c>
      <c r="F665" s="6">
        <f t="shared" si="40"/>
        <v>0</v>
      </c>
      <c r="G665" s="7">
        <f>VLOOKUP(A665,[1]Sheet!B$3:G$2921,5,0)</f>
        <v>28815.38</v>
      </c>
      <c r="H665" s="5" t="e">
        <f>VLOOKUP(A665,N$3:S$1271,5,FALSE)</f>
        <v>#N/A</v>
      </c>
      <c r="I665" s="6">
        <f t="shared" si="41"/>
        <v>28815.38</v>
      </c>
      <c r="J665" s="7">
        <f>VLOOKUP(A665,[1]Sheet!B$3:G$2921,6,0)</f>
        <v>5089.76</v>
      </c>
      <c r="K665" s="8" t="e">
        <f t="shared" si="42"/>
        <v>#N/A</v>
      </c>
      <c r="L665" s="6">
        <f t="shared" si="43"/>
        <v>5089.76</v>
      </c>
    </row>
    <row r="666" spans="1:12" x14ac:dyDescent="0.25">
      <c r="A666" s="9" t="s">
        <v>665</v>
      </c>
      <c r="B666" s="2" t="str">
        <f>VLOOKUP(A666,[1]Sheet!B$3:G$2921,2,0)</f>
        <v>Металевий костиль</v>
      </c>
      <c r="C666" s="3" t="str">
        <f>VLOOKUP(A666,[1]Sheet!B$3:G$2921,3,0)</f>
        <v>шт</v>
      </c>
      <c r="D666" s="4">
        <v>39</v>
      </c>
      <c r="E666" s="5" t="e">
        <f>VLOOKUP(A666,N$3:S$1271,4,FALSE)</f>
        <v>#N/A</v>
      </c>
      <c r="F666" s="6">
        <f t="shared" si="40"/>
        <v>39</v>
      </c>
      <c r="G666" s="7">
        <f>VLOOKUP(A666,[1]Sheet!B$3:G$2921,5,0)</f>
        <v>42.89</v>
      </c>
      <c r="H666" s="5" t="e">
        <f>VLOOKUP(A666,N$3:S$1271,5,FALSE)</f>
        <v>#N/A</v>
      </c>
      <c r="I666" s="6">
        <f t="shared" si="41"/>
        <v>42.89</v>
      </c>
      <c r="J666" s="7">
        <f>VLOOKUP(A666,[1]Sheet!B$3:G$2921,6,0)</f>
        <v>1672.71</v>
      </c>
      <c r="K666" s="8" t="e">
        <f t="shared" si="42"/>
        <v>#N/A</v>
      </c>
      <c r="L666" s="6">
        <f t="shared" si="43"/>
        <v>1672.71</v>
      </c>
    </row>
    <row r="667" spans="1:12" x14ac:dyDescent="0.25">
      <c r="A667" s="9" t="s">
        <v>666</v>
      </c>
      <c r="B667" s="2" t="str">
        <f>VLOOKUP(A667,[1]Sheet!B$3:G$2921,2,0)</f>
        <v>С100х60х3 профіль ф.Blachy Pruszynski</v>
      </c>
      <c r="C667" s="3" t="str">
        <f>VLOOKUP(A667,[1]Sheet!B$3:G$2921,3,0)</f>
        <v>кг</v>
      </c>
      <c r="D667" s="4">
        <v>3.0024799999999998</v>
      </c>
      <c r="E667" s="5" t="e">
        <f>VLOOKUP(A667,N$3:S$1271,4,FALSE)</f>
        <v>#N/A</v>
      </c>
      <c r="F667" s="6">
        <f t="shared" si="40"/>
        <v>3.0024799999999998</v>
      </c>
      <c r="G667" s="7">
        <f>VLOOKUP(A667,[1]Sheet!B$3:G$2921,5,0)</f>
        <v>74.900000000000006</v>
      </c>
      <c r="H667" s="5" t="e">
        <f>VLOOKUP(A667,N$3:S$1271,5,FALSE)</f>
        <v>#N/A</v>
      </c>
      <c r="I667" s="6">
        <f t="shared" si="41"/>
        <v>74.900000000000006</v>
      </c>
      <c r="J667" s="7">
        <f>VLOOKUP(A667,[1]Sheet!B$3:G$2921,6,0)</f>
        <v>224.89</v>
      </c>
      <c r="K667" s="8" t="e">
        <f t="shared" si="42"/>
        <v>#N/A</v>
      </c>
      <c r="L667" s="6">
        <f t="shared" si="43"/>
        <v>224.89</v>
      </c>
    </row>
    <row r="668" spans="1:12" x14ac:dyDescent="0.25">
      <c r="A668" s="9" t="s">
        <v>667</v>
      </c>
      <c r="B668" s="2" t="str">
        <f>VLOOKUP(A668,[1]Sheet!B$3:G$2921,2,0)</f>
        <v>Балка Б4</v>
      </c>
      <c r="C668" s="3" t="str">
        <f>VLOOKUP(A668,[1]Sheet!B$3:G$2921,3,0)</f>
        <v>т</v>
      </c>
      <c r="D668" s="4">
        <v>5.4590000000000007E-2</v>
      </c>
      <c r="E668" s="5" t="e">
        <f>VLOOKUP(A668,N$3:S$1271,4,FALSE)</f>
        <v>#N/A</v>
      </c>
      <c r="F668" s="6">
        <f t="shared" si="40"/>
        <v>5.4590000000000007E-2</v>
      </c>
      <c r="G668" s="7">
        <f>VLOOKUP(A668,[1]Sheet!B$3:G$2921,5,0)</f>
        <v>28815.38</v>
      </c>
      <c r="H668" s="5" t="e">
        <f>VLOOKUP(A668,N$3:S$1271,5,FALSE)</f>
        <v>#N/A</v>
      </c>
      <c r="I668" s="6">
        <f t="shared" si="41"/>
        <v>28815.38</v>
      </c>
      <c r="J668" s="7">
        <f>VLOOKUP(A668,[1]Sheet!B$3:G$2921,6,0)</f>
        <v>1573.03</v>
      </c>
      <c r="K668" s="8" t="e">
        <f t="shared" si="42"/>
        <v>#N/A</v>
      </c>
      <c r="L668" s="6">
        <f t="shared" si="43"/>
        <v>1573.03</v>
      </c>
    </row>
    <row r="669" spans="1:12" x14ac:dyDescent="0.25">
      <c r="A669" s="9" t="s">
        <v>668</v>
      </c>
      <c r="B669" s="2" t="str">
        <f>VLOOKUP(A669,[1]Sheet!B$3:G$2921,2,0)</f>
        <v>Балка Б3</v>
      </c>
      <c r="C669" s="3" t="str">
        <f>VLOOKUP(A669,[1]Sheet!B$3:G$2921,3,0)</f>
        <v>т</v>
      </c>
      <c r="D669" s="4">
        <v>0.206258</v>
      </c>
      <c r="E669" s="5" t="e">
        <f>VLOOKUP(A669,N$3:S$1271,4,FALSE)</f>
        <v>#N/A</v>
      </c>
      <c r="F669" s="6">
        <f t="shared" si="40"/>
        <v>0.206258</v>
      </c>
      <c r="G669" s="7">
        <f>VLOOKUP(A669,[1]Sheet!B$3:G$2921,5,0)</f>
        <v>28815.38</v>
      </c>
      <c r="H669" s="5" t="e">
        <f>VLOOKUP(A669,N$3:S$1271,5,FALSE)</f>
        <v>#N/A</v>
      </c>
      <c r="I669" s="6">
        <f t="shared" si="41"/>
        <v>28815.38</v>
      </c>
      <c r="J669" s="7">
        <f>VLOOKUP(A669,[1]Sheet!B$3:G$2921,6,0)</f>
        <v>2856.76</v>
      </c>
      <c r="K669" s="8" t="e">
        <f t="shared" si="42"/>
        <v>#N/A</v>
      </c>
      <c r="L669" s="6">
        <f t="shared" si="43"/>
        <v>2856.76</v>
      </c>
    </row>
    <row r="670" spans="1:12" x14ac:dyDescent="0.25">
      <c r="A670" s="9" t="s">
        <v>669</v>
      </c>
      <c r="B670" s="2" t="str">
        <f>VLOOKUP(A670,[1]Sheet!B$3:G$2921,2,0)</f>
        <v>Балки БП1, БЛ1, БЛ2, БП2</v>
      </c>
      <c r="C670" s="3" t="str">
        <f>VLOOKUP(A670,[1]Sheet!B$3:G$2921,3,0)</f>
        <v>т</v>
      </c>
      <c r="D670" s="4">
        <v>0.82384000000000002</v>
      </c>
      <c r="E670" s="5" t="e">
        <f>VLOOKUP(A670,N$3:S$1271,4,FALSE)</f>
        <v>#N/A</v>
      </c>
      <c r="F670" s="6">
        <f t="shared" si="40"/>
        <v>0.82384000000000002</v>
      </c>
      <c r="G670" s="7">
        <f>VLOOKUP(A670,[1]Sheet!B$3:G$2921,5,0)</f>
        <v>28815.38</v>
      </c>
      <c r="H670" s="5" t="e">
        <f>VLOOKUP(A670,N$3:S$1271,5,FALSE)</f>
        <v>#N/A</v>
      </c>
      <c r="I670" s="6">
        <f t="shared" si="41"/>
        <v>28815.38</v>
      </c>
      <c r="J670" s="7">
        <f>VLOOKUP(A670,[1]Sheet!B$3:G$2921,6,0)</f>
        <v>23739.26</v>
      </c>
      <c r="K670" s="8" t="e">
        <f t="shared" si="42"/>
        <v>#N/A</v>
      </c>
      <c r="L670" s="6">
        <f t="shared" si="43"/>
        <v>23739.26</v>
      </c>
    </row>
    <row r="671" spans="1:12" x14ac:dyDescent="0.25">
      <c r="A671" s="9" t="s">
        <v>670</v>
      </c>
      <c r="B671" s="2" t="str">
        <f>VLOOKUP(A671,[1]Sheet!B$3:G$2921,2,0)</f>
        <v>Анкер телескопічний L=260 мм</v>
      </c>
      <c r="C671" s="3" t="str">
        <f>VLOOKUP(A671,[1]Sheet!B$3:G$2921,3,0)</f>
        <v>шт</v>
      </c>
      <c r="D671" s="4">
        <v>5029</v>
      </c>
      <c r="E671" s="5" t="e">
        <f>VLOOKUP(A671,N$3:S$1271,4,FALSE)</f>
        <v>#N/A</v>
      </c>
      <c r="F671" s="6">
        <f t="shared" si="40"/>
        <v>5029</v>
      </c>
      <c r="G671" s="7">
        <f>VLOOKUP(A671,[1]Sheet!B$3:G$2921,5,0)</f>
        <v>6.87</v>
      </c>
      <c r="H671" s="5" t="e">
        <f>VLOOKUP(A671,N$3:S$1271,5,FALSE)</f>
        <v>#N/A</v>
      </c>
      <c r="I671" s="6">
        <f t="shared" si="41"/>
        <v>6.87</v>
      </c>
      <c r="J671" s="7">
        <f>VLOOKUP(A671,[1]Sheet!B$3:G$2921,6,0)</f>
        <v>1573.23</v>
      </c>
      <c r="K671" s="8" t="e">
        <f t="shared" si="42"/>
        <v>#N/A</v>
      </c>
      <c r="L671" s="6">
        <f t="shared" si="43"/>
        <v>1573.23</v>
      </c>
    </row>
    <row r="672" spans="1:12" x14ac:dyDescent="0.25">
      <c r="A672" s="9" t="s">
        <v>671</v>
      </c>
      <c r="B672" s="2" t="str">
        <f>VLOOKUP(A672,[1]Sheet!B$3:G$2921,2,0)</f>
        <v>Анкер телескопічний L=240 мм</v>
      </c>
      <c r="C672" s="3" t="str">
        <f>VLOOKUP(A672,[1]Sheet!B$3:G$2921,3,0)</f>
        <v>шт</v>
      </c>
      <c r="D672" s="4">
        <v>2312</v>
      </c>
      <c r="E672" s="5" t="e">
        <f>VLOOKUP(A672,N$3:S$1271,4,FALSE)</f>
        <v>#N/A</v>
      </c>
      <c r="F672" s="6">
        <f t="shared" si="40"/>
        <v>2312</v>
      </c>
      <c r="G672" s="7">
        <f>VLOOKUP(A672,[1]Sheet!B$3:G$2921,5,0)</f>
        <v>6.85</v>
      </c>
      <c r="H672" s="5" t="e">
        <f>VLOOKUP(A672,N$3:S$1271,5,FALSE)</f>
        <v>#N/A</v>
      </c>
      <c r="I672" s="6">
        <f t="shared" si="41"/>
        <v>6.85</v>
      </c>
      <c r="J672" s="7">
        <f>VLOOKUP(A672,[1]Sheet!B$3:G$2921,6,0)</f>
        <v>15755</v>
      </c>
      <c r="K672" s="8" t="e">
        <f t="shared" si="42"/>
        <v>#N/A</v>
      </c>
      <c r="L672" s="6">
        <f t="shared" si="43"/>
        <v>15755</v>
      </c>
    </row>
    <row r="673" spans="1:12" x14ac:dyDescent="0.25">
      <c r="A673" s="9" t="s">
        <v>672</v>
      </c>
      <c r="B673" s="2" t="str">
        <f>VLOOKUP(A673,[1]Sheet!B$3:G$2921,2,0)</f>
        <v>Болти будiвельнi з гайками та шайбами</v>
      </c>
      <c r="C673" s="3" t="str">
        <f>VLOOKUP(A673,[1]Sheet!B$3:G$2921,3,0)</f>
        <v>т</v>
      </c>
      <c r="D673" s="4">
        <v>3.6400000000000002E-2</v>
      </c>
      <c r="E673" s="5" t="e">
        <f>VLOOKUP(A673,N$3:S$1271,4,FALSE)</f>
        <v>#N/A</v>
      </c>
      <c r="F673" s="6">
        <f t="shared" si="40"/>
        <v>3.6400000000000002E-2</v>
      </c>
      <c r="G673" s="7">
        <f>VLOOKUP(A673,[1]Sheet!B$3:G$2921,5,0)</f>
        <v>46210.81</v>
      </c>
      <c r="H673" s="5" t="e">
        <f>VLOOKUP(A673,N$3:S$1271,5,FALSE)</f>
        <v>#N/A</v>
      </c>
      <c r="I673" s="6">
        <f t="shared" si="41"/>
        <v>46210.81</v>
      </c>
      <c r="J673" s="7">
        <f>VLOOKUP(A673,[1]Sheet!B$3:G$2921,6,0)</f>
        <v>1682.07</v>
      </c>
      <c r="K673" s="8" t="e">
        <f t="shared" si="42"/>
        <v>#N/A</v>
      </c>
      <c r="L673" s="6">
        <f t="shared" si="43"/>
        <v>1682.07</v>
      </c>
    </row>
    <row r="674" spans="1:12" x14ac:dyDescent="0.25">
      <c r="A674" s="9" t="s">
        <v>673</v>
      </c>
      <c r="B674" s="2" t="str">
        <f>VLOOKUP(A674,[1]Sheet!B$3:G$2921,2,0)</f>
        <v>Гвинти самонарiзнi</v>
      </c>
      <c r="C674" s="3" t="str">
        <f>VLOOKUP(A674,[1]Sheet!B$3:G$2921,3,0)</f>
        <v>шт</v>
      </c>
      <c r="D674" s="4">
        <v>2509</v>
      </c>
      <c r="E674" s="5" t="e">
        <f>VLOOKUP(A674,N$3:S$1271,4,FALSE)</f>
        <v>#N/A</v>
      </c>
      <c r="F674" s="6">
        <f t="shared" si="40"/>
        <v>2509</v>
      </c>
      <c r="G674" s="7">
        <f>VLOOKUP(A674,[1]Sheet!B$3:G$2921,5,0)</f>
        <v>0.17</v>
      </c>
      <c r="H674" s="5" t="e">
        <f>VLOOKUP(A674,N$3:S$1271,5,FALSE)</f>
        <v>#N/A</v>
      </c>
      <c r="I674" s="6">
        <f t="shared" si="41"/>
        <v>0.17</v>
      </c>
      <c r="J674" s="7">
        <f>VLOOKUP(A674,[1]Sheet!B$3:G$2921,6,0)</f>
        <v>426.53</v>
      </c>
      <c r="K674" s="8" t="e">
        <f t="shared" si="42"/>
        <v>#N/A</v>
      </c>
      <c r="L674" s="6">
        <f t="shared" si="43"/>
        <v>426.53</v>
      </c>
    </row>
    <row r="675" spans="1:12" x14ac:dyDescent="0.25">
      <c r="A675" s="9" t="s">
        <v>674</v>
      </c>
      <c r="B675" s="2" t="str">
        <f>VLOOKUP(A675,[1]Sheet!B$3:G$2921,2,0)</f>
        <v>Дюбель 6/42</v>
      </c>
      <c r="C675" s="3" t="str">
        <f>VLOOKUP(A675,[1]Sheet!B$3:G$2921,3,0)</f>
        <v>шт</v>
      </c>
      <c r="D675" s="4">
        <v>2861</v>
      </c>
      <c r="E675" s="5" t="e">
        <f>VLOOKUP(A675,N$3:S$1271,4,FALSE)</f>
        <v>#N/A</v>
      </c>
      <c r="F675" s="6">
        <f t="shared" si="40"/>
        <v>2861</v>
      </c>
      <c r="G675" s="7">
        <f>VLOOKUP(A675,[1]Sheet!B$3:G$2921,5,0)</f>
        <v>0.71</v>
      </c>
      <c r="H675" s="5" t="e">
        <f>VLOOKUP(A675,N$3:S$1271,5,FALSE)</f>
        <v>#N/A</v>
      </c>
      <c r="I675" s="6">
        <f t="shared" si="41"/>
        <v>0.71</v>
      </c>
      <c r="J675" s="7">
        <f>VLOOKUP(A675,[1]Sheet!B$3:G$2921,6,0)</f>
        <v>1009.62</v>
      </c>
      <c r="K675" s="8" t="e">
        <f t="shared" si="42"/>
        <v>#N/A</v>
      </c>
      <c r="L675" s="6">
        <f t="shared" si="43"/>
        <v>1009.62</v>
      </c>
    </row>
    <row r="676" spans="1:12" x14ac:dyDescent="0.25">
      <c r="A676" s="9" t="s">
        <v>675</v>
      </c>
      <c r="B676" s="2" t="str">
        <f>VLOOKUP(A676,[1]Sheet!B$3:G$2921,2,0)</f>
        <v>Саморізи 3,5х9,5</v>
      </c>
      <c r="C676" s="3" t="str">
        <f>VLOOKUP(A676,[1]Sheet!B$3:G$2921,3,0)</f>
        <v>шт</v>
      </c>
      <c r="D676" s="4">
        <v>505</v>
      </c>
      <c r="E676" s="5" t="e">
        <f>VLOOKUP(A676,N$3:S$1271,4,FALSE)</f>
        <v>#N/A</v>
      </c>
      <c r="F676" s="6">
        <f t="shared" si="40"/>
        <v>505</v>
      </c>
      <c r="G676" s="7">
        <f>VLOOKUP(A676,[1]Sheet!B$3:G$2921,5,0)</f>
        <v>0.16</v>
      </c>
      <c r="H676" s="5" t="e">
        <f>VLOOKUP(A676,N$3:S$1271,5,FALSE)</f>
        <v>#N/A</v>
      </c>
      <c r="I676" s="6">
        <f t="shared" si="41"/>
        <v>0.16</v>
      </c>
      <c r="J676" s="7">
        <f>VLOOKUP(A676,[1]Sheet!B$3:G$2921,6,0)</f>
        <v>42.88</v>
      </c>
      <c r="K676" s="8" t="e">
        <f t="shared" si="42"/>
        <v>#N/A</v>
      </c>
      <c r="L676" s="6">
        <f t="shared" si="43"/>
        <v>42.88</v>
      </c>
    </row>
    <row r="677" spans="1:12" x14ac:dyDescent="0.25">
      <c r="A677" s="9" t="s">
        <v>676</v>
      </c>
      <c r="B677" s="2" t="str">
        <f>VLOOKUP(A677,[1]Sheet!B$3:G$2921,2,0)</f>
        <v>Гвинти самонарiзнi для крiплення
профiльованого настилу 5,5х32</v>
      </c>
      <c r="C677" s="3" t="str">
        <f>VLOOKUP(A677,[1]Sheet!B$3:G$2921,3,0)</f>
        <v>100шт</v>
      </c>
      <c r="D677" s="4">
        <v>14.870000000000001</v>
      </c>
      <c r="E677" s="5" t="e">
        <f>VLOOKUP(A677,N$3:S$1271,4,FALSE)</f>
        <v>#N/A</v>
      </c>
      <c r="F677" s="6">
        <f t="shared" si="40"/>
        <v>14.870000000000001</v>
      </c>
      <c r="G677" s="7">
        <f>VLOOKUP(A677,[1]Sheet!B$3:G$2921,5,0)</f>
        <v>205.89</v>
      </c>
      <c r="H677" s="5" t="e">
        <f>VLOOKUP(A677,N$3:S$1271,5,FALSE)</f>
        <v>#N/A</v>
      </c>
      <c r="I677" s="6">
        <f t="shared" si="41"/>
        <v>205.89</v>
      </c>
      <c r="J677" s="7">
        <f>VLOOKUP(A677,[1]Sheet!B$3:G$2921,6,0)</f>
        <v>461.19</v>
      </c>
      <c r="K677" s="8" t="e">
        <f t="shared" si="42"/>
        <v>#N/A</v>
      </c>
      <c r="L677" s="6">
        <f t="shared" si="43"/>
        <v>461.19</v>
      </c>
    </row>
    <row r="678" spans="1:12" x14ac:dyDescent="0.25">
      <c r="A678" s="9" t="s">
        <v>677</v>
      </c>
      <c r="B678" s="2" t="str">
        <f>VLOOKUP(A678,[1]Sheet!B$3:G$2921,2,0)</f>
        <v>Гвинт 5,5х75 код 9Т662С00009Т 655752L,
TEX-HL METALVIS</v>
      </c>
      <c r="C678" s="3" t="str">
        <f>VLOOKUP(A678,[1]Sheet!B$3:G$2921,3,0)</f>
        <v>шт.</v>
      </c>
      <c r="D678" s="4">
        <v>30</v>
      </c>
      <c r="E678" s="5" t="e">
        <f>VLOOKUP(A678,N$3:S$1271,4,FALSE)</f>
        <v>#N/A</v>
      </c>
      <c r="F678" s="6">
        <f t="shared" si="40"/>
        <v>30</v>
      </c>
      <c r="G678" s="7">
        <f>VLOOKUP(A678,[1]Sheet!B$3:G$2921,5,0)</f>
        <v>3.87</v>
      </c>
      <c r="H678" s="5" t="e">
        <f>VLOOKUP(A678,N$3:S$1271,5,FALSE)</f>
        <v>#N/A</v>
      </c>
      <c r="I678" s="6">
        <f t="shared" si="41"/>
        <v>3.87</v>
      </c>
      <c r="J678" s="7">
        <f>VLOOKUP(A678,[1]Sheet!B$3:G$2921,6,0)</f>
        <v>116.1</v>
      </c>
      <c r="K678" s="8" t="e">
        <f t="shared" si="42"/>
        <v>#N/A</v>
      </c>
      <c r="L678" s="6">
        <f t="shared" si="43"/>
        <v>116.1</v>
      </c>
    </row>
    <row r="679" spans="1:12" x14ac:dyDescent="0.25">
      <c r="A679" s="9" t="s">
        <v>678</v>
      </c>
      <c r="B679" s="2" t="str">
        <f>VLOOKUP(A679,[1]Sheet!B$3:G$2921,2,0)</f>
        <v>Гвинти самонарiзнi для крiплення
профiльованого настилу 4,2х19</v>
      </c>
      <c r="C679" s="3" t="str">
        <f>VLOOKUP(A679,[1]Sheet!B$3:G$2921,3,0)</f>
        <v>100шт</v>
      </c>
      <c r="D679" s="4">
        <v>37.080000000000005</v>
      </c>
      <c r="E679" s="5" t="e">
        <f>VLOOKUP(A679,N$3:S$1271,4,FALSE)</f>
        <v>#N/A</v>
      </c>
      <c r="F679" s="6">
        <f t="shared" si="40"/>
        <v>37.080000000000005</v>
      </c>
      <c r="G679" s="7">
        <f>VLOOKUP(A679,[1]Sheet!B$3:G$2921,5,0)</f>
        <v>254.47</v>
      </c>
      <c r="H679" s="5" t="e">
        <f>VLOOKUP(A679,N$3:S$1271,5,FALSE)</f>
        <v>#N/A</v>
      </c>
      <c r="I679" s="6">
        <f t="shared" si="41"/>
        <v>254.47</v>
      </c>
      <c r="J679" s="7">
        <f>VLOOKUP(A679,[1]Sheet!B$3:G$2921,6,0)</f>
        <v>704.88</v>
      </c>
      <c r="K679" s="8" t="e">
        <f t="shared" si="42"/>
        <v>#N/A</v>
      </c>
      <c r="L679" s="6">
        <f t="shared" si="43"/>
        <v>704.88</v>
      </c>
    </row>
    <row r="680" spans="1:12" x14ac:dyDescent="0.25">
      <c r="A680" s="9" t="s">
        <v>679</v>
      </c>
      <c r="B680" s="2" t="str">
        <f>VLOOKUP(A680,[1]Sheet!B$3:G$2921,2,0)</f>
        <v>Цвяхи покрівельні 3,5х40 мм</v>
      </c>
      <c r="C680" s="3" t="str">
        <f>VLOOKUP(A680,[1]Sheet!B$3:G$2921,3,0)</f>
        <v>т</v>
      </c>
      <c r="D680" s="4">
        <v>0</v>
      </c>
      <c r="E680" s="5" t="e">
        <f>VLOOKUP(A680,N$3:S$1271,4,FALSE)</f>
        <v>#N/A</v>
      </c>
      <c r="F680" s="6">
        <f t="shared" si="40"/>
        <v>0</v>
      </c>
      <c r="G680" s="7">
        <f>VLOOKUP(A680,[1]Sheet!B$3:G$2921,5,0)</f>
        <v>44492.07</v>
      </c>
      <c r="H680" s="5" t="e">
        <f>VLOOKUP(A680,N$3:S$1271,5,FALSE)</f>
        <v>#N/A</v>
      </c>
      <c r="I680" s="6">
        <f t="shared" si="41"/>
        <v>44492.07</v>
      </c>
      <c r="J680" s="7">
        <f>VLOOKUP(A680,[1]Sheet!B$3:G$2921,6,0)</f>
        <v>21.38</v>
      </c>
      <c r="K680" s="8" t="e">
        <f t="shared" si="42"/>
        <v>#N/A</v>
      </c>
      <c r="L680" s="6">
        <f t="shared" si="43"/>
        <v>21.38</v>
      </c>
    </row>
    <row r="681" spans="1:12" x14ac:dyDescent="0.25">
      <c r="A681" s="9" t="s">
        <v>680</v>
      </c>
      <c r="B681" s="2" t="str">
        <f>VLOOKUP(A681,[1]Sheet!B$3:G$2921,2,0)</f>
        <v>Ланцюг долголанк. 4.0мм цб. "METALVIS"
DIN 763</v>
      </c>
      <c r="C681" s="3" t="str">
        <f>VLOOKUP(A681,[1]Sheet!B$3:G$2921,3,0)</f>
        <v>м</v>
      </c>
      <c r="D681" s="4">
        <v>996</v>
      </c>
      <c r="E681" s="5" t="e">
        <f>VLOOKUP(A681,N$3:S$1271,4,FALSE)</f>
        <v>#N/A</v>
      </c>
      <c r="F681" s="6">
        <f t="shared" si="40"/>
        <v>996</v>
      </c>
      <c r="G681" s="7">
        <f>VLOOKUP(A681,[1]Sheet!B$3:G$2921,5,0)</f>
        <v>21.38</v>
      </c>
      <c r="H681" s="5" t="e">
        <f>VLOOKUP(A681,N$3:S$1271,5,FALSE)</f>
        <v>#N/A</v>
      </c>
      <c r="I681" s="6">
        <f t="shared" si="41"/>
        <v>21.38</v>
      </c>
      <c r="J681" s="7">
        <f>VLOOKUP(A681,[1]Sheet!B$3:G$2921,6,0)</f>
        <v>21294.48</v>
      </c>
      <c r="K681" s="8" t="e">
        <f t="shared" si="42"/>
        <v>#N/A</v>
      </c>
      <c r="L681" s="6">
        <f t="shared" si="43"/>
        <v>21294.48</v>
      </c>
    </row>
    <row r="682" spans="1:12" x14ac:dyDescent="0.25">
      <c r="A682" s="9" t="s">
        <v>681</v>
      </c>
      <c r="B682" s="2" t="str">
        <f>VLOOKUP(A682,[1]Sheet!B$3:G$2921,2,0)</f>
        <v>Карабін 4.0х40 пожежний цб."METALVIS"
DIN 5299С</v>
      </c>
      <c r="C682" s="3" t="str">
        <f>VLOOKUP(A682,[1]Sheet!B$3:G$2921,3,0)</f>
        <v>шт</v>
      </c>
      <c r="D682" s="4">
        <v>996</v>
      </c>
      <c r="E682" s="5" t="e">
        <f>VLOOKUP(A682,N$3:S$1271,4,FALSE)</f>
        <v>#N/A</v>
      </c>
      <c r="F682" s="6">
        <f t="shared" si="40"/>
        <v>996</v>
      </c>
      <c r="G682" s="7">
        <f>VLOOKUP(A682,[1]Sheet!B$3:G$2921,5,0)</f>
        <v>6.19</v>
      </c>
      <c r="H682" s="5" t="e">
        <f>VLOOKUP(A682,N$3:S$1271,5,FALSE)</f>
        <v>#N/A</v>
      </c>
      <c r="I682" s="6">
        <f t="shared" si="41"/>
        <v>6.19</v>
      </c>
      <c r="J682" s="7">
        <f>VLOOKUP(A682,[1]Sheet!B$3:G$2921,6,0)</f>
        <v>6165.24</v>
      </c>
      <c r="K682" s="8" t="e">
        <f t="shared" si="42"/>
        <v>#N/A</v>
      </c>
      <c r="L682" s="6">
        <f t="shared" si="43"/>
        <v>6165.24</v>
      </c>
    </row>
    <row r="683" spans="1:12" x14ac:dyDescent="0.25">
      <c r="A683" s="9" t="s">
        <v>682</v>
      </c>
      <c r="B683" s="2" t="str">
        <f>VLOOKUP(A683,[1]Sheet!B$3:G$2921,2,0)</f>
        <v>Шпаклiвка Кнауф САТЕНГИПС</v>
      </c>
      <c r="C683" s="3" t="str">
        <f>VLOOKUP(A683,[1]Sheet!B$3:G$2921,3,0)</f>
        <v>кг</v>
      </c>
      <c r="D683" s="4">
        <v>1825.3440000000001</v>
      </c>
      <c r="E683" s="5" t="e">
        <f>VLOOKUP(A683,N$3:S$1271,4,FALSE)</f>
        <v>#N/A</v>
      </c>
      <c r="F683" s="6">
        <f t="shared" si="40"/>
        <v>1825.3440000000001</v>
      </c>
      <c r="G683" s="7">
        <f>VLOOKUP(A683,[1]Sheet!B$3:G$2921,5,0)</f>
        <v>6.66</v>
      </c>
      <c r="H683" s="5" t="e">
        <f>VLOOKUP(A683,N$3:S$1271,5,FALSE)</f>
        <v>#N/A</v>
      </c>
      <c r="I683" s="6">
        <f t="shared" si="41"/>
        <v>6.66</v>
      </c>
      <c r="J683" s="7">
        <f>VLOOKUP(A683,[1]Sheet!B$3:G$2921,6,0)</f>
        <v>3103.29</v>
      </c>
      <c r="K683" s="8" t="e">
        <f t="shared" si="42"/>
        <v>#N/A</v>
      </c>
      <c r="L683" s="6">
        <f t="shared" si="43"/>
        <v>3103.29</v>
      </c>
    </row>
    <row r="684" spans="1:12" x14ac:dyDescent="0.25">
      <c r="A684" s="9" t="s">
        <v>683</v>
      </c>
      <c r="B684" s="2" t="str">
        <f>VLOOKUP(A684,[1]Sheet!B$3:G$2921,2,0)</f>
        <v>Шпатлівка Фугенфюллер</v>
      </c>
      <c r="C684" s="3" t="str">
        <f>VLOOKUP(A684,[1]Sheet!B$3:G$2921,3,0)</f>
        <v>кг</v>
      </c>
      <c r="D684" s="4">
        <v>986.6693600000001</v>
      </c>
      <c r="E684" s="5" t="e">
        <f>VLOOKUP(A684,N$3:S$1271,4,FALSE)</f>
        <v>#N/A</v>
      </c>
      <c r="F684" s="6">
        <f t="shared" si="40"/>
        <v>986.6693600000001</v>
      </c>
      <c r="G684" s="7">
        <f>VLOOKUP(A684,[1]Sheet!B$3:G$2921,5,0)</f>
        <v>7.89</v>
      </c>
      <c r="H684" s="5" t="e">
        <f>VLOOKUP(A684,N$3:S$1271,5,FALSE)</f>
        <v>#N/A</v>
      </c>
      <c r="I684" s="6">
        <f t="shared" si="41"/>
        <v>7.89</v>
      </c>
      <c r="J684" s="7">
        <f>VLOOKUP(A684,[1]Sheet!B$3:G$2921,6,0)</f>
        <v>4890.88</v>
      </c>
      <c r="K684" s="8" t="e">
        <f t="shared" si="42"/>
        <v>#N/A</v>
      </c>
      <c r="L684" s="6">
        <f t="shared" si="43"/>
        <v>4890.88</v>
      </c>
    </row>
    <row r="685" spans="1:12" x14ac:dyDescent="0.25">
      <c r="A685" s="9" t="s">
        <v>684</v>
      </c>
      <c r="B685" s="2" t="str">
        <f>VLOOKUP(A685,[1]Sheet!B$3:G$2921,2,0)</f>
        <v>Анкер Redibolt M8x60 METALVIS</v>
      </c>
      <c r="C685" s="3" t="str">
        <f>VLOOKUP(A685,[1]Sheet!B$3:G$2921,3,0)</f>
        <v>шт</v>
      </c>
      <c r="D685" s="4">
        <v>30</v>
      </c>
      <c r="E685" s="5" t="e">
        <f>VLOOKUP(A685,N$3:S$1271,4,FALSE)</f>
        <v>#N/A</v>
      </c>
      <c r="F685" s="6">
        <f t="shared" si="40"/>
        <v>30</v>
      </c>
      <c r="G685" s="7">
        <f>VLOOKUP(A685,[1]Sheet!B$3:G$2921,5,0)</f>
        <v>5.28</v>
      </c>
      <c r="H685" s="5" t="e">
        <f>VLOOKUP(A685,N$3:S$1271,5,FALSE)</f>
        <v>#N/A</v>
      </c>
      <c r="I685" s="6">
        <f t="shared" si="41"/>
        <v>5.28</v>
      </c>
      <c r="J685" s="7">
        <f>VLOOKUP(A685,[1]Sheet!B$3:G$2921,6,0)</f>
        <v>158.4</v>
      </c>
      <c r="K685" s="8" t="e">
        <f t="shared" si="42"/>
        <v>#N/A</v>
      </c>
      <c r="L685" s="6">
        <f t="shared" si="43"/>
        <v>158.4</v>
      </c>
    </row>
    <row r="686" spans="1:12" x14ac:dyDescent="0.25">
      <c r="A686" s="9" t="s">
        <v>685</v>
      </c>
      <c r="B686" s="2" t="str">
        <f>VLOOKUP(A686,[1]Sheet!B$3:G$2921,2,0)</f>
        <v>Шайба М10</v>
      </c>
      <c r="C686" s="3" t="str">
        <f>VLOOKUP(A686,[1]Sheet!B$3:G$2921,3,0)</f>
        <v>шт</v>
      </c>
      <c r="D686" s="4">
        <v>987</v>
      </c>
      <c r="E686" s="5" t="e">
        <f>VLOOKUP(A686,N$3:S$1271,4,FALSE)</f>
        <v>#N/A</v>
      </c>
      <c r="F686" s="6">
        <f t="shared" si="40"/>
        <v>987</v>
      </c>
      <c r="G686" s="7">
        <f>VLOOKUP(A686,[1]Sheet!B$3:G$2921,5,0)</f>
        <v>0.23</v>
      </c>
      <c r="H686" s="5" t="e">
        <f>VLOOKUP(A686,N$3:S$1271,5,FALSE)</f>
        <v>#N/A</v>
      </c>
      <c r="I686" s="6">
        <f t="shared" si="41"/>
        <v>0.23</v>
      </c>
      <c r="J686" s="7">
        <f>VLOOKUP(A686,[1]Sheet!B$3:G$2921,6,0)</f>
        <v>227.01</v>
      </c>
      <c r="K686" s="8" t="e">
        <f t="shared" si="42"/>
        <v>#N/A</v>
      </c>
      <c r="L686" s="6">
        <f t="shared" si="43"/>
        <v>227.01</v>
      </c>
    </row>
    <row r="687" spans="1:12" x14ac:dyDescent="0.25">
      <c r="A687" s="9" t="s">
        <v>686</v>
      </c>
      <c r="B687" s="2" t="str">
        <f>VLOOKUP(A687,[1]Sheet!B$3:G$2921,2,0)</f>
        <v>Анкерне Redibolt 10х80 М8 METALVIS
92F10000092F110800</v>
      </c>
      <c r="C687" s="3" t="str">
        <f>VLOOKUP(A687,[1]Sheet!B$3:G$2921,3,0)</f>
        <v>шт</v>
      </c>
      <c r="D687" s="4">
        <v>24</v>
      </c>
      <c r="E687" s="5" t="e">
        <f>VLOOKUP(A687,N$3:S$1271,4,FALSE)</f>
        <v>#N/A</v>
      </c>
      <c r="F687" s="6">
        <f t="shared" si="40"/>
        <v>24</v>
      </c>
      <c r="G687" s="7">
        <f>VLOOKUP(A687,[1]Sheet!B$3:G$2921,5,0)</f>
        <v>10.56</v>
      </c>
      <c r="H687" s="5" t="e">
        <f>VLOOKUP(A687,N$3:S$1271,5,FALSE)</f>
        <v>#N/A</v>
      </c>
      <c r="I687" s="6">
        <f t="shared" si="41"/>
        <v>10.56</v>
      </c>
      <c r="J687" s="7">
        <f>VLOOKUP(A687,[1]Sheet!B$3:G$2921,6,0)</f>
        <v>253.44</v>
      </c>
      <c r="K687" s="8" t="e">
        <f t="shared" si="42"/>
        <v>#N/A</v>
      </c>
      <c r="L687" s="6">
        <f t="shared" si="43"/>
        <v>253.44</v>
      </c>
    </row>
    <row r="688" spans="1:12" x14ac:dyDescent="0.25">
      <c r="A688" s="9" t="s">
        <v>687</v>
      </c>
      <c r="B688" s="2" t="str">
        <f>VLOOKUP(A688,[1]Sheet!B$3:G$2921,2,0)</f>
        <v>Анкерний болт ЕТКД 12х160 Metalvis
920Е312А6</v>
      </c>
      <c r="C688" s="3" t="str">
        <f>VLOOKUP(A688,[1]Sheet!B$3:G$2921,3,0)</f>
        <v>100шт</v>
      </c>
      <c r="D688" s="4">
        <v>0.06</v>
      </c>
      <c r="E688" s="5" t="e">
        <f>VLOOKUP(A688,N$3:S$1271,4,FALSE)</f>
        <v>#N/A</v>
      </c>
      <c r="F688" s="6">
        <f t="shared" si="40"/>
        <v>0.06</v>
      </c>
      <c r="G688" s="7">
        <f>VLOOKUP(A688,[1]Sheet!B$3:G$2921,5,0)</f>
        <v>2186.12</v>
      </c>
      <c r="H688" s="5" t="e">
        <f>VLOOKUP(A688,N$3:S$1271,5,FALSE)</f>
        <v>#N/A</v>
      </c>
      <c r="I688" s="6">
        <f t="shared" si="41"/>
        <v>2186.12</v>
      </c>
      <c r="J688" s="7">
        <f>VLOOKUP(A688,[1]Sheet!B$3:G$2921,6,0)</f>
        <v>43.72</v>
      </c>
      <c r="K688" s="8" t="e">
        <f t="shared" si="42"/>
        <v>#N/A</v>
      </c>
      <c r="L688" s="6">
        <f t="shared" si="43"/>
        <v>43.72</v>
      </c>
    </row>
    <row r="689" spans="1:12" x14ac:dyDescent="0.25">
      <c r="A689" s="9" t="s">
        <v>688</v>
      </c>
      <c r="B689" s="2" t="str">
        <f>VLOOKUP(A689,[1]Sheet!B$3:G$2921,2,0)</f>
        <v>Кріпеж Технониколь №1</v>
      </c>
      <c r="C689" s="3" t="str">
        <f>VLOOKUP(A689,[1]Sheet!B$3:G$2921,3,0)</f>
        <v>шт</v>
      </c>
      <c r="D689" s="4">
        <v>244.8</v>
      </c>
      <c r="E689" s="5" t="e">
        <f>VLOOKUP(A689,N$3:S$1271,4,FALSE)</f>
        <v>#N/A</v>
      </c>
      <c r="F689" s="6">
        <f t="shared" si="40"/>
        <v>244.8</v>
      </c>
      <c r="G689" s="7">
        <f>VLOOKUP(A689,[1]Sheet!B$3:G$2921,5,0)</f>
        <v>4.53</v>
      </c>
      <c r="H689" s="5" t="e">
        <f>VLOOKUP(A689,N$3:S$1271,5,FALSE)</f>
        <v>#N/A</v>
      </c>
      <c r="I689" s="6">
        <f t="shared" si="41"/>
        <v>4.53</v>
      </c>
      <c r="J689" s="7">
        <f>VLOOKUP(A689,[1]Sheet!B$3:G$2921,6,0)</f>
        <v>1108.94</v>
      </c>
      <c r="K689" s="8" t="e">
        <f t="shared" si="42"/>
        <v>#N/A</v>
      </c>
      <c r="L689" s="6">
        <f t="shared" si="43"/>
        <v>1108.94</v>
      </c>
    </row>
    <row r="690" spans="1:12" x14ac:dyDescent="0.25">
      <c r="A690" s="9" t="s">
        <v>689</v>
      </c>
      <c r="B690" s="2" t="str">
        <f>VLOOKUP(A690,[1]Sheet!B$3:G$2921,2,0)</f>
        <v>Дюбель-шурупи 100х10мм</v>
      </c>
      <c r="C690" s="3" t="str">
        <f>VLOOKUP(A690,[1]Sheet!B$3:G$2921,3,0)</f>
        <v>шт</v>
      </c>
      <c r="D690" s="4">
        <v>182</v>
      </c>
      <c r="E690" s="5" t="e">
        <f>VLOOKUP(A690,N$3:S$1271,4,FALSE)</f>
        <v>#N/A</v>
      </c>
      <c r="F690" s="6">
        <f t="shared" si="40"/>
        <v>182</v>
      </c>
      <c r="G690" s="7">
        <f>VLOOKUP(A690,[1]Sheet!B$3:G$2921,5,0)</f>
        <v>4.45</v>
      </c>
      <c r="H690" s="5" t="e">
        <f>VLOOKUP(A690,N$3:S$1271,5,FALSE)</f>
        <v>#N/A</v>
      </c>
      <c r="I690" s="6">
        <f t="shared" si="41"/>
        <v>4.45</v>
      </c>
      <c r="J690" s="7">
        <f>VLOOKUP(A690,[1]Sheet!B$3:G$2921,6,0)</f>
        <v>809.9</v>
      </c>
      <c r="K690" s="8" t="e">
        <f t="shared" si="42"/>
        <v>#N/A</v>
      </c>
      <c r="L690" s="6">
        <f t="shared" si="43"/>
        <v>809.9</v>
      </c>
    </row>
    <row r="691" spans="1:12" x14ac:dyDescent="0.25">
      <c r="A691" s="9" t="s">
        <v>690</v>
      </c>
      <c r="B691" s="2" t="str">
        <f>VLOOKUP(A691,[1]Sheet!B$3:G$2921,2,0)</f>
        <v>Анкер ETKD M16x160 METALVIS 920E316A6</v>
      </c>
      <c r="C691" s="3" t="str">
        <f>VLOOKUP(A691,[1]Sheet!B$3:G$2921,3,0)</f>
        <v>шт</v>
      </c>
      <c r="D691" s="4">
        <v>6</v>
      </c>
      <c r="E691" s="5" t="e">
        <f>VLOOKUP(A691,N$3:S$1271,4,FALSE)</f>
        <v>#N/A</v>
      </c>
      <c r="F691" s="6">
        <f t="shared" si="40"/>
        <v>6</v>
      </c>
      <c r="G691" s="7">
        <f>VLOOKUP(A691,[1]Sheet!B$3:G$2921,5,0)</f>
        <v>39.49</v>
      </c>
      <c r="H691" s="5" t="e">
        <f>VLOOKUP(A691,N$3:S$1271,5,FALSE)</f>
        <v>#N/A</v>
      </c>
      <c r="I691" s="6">
        <f t="shared" si="41"/>
        <v>39.49</v>
      </c>
      <c r="J691" s="7">
        <f>VLOOKUP(A691,[1]Sheet!B$3:G$2921,6,0)</f>
        <v>236.94</v>
      </c>
      <c r="K691" s="8" t="e">
        <f t="shared" si="42"/>
        <v>#N/A</v>
      </c>
      <c r="L691" s="6">
        <f t="shared" si="43"/>
        <v>236.94</v>
      </c>
    </row>
    <row r="692" spans="1:12" x14ac:dyDescent="0.25">
      <c r="A692" s="9" t="s">
        <v>691</v>
      </c>
      <c r="B692" s="2" t="str">
        <f>VLOOKUP(A692,[1]Sheet!B$3:G$2921,2,0)</f>
        <v>Клеюча сумiш для керамiчної плитки Ceresit
СМ 11</v>
      </c>
      <c r="C692" s="3" t="str">
        <f>VLOOKUP(A692,[1]Sheet!B$3:G$2921,3,0)</f>
        <v>кг</v>
      </c>
      <c r="D692" s="4">
        <v>3585.6079999999997</v>
      </c>
      <c r="E692" s="5" t="e">
        <f>VLOOKUP(A692,N$3:S$1271,4,FALSE)</f>
        <v>#N/A</v>
      </c>
      <c r="F692" s="6">
        <f t="shared" si="40"/>
        <v>3585.6079999999997</v>
      </c>
      <c r="G692" s="7">
        <f>VLOOKUP(A692,[1]Sheet!B$3:G$2921,5,0)</f>
        <v>14.23</v>
      </c>
      <c r="H692" s="5" t="e">
        <f>VLOOKUP(A692,N$3:S$1271,5,FALSE)</f>
        <v>#N/A</v>
      </c>
      <c r="I692" s="6">
        <f t="shared" si="41"/>
        <v>14.23</v>
      </c>
      <c r="J692" s="7">
        <f>VLOOKUP(A692,[1]Sheet!B$3:G$2921,6,0)</f>
        <v>44794.22</v>
      </c>
      <c r="K692" s="8" t="e">
        <f t="shared" si="42"/>
        <v>#N/A</v>
      </c>
      <c r="L692" s="6">
        <f t="shared" si="43"/>
        <v>44794.22</v>
      </c>
    </row>
    <row r="693" spans="1:12" x14ac:dyDescent="0.25">
      <c r="A693" s="9" t="s">
        <v>692</v>
      </c>
      <c r="B693" s="2" t="str">
        <f>VLOOKUP(A693,[1]Sheet!B$3:G$2921,2,0)</f>
        <v>Клеюча сумiш для плитки Кнауф
Флізенклебер</v>
      </c>
      <c r="C693" s="3" t="str">
        <f>VLOOKUP(A693,[1]Sheet!B$3:G$2921,3,0)</f>
        <v>кг</v>
      </c>
      <c r="D693" s="4">
        <v>3341.0519999999997</v>
      </c>
      <c r="E693" s="5" t="e">
        <f>VLOOKUP(A693,N$3:S$1271,4,FALSE)</f>
        <v>#N/A</v>
      </c>
      <c r="F693" s="6">
        <f t="shared" si="40"/>
        <v>3341.0519999999997</v>
      </c>
      <c r="G693" s="7">
        <f>VLOOKUP(A693,[1]Sheet!B$3:G$2921,5,0)</f>
        <v>4.42</v>
      </c>
      <c r="H693" s="5" t="e">
        <f>VLOOKUP(A693,N$3:S$1271,5,FALSE)</f>
        <v>#N/A</v>
      </c>
      <c r="I693" s="6">
        <f t="shared" si="41"/>
        <v>4.42</v>
      </c>
      <c r="J693" s="7">
        <f>VLOOKUP(A693,[1]Sheet!B$3:G$2921,6,0)</f>
        <v>541.27</v>
      </c>
      <c r="K693" s="8" t="e">
        <f t="shared" si="42"/>
        <v>#N/A</v>
      </c>
      <c r="L693" s="6">
        <f t="shared" si="43"/>
        <v>541.27</v>
      </c>
    </row>
    <row r="694" spans="1:12" x14ac:dyDescent="0.25">
      <c r="A694" s="9" t="s">
        <v>693</v>
      </c>
      <c r="B694" s="2" t="str">
        <f>VLOOKUP(A694,[1]Sheet!B$3:G$2921,2,0)</f>
        <v>Клеюча сумiш Ceresit СМ 17</v>
      </c>
      <c r="C694" s="3" t="str">
        <f>VLOOKUP(A694,[1]Sheet!B$3:G$2921,3,0)</f>
        <v>кг</v>
      </c>
      <c r="D694" s="4">
        <v>25.064</v>
      </c>
      <c r="E694" s="5" t="e">
        <f>VLOOKUP(A694,N$3:S$1271,4,FALSE)</f>
        <v>#N/A</v>
      </c>
      <c r="F694" s="6">
        <f t="shared" si="40"/>
        <v>25.064</v>
      </c>
      <c r="G694" s="7">
        <f>VLOOKUP(A694,[1]Sheet!B$3:G$2921,5,0)</f>
        <v>32.340000000000003</v>
      </c>
      <c r="H694" s="5" t="e">
        <f>VLOOKUP(A694,N$3:S$1271,5,FALSE)</f>
        <v>#N/A</v>
      </c>
      <c r="I694" s="6">
        <f t="shared" si="41"/>
        <v>32.340000000000003</v>
      </c>
      <c r="J694" s="7">
        <f>VLOOKUP(A694,[1]Sheet!B$3:G$2921,6,0)</f>
        <v>221.98</v>
      </c>
      <c r="K694" s="8" t="e">
        <f t="shared" si="42"/>
        <v>#N/A</v>
      </c>
      <c r="L694" s="6">
        <f t="shared" si="43"/>
        <v>221.98</v>
      </c>
    </row>
    <row r="695" spans="1:12" x14ac:dyDescent="0.25">
      <c r="A695" s="9" t="s">
        <v>694</v>
      </c>
      <c r="B695" s="2" t="str">
        <f>VLOOKUP(A695,[1]Sheet!B$3:G$2921,2,0)</f>
        <v>Клей універсальний Thomsit L240D</v>
      </c>
      <c r="C695" s="3" t="str">
        <f>VLOOKUP(A695,[1]Sheet!B$3:G$2921,3,0)</f>
        <v>кг</v>
      </c>
      <c r="D695" s="4">
        <v>41.626440000000002</v>
      </c>
      <c r="E695" s="5" t="e">
        <f>VLOOKUP(A695,N$3:S$1271,4,FALSE)</f>
        <v>#N/A</v>
      </c>
      <c r="F695" s="6">
        <f t="shared" si="40"/>
        <v>41.626440000000002</v>
      </c>
      <c r="G695" s="7">
        <f>VLOOKUP(A695,[1]Sheet!B$3:G$2921,5,0)</f>
        <v>191.75</v>
      </c>
      <c r="H695" s="5" t="e">
        <f>VLOOKUP(A695,N$3:S$1271,5,FALSE)</f>
        <v>#N/A</v>
      </c>
      <c r="I695" s="6">
        <f t="shared" si="41"/>
        <v>191.75</v>
      </c>
      <c r="J695" s="7">
        <f>VLOOKUP(A695,[1]Sheet!B$3:G$2921,6,0)</f>
        <v>7407.2</v>
      </c>
      <c r="K695" s="8" t="e">
        <f t="shared" si="42"/>
        <v>#N/A</v>
      </c>
      <c r="L695" s="6">
        <f t="shared" si="43"/>
        <v>7407.2</v>
      </c>
    </row>
    <row r="696" spans="1:12" x14ac:dyDescent="0.25">
      <c r="A696" s="9" t="s">
        <v>695</v>
      </c>
      <c r="B696" s="2" t="str">
        <f>VLOOKUP(A696,[1]Sheet!B$3:G$2921,2,0)</f>
        <v>Кольоровий шов 2-5мм Baumit PremiumFuge</v>
      </c>
      <c r="C696" s="3" t="str">
        <f>VLOOKUP(A696,[1]Sheet!B$3:G$2921,3,0)</f>
        <v>кг</v>
      </c>
      <c r="D696" s="4">
        <v>94.884799999999998</v>
      </c>
      <c r="E696" s="5" t="e">
        <f>VLOOKUP(A696,N$3:S$1271,4,FALSE)</f>
        <v>#N/A</v>
      </c>
      <c r="F696" s="6">
        <f t="shared" si="40"/>
        <v>94.884799999999998</v>
      </c>
      <c r="G696" s="7">
        <f>VLOOKUP(A696,[1]Sheet!B$3:G$2921,5,0)</f>
        <v>119.53</v>
      </c>
      <c r="H696" s="5" t="e">
        <f>VLOOKUP(A696,N$3:S$1271,5,FALSE)</f>
        <v>#N/A</v>
      </c>
      <c r="I696" s="6">
        <f t="shared" si="41"/>
        <v>119.53</v>
      </c>
      <c r="J696" s="7">
        <f>VLOOKUP(A696,[1]Sheet!B$3:G$2921,6,0)</f>
        <v>1861.61</v>
      </c>
      <c r="K696" s="8" t="e">
        <f t="shared" si="42"/>
        <v>#N/A</v>
      </c>
      <c r="L696" s="6">
        <f t="shared" si="43"/>
        <v>1861.61</v>
      </c>
    </row>
    <row r="697" spans="1:12" x14ac:dyDescent="0.25">
      <c r="A697" s="9" t="s">
        <v>696</v>
      </c>
      <c r="B697" s="2" t="str">
        <f>VLOOKUP(A697,[1]Sheet!B$3:G$2921,2,0)</f>
        <v>Еластичний водостiйкий кольоровий шов до
5 мм Ceresit СЕ 40 aguastatic</v>
      </c>
      <c r="C697" s="3" t="str">
        <f>VLOOKUP(A697,[1]Sheet!B$3:G$2921,3,0)</f>
        <v>кг</v>
      </c>
      <c r="D697" s="4">
        <v>40.423199999999994</v>
      </c>
      <c r="E697" s="5" t="e">
        <f>VLOOKUP(A697,N$3:S$1271,4,FALSE)</f>
        <v>#N/A</v>
      </c>
      <c r="F697" s="6">
        <f t="shared" si="40"/>
        <v>40.423199999999994</v>
      </c>
      <c r="G697" s="7">
        <f>VLOOKUP(A697,[1]Sheet!B$3:G$2921,5,0)</f>
        <v>90.89</v>
      </c>
      <c r="H697" s="5" t="e">
        <f>VLOOKUP(A697,N$3:S$1271,5,FALSE)</f>
        <v>#N/A</v>
      </c>
      <c r="I697" s="6">
        <f t="shared" si="41"/>
        <v>90.89</v>
      </c>
      <c r="J697" s="7">
        <f>VLOOKUP(A697,[1]Sheet!B$3:G$2921,6,0)</f>
        <v>24979.61</v>
      </c>
      <c r="K697" s="8" t="e">
        <f t="shared" si="42"/>
        <v>#N/A</v>
      </c>
      <c r="L697" s="6">
        <f t="shared" si="43"/>
        <v>24979.61</v>
      </c>
    </row>
    <row r="698" spans="1:12" x14ac:dyDescent="0.25">
      <c r="A698" s="9" t="s">
        <v>697</v>
      </c>
      <c r="B698" s="2" t="str">
        <f>VLOOKUP(A698,[1]Sheet!B$3:G$2921,2,0)</f>
        <v>Клей для швiв AQUAPANEL Fugenkleber
(PU) 310мл</v>
      </c>
      <c r="C698" s="3" t="str">
        <f>VLOOKUP(A698,[1]Sheet!B$3:G$2921,3,0)</f>
        <v>шт</v>
      </c>
      <c r="D698" s="4">
        <v>64</v>
      </c>
      <c r="E698" s="5" t="e">
        <f>VLOOKUP(A698,N$3:S$1271,4,FALSE)</f>
        <v>#N/A</v>
      </c>
      <c r="F698" s="6">
        <f t="shared" si="40"/>
        <v>64</v>
      </c>
      <c r="G698" s="7">
        <f>VLOOKUP(A698,[1]Sheet!B$3:G$2921,5,0)</f>
        <v>362.44</v>
      </c>
      <c r="H698" s="5" t="e">
        <f>VLOOKUP(A698,N$3:S$1271,5,FALSE)</f>
        <v>#N/A</v>
      </c>
      <c r="I698" s="6">
        <f t="shared" si="41"/>
        <v>362.44</v>
      </c>
      <c r="J698" s="7">
        <f>VLOOKUP(A698,[1]Sheet!B$3:G$2921,6,0)</f>
        <v>2537.08</v>
      </c>
      <c r="K698" s="8" t="e">
        <f t="shared" si="42"/>
        <v>#N/A</v>
      </c>
      <c r="L698" s="6">
        <f t="shared" si="43"/>
        <v>2537.08</v>
      </c>
    </row>
    <row r="699" spans="1:12" x14ac:dyDescent="0.25">
      <c r="A699" s="9" t="s">
        <v>698</v>
      </c>
      <c r="B699" s="2" t="str">
        <f>VLOOKUP(A699,[1]Sheet!B$3:G$2921,2,0)</f>
        <v>Гiдроiзоляцiйна сумiш (жорстка) Ceresit CR
65</v>
      </c>
      <c r="C699" s="3" t="str">
        <f>VLOOKUP(A699,[1]Sheet!B$3:G$2921,3,0)</f>
        <v>кг</v>
      </c>
      <c r="D699" s="4">
        <v>354.4</v>
      </c>
      <c r="E699" s="5" t="e">
        <f>VLOOKUP(A699,N$3:S$1271,4,FALSE)</f>
        <v>#N/A</v>
      </c>
      <c r="F699" s="6">
        <f t="shared" si="40"/>
        <v>354.4</v>
      </c>
      <c r="G699" s="7">
        <f>VLOOKUP(A699,[1]Sheet!B$3:G$2921,5,0)</f>
        <v>21.2</v>
      </c>
      <c r="H699" s="5" t="e">
        <f>VLOOKUP(A699,N$3:S$1271,5,FALSE)</f>
        <v>#N/A</v>
      </c>
      <c r="I699" s="6">
        <f t="shared" si="41"/>
        <v>21.2</v>
      </c>
      <c r="J699" s="7">
        <f>VLOOKUP(A699,[1]Sheet!B$3:G$2921,6,0)</f>
        <v>7513.28</v>
      </c>
      <c r="K699" s="8" t="e">
        <f t="shared" si="42"/>
        <v>#N/A</v>
      </c>
      <c r="L699" s="6">
        <f t="shared" si="43"/>
        <v>7513.28</v>
      </c>
    </row>
    <row r="700" spans="1:12" x14ac:dyDescent="0.25">
      <c r="A700" s="9" t="s">
        <v>699</v>
      </c>
      <c r="B700" s="2" t="str">
        <f>VLOOKUP(A700,[1]Sheet!B$3:G$2921,2,0)</f>
        <v>Самовирiвнювальна сумiш 2-10 мм Ceresit
СN 72</v>
      </c>
      <c r="C700" s="3" t="str">
        <f>VLOOKUP(A700,[1]Sheet!B$3:G$2921,3,0)</f>
        <v>кг</v>
      </c>
      <c r="D700" s="4">
        <v>8992.9599999999991</v>
      </c>
      <c r="E700" s="5" t="e">
        <f>VLOOKUP(A700,N$3:S$1271,4,FALSE)</f>
        <v>#N/A</v>
      </c>
      <c r="F700" s="6">
        <f t="shared" si="40"/>
        <v>8992.9599999999991</v>
      </c>
      <c r="G700" s="7">
        <f>VLOOKUP(A700,[1]Sheet!B$3:G$2921,5,0)</f>
        <v>38.270000000000003</v>
      </c>
      <c r="H700" s="5" t="e">
        <f>VLOOKUP(A700,N$3:S$1271,5,FALSE)</f>
        <v>#N/A</v>
      </c>
      <c r="I700" s="6">
        <f t="shared" si="41"/>
        <v>38.270000000000003</v>
      </c>
      <c r="J700" s="7">
        <f>VLOOKUP(A700,[1]Sheet!B$3:G$2921,6,0)</f>
        <v>68934.990000000005</v>
      </c>
      <c r="K700" s="8" t="e">
        <f t="shared" si="42"/>
        <v>#N/A</v>
      </c>
      <c r="L700" s="6">
        <f t="shared" si="43"/>
        <v>68934.990000000005</v>
      </c>
    </row>
    <row r="701" spans="1:12" x14ac:dyDescent="0.25">
      <c r="A701" s="9" t="s">
        <v>700</v>
      </c>
      <c r="B701" s="2" t="str">
        <f>VLOOKUP(A701,[1]Sheet!B$3:G$2921,2,0)</f>
        <v>Полiуретанове покриття для пiдлог з
помiрним навантаженням Ceresit СF 72</v>
      </c>
      <c r="C701" s="3" t="str">
        <f>VLOOKUP(A701,[1]Sheet!B$3:G$2921,3,0)</f>
        <v>кг</v>
      </c>
      <c r="D701" s="4">
        <v>2222.5919999999996</v>
      </c>
      <c r="E701" s="5" t="e">
        <f>VLOOKUP(A701,N$3:S$1271,4,FALSE)</f>
        <v>#N/A</v>
      </c>
      <c r="F701" s="6">
        <f t="shared" si="40"/>
        <v>2222.5919999999996</v>
      </c>
      <c r="G701" s="7">
        <f>VLOOKUP(A701,[1]Sheet!B$3:G$2921,5,0)</f>
        <v>554.12</v>
      </c>
      <c r="H701" s="5" t="e">
        <f>VLOOKUP(A701,N$3:S$1271,5,FALSE)</f>
        <v>#N/A</v>
      </c>
      <c r="I701" s="6">
        <f t="shared" si="41"/>
        <v>554.12</v>
      </c>
      <c r="J701" s="7">
        <f>VLOOKUP(A701,[1]Sheet!B$3:G$2921,6,0)</f>
        <v>199625.05</v>
      </c>
      <c r="K701" s="8" t="e">
        <f t="shared" si="42"/>
        <v>#N/A</v>
      </c>
      <c r="L701" s="6">
        <f t="shared" si="43"/>
        <v>199625.05</v>
      </c>
    </row>
    <row r="702" spans="1:12" x14ac:dyDescent="0.25">
      <c r="A702" s="9" t="s">
        <v>701</v>
      </c>
      <c r="B702" s="2" t="str">
        <f>VLOOKUP(A702,[1]Sheet!B$3:G$2921,2,0)</f>
        <v>Епоксидна грунтовка для бетонних i
залiзобетонних основ Ceresit СF 71</v>
      </c>
      <c r="C702" s="3" t="str">
        <f>VLOOKUP(A702,[1]Sheet!B$3:G$2921,3,0)</f>
        <v>кг</v>
      </c>
      <c r="D702" s="4">
        <v>208.36799999999999</v>
      </c>
      <c r="E702" s="5" t="e">
        <f>VLOOKUP(A702,N$3:S$1271,4,FALSE)</f>
        <v>#N/A</v>
      </c>
      <c r="F702" s="6">
        <f t="shared" si="40"/>
        <v>208.36799999999999</v>
      </c>
      <c r="G702" s="7">
        <f>VLOOKUP(A702,[1]Sheet!B$3:G$2921,5,0)</f>
        <v>712.22</v>
      </c>
      <c r="H702" s="5" t="e">
        <f>VLOOKUP(A702,N$3:S$1271,5,FALSE)</f>
        <v>#N/A</v>
      </c>
      <c r="I702" s="6">
        <f t="shared" si="41"/>
        <v>712.22</v>
      </c>
      <c r="J702" s="7">
        <f>VLOOKUP(A702,[1]Sheet!B$3:G$2921,6,0)</f>
        <v>24054.52</v>
      </c>
      <c r="K702" s="8" t="e">
        <f t="shared" si="42"/>
        <v>#N/A</v>
      </c>
      <c r="L702" s="6">
        <f t="shared" si="43"/>
        <v>24054.52</v>
      </c>
    </row>
    <row r="703" spans="1:12" x14ac:dyDescent="0.25">
      <c r="A703" s="9" t="s">
        <v>702</v>
      </c>
      <c r="B703" s="2" t="str">
        <f>VLOOKUP(A703,[1]Sheet!B$3:G$2921,2,0)</f>
        <v>Клейова сумiш Baumit NivoFix</v>
      </c>
      <c r="C703" s="3" t="str">
        <f>VLOOKUP(A703,[1]Sheet!B$3:G$2921,3,0)</f>
        <v>кг</v>
      </c>
      <c r="D703" s="4">
        <v>1382.1899999999998</v>
      </c>
      <c r="E703" s="5" t="e">
        <f>VLOOKUP(A703,N$3:S$1271,4,FALSE)</f>
        <v>#N/A</v>
      </c>
      <c r="F703" s="6">
        <f t="shared" si="40"/>
        <v>1382.1899999999998</v>
      </c>
      <c r="G703" s="7">
        <f>VLOOKUP(A703,[1]Sheet!B$3:G$2921,5,0)</f>
        <v>9.57</v>
      </c>
      <c r="H703" s="5" t="e">
        <f>VLOOKUP(A703,N$3:S$1271,5,FALSE)</f>
        <v>#N/A</v>
      </c>
      <c r="I703" s="6">
        <f t="shared" si="41"/>
        <v>9.57</v>
      </c>
      <c r="J703" s="7">
        <f>VLOOKUP(A703,[1]Sheet!B$3:G$2921,6,0)</f>
        <v>853.64</v>
      </c>
      <c r="K703" s="8" t="e">
        <f t="shared" si="42"/>
        <v>#N/A</v>
      </c>
      <c r="L703" s="6">
        <f t="shared" si="43"/>
        <v>853.64</v>
      </c>
    </row>
    <row r="704" spans="1:12" x14ac:dyDescent="0.25">
      <c r="A704" s="9" t="s">
        <v>703</v>
      </c>
      <c r="B704" s="2" t="str">
        <f>VLOOKUP(A704,[1]Sheet!B$3:G$2921,2,0)</f>
        <v>Штукатурка Baumit MosaikTop</v>
      </c>
      <c r="C704" s="3" t="str">
        <f>VLOOKUP(A704,[1]Sheet!B$3:G$2921,3,0)</f>
        <v>кг</v>
      </c>
      <c r="D704" s="4">
        <v>98.01</v>
      </c>
      <c r="E704" s="5" t="e">
        <f>VLOOKUP(A704,N$3:S$1271,4,FALSE)</f>
        <v>#N/A</v>
      </c>
      <c r="F704" s="6">
        <f t="shared" si="40"/>
        <v>98.01</v>
      </c>
      <c r="G704" s="7">
        <f>VLOOKUP(A704,[1]Sheet!B$3:G$2921,5,0)</f>
        <v>116.86</v>
      </c>
      <c r="H704" s="5" t="e">
        <f>VLOOKUP(A704,N$3:S$1271,5,FALSE)</f>
        <v>#N/A</v>
      </c>
      <c r="I704" s="6">
        <f t="shared" si="41"/>
        <v>116.86</v>
      </c>
      <c r="J704" s="7">
        <f>VLOOKUP(A704,[1]Sheet!B$3:G$2921,6,0)</f>
        <v>11453.45</v>
      </c>
      <c r="K704" s="8" t="e">
        <f t="shared" si="42"/>
        <v>#N/A</v>
      </c>
      <c r="L704" s="6">
        <f t="shared" si="43"/>
        <v>11453.45</v>
      </c>
    </row>
    <row r="705" spans="1:12" x14ac:dyDescent="0.25">
      <c r="A705" s="9" t="s">
        <v>704</v>
      </c>
      <c r="B705" s="2" t="str">
        <f>VLOOKUP(A705,[1]Sheet!B$3:G$2921,2,0)</f>
        <v>Штукатурка Baumit Nanopor Top (фактура
"баранец" 1,5мм)</v>
      </c>
      <c r="C705" s="3" t="str">
        <f>VLOOKUP(A705,[1]Sheet!B$3:G$2921,3,0)</f>
        <v>кг</v>
      </c>
      <c r="D705" s="4">
        <v>178.2</v>
      </c>
      <c r="E705" s="5" t="e">
        <f>VLOOKUP(A705,N$3:S$1271,4,FALSE)</f>
        <v>#N/A</v>
      </c>
      <c r="F705" s="6">
        <f t="shared" si="40"/>
        <v>178.2</v>
      </c>
      <c r="G705" s="7">
        <f>VLOOKUP(A705,[1]Sheet!B$3:G$2921,5,0)</f>
        <v>207.09</v>
      </c>
      <c r="H705" s="5" t="e">
        <f>VLOOKUP(A705,N$3:S$1271,5,FALSE)</f>
        <v>#N/A</v>
      </c>
      <c r="I705" s="6">
        <f t="shared" si="41"/>
        <v>207.09</v>
      </c>
      <c r="J705" s="7">
        <f>VLOOKUP(A705,[1]Sheet!B$3:G$2921,6,0)</f>
        <v>36791.96</v>
      </c>
      <c r="K705" s="8" t="e">
        <f t="shared" si="42"/>
        <v>#N/A</v>
      </c>
      <c r="L705" s="6">
        <f t="shared" si="43"/>
        <v>36791.96</v>
      </c>
    </row>
    <row r="706" spans="1:12" x14ac:dyDescent="0.25">
      <c r="A706" s="9" t="s">
        <v>705</v>
      </c>
      <c r="B706" s="2" t="str">
        <f>VLOOKUP(A706,[1]Sheet!B$3:G$2921,2,0)</f>
        <v>Грунтовка глибокопроникна Ceresit CT 17</v>
      </c>
      <c r="C706" s="3" t="str">
        <f>VLOOKUP(A706,[1]Sheet!B$3:G$2921,3,0)</f>
        <v>л</v>
      </c>
      <c r="D706" s="4">
        <v>277.78399999999999</v>
      </c>
      <c r="E706" s="5" t="e">
        <f>VLOOKUP(A706,N$3:S$1271,4,FALSE)</f>
        <v>#N/A</v>
      </c>
      <c r="F706" s="6">
        <f t="shared" ref="F706:F769" si="44">IFERROR(D706-E706,D706)</f>
        <v>277.78399999999999</v>
      </c>
      <c r="G706" s="7">
        <f>VLOOKUP(A706,[1]Sheet!B$3:G$2921,5,0)</f>
        <v>41.77</v>
      </c>
      <c r="H706" s="5" t="e">
        <f>VLOOKUP(A706,N$3:S$1271,5,FALSE)</f>
        <v>#N/A</v>
      </c>
      <c r="I706" s="6">
        <f t="shared" ref="I706:I769" si="45">IFERROR(G706-H706,G706)</f>
        <v>41.77</v>
      </c>
      <c r="J706" s="7">
        <f>VLOOKUP(A706,[1]Sheet!B$3:G$2921,6,0)</f>
        <v>5057.18</v>
      </c>
      <c r="K706" s="8" t="e">
        <f t="shared" ref="K706:K769" si="46">VLOOKUP(A706,N$3:S$1271,6,FALSE)</f>
        <v>#N/A</v>
      </c>
      <c r="L706" s="6">
        <f t="shared" ref="L706:L769" si="47">IFERROR(J706-K706,J706)</f>
        <v>5057.18</v>
      </c>
    </row>
    <row r="707" spans="1:12" x14ac:dyDescent="0.25">
      <c r="A707" s="9" t="s">
        <v>706</v>
      </c>
      <c r="B707" s="2" t="str">
        <f>VLOOKUP(A707,[1]Sheet!B$3:G$2921,2,0)</f>
        <v>Гідроізоляція Флехендихт ф.Кнауф</v>
      </c>
      <c r="C707" s="3" t="str">
        <f>VLOOKUP(A707,[1]Sheet!B$3:G$2921,3,0)</f>
        <v>кг</v>
      </c>
      <c r="D707" s="4">
        <v>50.67</v>
      </c>
      <c r="E707" s="5" t="e">
        <f>VLOOKUP(A707,N$3:S$1271,4,FALSE)</f>
        <v>#N/A</v>
      </c>
      <c r="F707" s="6">
        <f t="shared" si="44"/>
        <v>50.67</v>
      </c>
      <c r="G707" s="7">
        <f>VLOOKUP(A707,[1]Sheet!B$3:G$2921,5,0)</f>
        <v>150.63999999999999</v>
      </c>
      <c r="H707" s="5" t="e">
        <f>VLOOKUP(A707,N$3:S$1271,5,FALSE)</f>
        <v>#N/A</v>
      </c>
      <c r="I707" s="6">
        <f t="shared" si="45"/>
        <v>150.63999999999999</v>
      </c>
      <c r="J707" s="7">
        <f>VLOOKUP(A707,[1]Sheet!B$3:G$2921,6,0)</f>
        <v>6326.88</v>
      </c>
      <c r="K707" s="8" t="e">
        <f t="shared" si="46"/>
        <v>#N/A</v>
      </c>
      <c r="L707" s="6">
        <f t="shared" si="47"/>
        <v>6326.88</v>
      </c>
    </row>
    <row r="708" spans="1:12" x14ac:dyDescent="0.25">
      <c r="A708" s="9" t="s">
        <v>707</v>
      </c>
      <c r="B708" s="2" t="str">
        <f>VLOOKUP(A708,[1]Sheet!B$3:G$2921,2,0)</f>
        <v>Гидроизоляционная добавка Mapei Idrosilex
Polvere</v>
      </c>
      <c r="C708" s="3" t="str">
        <f>VLOOKUP(A708,[1]Sheet!B$3:G$2921,3,0)</f>
        <v>кг</v>
      </c>
      <c r="D708" s="4">
        <v>10.123749999999999</v>
      </c>
      <c r="E708" s="5" t="e">
        <f>VLOOKUP(A708,N$3:S$1271,4,FALSE)</f>
        <v>#N/A</v>
      </c>
      <c r="F708" s="6">
        <f t="shared" si="44"/>
        <v>10.123749999999999</v>
      </c>
      <c r="G708" s="7">
        <f>VLOOKUP(A708,[1]Sheet!B$3:G$2921,5,0)</f>
        <v>124.24</v>
      </c>
      <c r="H708" s="5" t="e">
        <f>VLOOKUP(A708,N$3:S$1271,5,FALSE)</f>
        <v>#N/A</v>
      </c>
      <c r="I708" s="6">
        <f t="shared" si="45"/>
        <v>124.24</v>
      </c>
      <c r="J708" s="7">
        <f>VLOOKUP(A708,[1]Sheet!B$3:G$2921,6,0)</f>
        <v>1257.77</v>
      </c>
      <c r="K708" s="8" t="e">
        <f t="shared" si="46"/>
        <v>#N/A</v>
      </c>
      <c r="L708" s="6">
        <f t="shared" si="47"/>
        <v>1257.77</v>
      </c>
    </row>
    <row r="709" spans="1:12" x14ac:dyDescent="0.25">
      <c r="A709" s="9" t="s">
        <v>708</v>
      </c>
      <c r="B709" s="2" t="str">
        <f>VLOOKUP(A709,[1]Sheet!B$3:G$2921,2,0)</f>
        <v>Цокольний профіль</v>
      </c>
      <c r="C709" s="3" t="str">
        <f>VLOOKUP(A709,[1]Sheet!B$3:G$2921,3,0)</f>
        <v>м</v>
      </c>
      <c r="D709" s="4">
        <v>1.1979</v>
      </c>
      <c r="E709" s="5" t="e">
        <f>VLOOKUP(A709,N$3:S$1271,4,FALSE)</f>
        <v>#N/A</v>
      </c>
      <c r="F709" s="6">
        <f t="shared" si="44"/>
        <v>1.1979</v>
      </c>
      <c r="G709" s="7">
        <f>VLOOKUP(A709,[1]Sheet!B$3:G$2921,5,0)</f>
        <v>82.01</v>
      </c>
      <c r="H709" s="5" t="e">
        <f>VLOOKUP(A709,N$3:S$1271,5,FALSE)</f>
        <v>#N/A</v>
      </c>
      <c r="I709" s="6">
        <f t="shared" si="45"/>
        <v>82.01</v>
      </c>
      <c r="J709" s="7">
        <f>VLOOKUP(A709,[1]Sheet!B$3:G$2921,6,0)</f>
        <v>98.24</v>
      </c>
      <c r="K709" s="8" t="e">
        <f t="shared" si="46"/>
        <v>#N/A</v>
      </c>
      <c r="L709" s="6">
        <f t="shared" si="47"/>
        <v>98.24</v>
      </c>
    </row>
    <row r="710" spans="1:12" x14ac:dyDescent="0.25">
      <c r="A710" s="9" t="s">
        <v>709</v>
      </c>
      <c r="B710" s="2" t="str">
        <f>VLOOKUP(A710,[1]Sheet!B$3:G$2921,2,0)</f>
        <v>Морозостійкий герметик бітумний
покрівельний ROOF TM "DAP" (бал.300мл)</v>
      </c>
      <c r="C710" s="3" t="str">
        <f>VLOOKUP(A710,[1]Sheet!B$3:G$2921,3,0)</f>
        <v>шт</v>
      </c>
      <c r="D710" s="4">
        <v>8</v>
      </c>
      <c r="E710" s="5" t="e">
        <f>VLOOKUP(A710,N$3:S$1271,4,FALSE)</f>
        <v>#N/A</v>
      </c>
      <c r="F710" s="6">
        <f t="shared" si="44"/>
        <v>8</v>
      </c>
      <c r="G710" s="7">
        <f>VLOOKUP(A710,[1]Sheet!B$3:G$2921,5,0)</f>
        <v>114.85</v>
      </c>
      <c r="H710" s="5" t="e">
        <f>VLOOKUP(A710,N$3:S$1271,5,FALSE)</f>
        <v>#N/A</v>
      </c>
      <c r="I710" s="6">
        <f t="shared" si="45"/>
        <v>114.85</v>
      </c>
      <c r="J710" s="7">
        <f>VLOOKUP(A710,[1]Sheet!B$3:G$2921,6,0)</f>
        <v>229.7</v>
      </c>
      <c r="K710" s="8" t="e">
        <f t="shared" si="46"/>
        <v>#N/A</v>
      </c>
      <c r="L710" s="6">
        <f t="shared" si="47"/>
        <v>229.7</v>
      </c>
    </row>
    <row r="711" spans="1:12" x14ac:dyDescent="0.25">
      <c r="A711" s="9" t="s">
        <v>710</v>
      </c>
      <c r="B711" s="2" t="str">
        <f>VLOOKUP(A711,[1]Sheet!B$3:G$2921,2,0)</f>
        <v>Герметик санітарний Lacrysil безколірний</v>
      </c>
      <c r="C711" s="3" t="str">
        <f>VLOOKUP(A711,[1]Sheet!B$3:G$2921,3,0)</f>
        <v>кг</v>
      </c>
      <c r="D711" s="4">
        <v>0.56000000000000005</v>
      </c>
      <c r="E711" s="5" t="e">
        <f>VLOOKUP(A711,N$3:S$1271,4,FALSE)</f>
        <v>#N/A</v>
      </c>
      <c r="F711" s="6">
        <f t="shared" si="44"/>
        <v>0.56000000000000005</v>
      </c>
      <c r="G711" s="7">
        <f>VLOOKUP(A711,[1]Sheet!B$3:G$2921,5,0)</f>
        <v>386.38</v>
      </c>
      <c r="H711" s="5" t="e">
        <f>VLOOKUP(A711,N$3:S$1271,5,FALSE)</f>
        <v>#N/A</v>
      </c>
      <c r="I711" s="6">
        <f t="shared" si="45"/>
        <v>386.38</v>
      </c>
      <c r="J711" s="7">
        <f>VLOOKUP(A711,[1]Sheet!B$3:G$2921,6,0)</f>
        <v>216.37</v>
      </c>
      <c r="K711" s="8" t="e">
        <f t="shared" si="46"/>
        <v>#N/A</v>
      </c>
      <c r="L711" s="6">
        <f t="shared" si="47"/>
        <v>216.37</v>
      </c>
    </row>
    <row r="712" spans="1:12" x14ac:dyDescent="0.25">
      <c r="A712" s="9" t="s">
        <v>711</v>
      </c>
      <c r="B712" s="2" t="str">
        <f>VLOOKUP(A712,[1]Sheet!B$3:G$2921,2,0)</f>
        <v>Піна монтажна (750 мл)</v>
      </c>
      <c r="C712" s="3" t="str">
        <f>VLOOKUP(A712,[1]Sheet!B$3:G$2921,3,0)</f>
        <v>шт</v>
      </c>
      <c r="D712" s="4">
        <v>19.650000000000002</v>
      </c>
      <c r="E712" s="5" t="e">
        <f>VLOOKUP(A712,N$3:S$1271,4,FALSE)</f>
        <v>#N/A</v>
      </c>
      <c r="F712" s="6">
        <f t="shared" si="44"/>
        <v>19.650000000000002</v>
      </c>
      <c r="G712" s="7">
        <f>VLOOKUP(A712,[1]Sheet!B$3:G$2921,5,0)</f>
        <v>166.21</v>
      </c>
      <c r="H712" s="5" t="e">
        <f>VLOOKUP(A712,N$3:S$1271,5,FALSE)</f>
        <v>#N/A</v>
      </c>
      <c r="I712" s="6">
        <f t="shared" si="45"/>
        <v>166.21</v>
      </c>
      <c r="J712" s="7">
        <f>VLOOKUP(A712,[1]Sheet!B$3:G$2921,6,0)</f>
        <v>3041.64</v>
      </c>
      <c r="K712" s="8" t="e">
        <f t="shared" si="46"/>
        <v>#N/A</v>
      </c>
      <c r="L712" s="6">
        <f t="shared" si="47"/>
        <v>3041.64</v>
      </c>
    </row>
    <row r="713" spans="1:12" x14ac:dyDescent="0.25">
      <c r="A713" s="9" t="s">
        <v>712</v>
      </c>
      <c r="B713" s="2" t="str">
        <f>VLOOKUP(A713,[1]Sheet!B$3:G$2921,2,0)</f>
        <v>Грунтовка "Кнауф-Тифенгрунд"</v>
      </c>
      <c r="C713" s="3" t="str">
        <f>VLOOKUP(A713,[1]Sheet!B$3:G$2921,3,0)</f>
        <v>кг</v>
      </c>
      <c r="D713" s="4">
        <v>455.89</v>
      </c>
      <c r="E713" s="5" t="e">
        <f>VLOOKUP(A713,N$3:S$1271,4,FALSE)</f>
        <v>#N/A</v>
      </c>
      <c r="F713" s="6">
        <f t="shared" si="44"/>
        <v>455.89</v>
      </c>
      <c r="G713" s="7">
        <f>VLOOKUP(A713,[1]Sheet!B$3:G$2921,5,0)</f>
        <v>34.61</v>
      </c>
      <c r="H713" s="5" t="e">
        <f>VLOOKUP(A713,N$3:S$1271,5,FALSE)</f>
        <v>#N/A</v>
      </c>
      <c r="I713" s="6">
        <f t="shared" si="45"/>
        <v>34.61</v>
      </c>
      <c r="J713" s="7">
        <f>VLOOKUP(A713,[1]Sheet!B$3:G$2921,6,0)</f>
        <v>3364.35</v>
      </c>
      <c r="K713" s="8" t="e">
        <f t="shared" si="46"/>
        <v>#N/A</v>
      </c>
      <c r="L713" s="6">
        <f t="shared" si="47"/>
        <v>3364.35</v>
      </c>
    </row>
    <row r="714" spans="1:12" x14ac:dyDescent="0.25">
      <c r="A714" s="9" t="s">
        <v>713</v>
      </c>
      <c r="B714" s="2" t="str">
        <f>VLOOKUP(A714,[1]Sheet!B$3:G$2921,2,0)</f>
        <v>Грунтовка "Кнауф-Хафтемульсія"</v>
      </c>
      <c r="C714" s="3" t="str">
        <f>VLOOKUP(A714,[1]Sheet!B$3:G$2921,3,0)</f>
        <v>кг</v>
      </c>
      <c r="D714" s="4">
        <v>171.33600000000001</v>
      </c>
      <c r="E714" s="5" t="e">
        <f>VLOOKUP(A714,N$3:S$1271,4,FALSE)</f>
        <v>#N/A</v>
      </c>
      <c r="F714" s="6">
        <f t="shared" si="44"/>
        <v>171.33600000000001</v>
      </c>
      <c r="G714" s="7">
        <f>VLOOKUP(A714,[1]Sheet!B$3:G$2921,5,0)</f>
        <v>130.59</v>
      </c>
      <c r="H714" s="5" t="e">
        <f>VLOOKUP(A714,N$3:S$1271,5,FALSE)</f>
        <v>#N/A</v>
      </c>
      <c r="I714" s="6">
        <f t="shared" si="45"/>
        <v>130.59</v>
      </c>
      <c r="J714" s="7">
        <f>VLOOKUP(A714,[1]Sheet!B$3:G$2921,6,0)</f>
        <v>820.11</v>
      </c>
      <c r="K714" s="8" t="e">
        <f t="shared" si="46"/>
        <v>#N/A</v>
      </c>
      <c r="L714" s="6">
        <f t="shared" si="47"/>
        <v>820.11</v>
      </c>
    </row>
    <row r="715" spans="1:12" x14ac:dyDescent="0.25">
      <c r="A715" s="9" t="s">
        <v>714</v>
      </c>
      <c r="B715" s="2" t="str">
        <f>VLOOKUP(A715,[1]Sheet!B$3:G$2921,2,0)</f>
        <v>Грунтовка Super Base концентрована
"Farbex"</v>
      </c>
      <c r="C715" s="3" t="str">
        <f>VLOOKUP(A715,[1]Sheet!B$3:G$2921,3,0)</f>
        <v>кг</v>
      </c>
      <c r="D715" s="4">
        <v>245.54199999999997</v>
      </c>
      <c r="E715" s="5" t="e">
        <f>VLOOKUP(A715,N$3:S$1271,4,FALSE)</f>
        <v>#N/A</v>
      </c>
      <c r="F715" s="6">
        <f t="shared" si="44"/>
        <v>245.54199999999997</v>
      </c>
      <c r="G715" s="7">
        <f>VLOOKUP(A715,[1]Sheet!B$3:G$2921,5,0)</f>
        <v>64.290000000000006</v>
      </c>
      <c r="H715" s="5" t="e">
        <f>VLOOKUP(A715,N$3:S$1271,5,FALSE)</f>
        <v>#N/A</v>
      </c>
      <c r="I715" s="6">
        <f t="shared" si="45"/>
        <v>64.290000000000006</v>
      </c>
      <c r="J715" s="7">
        <f>VLOOKUP(A715,[1]Sheet!B$3:G$2921,6,0)</f>
        <v>4992.76</v>
      </c>
      <c r="K715" s="8" t="e">
        <f t="shared" si="46"/>
        <v>#N/A</v>
      </c>
      <c r="L715" s="6">
        <f t="shared" si="47"/>
        <v>4992.76</v>
      </c>
    </row>
    <row r="716" spans="1:12" x14ac:dyDescent="0.25">
      <c r="A716" s="9" t="s">
        <v>715</v>
      </c>
      <c r="B716" s="2" t="str">
        <f>VLOOKUP(A716,[1]Sheet!B$3:G$2921,2,0)</f>
        <v>Плитки керамiчнi для внутрiшнього
облицювання стiн</v>
      </c>
      <c r="C716" s="3" t="str">
        <f>VLOOKUP(A716,[1]Sheet!B$3:G$2921,3,0)</f>
        <v>м2</v>
      </c>
      <c r="D716" s="4">
        <v>865.24679999999989</v>
      </c>
      <c r="E716" s="5" t="e">
        <f>VLOOKUP(A716,N$3:S$1271,4,FALSE)</f>
        <v>#N/A</v>
      </c>
      <c r="F716" s="6">
        <f t="shared" si="44"/>
        <v>865.24679999999989</v>
      </c>
      <c r="G716" s="7">
        <f>VLOOKUP(A716,[1]Sheet!B$3:G$2921,5,0)</f>
        <v>331.2</v>
      </c>
      <c r="H716" s="5" t="e">
        <f>VLOOKUP(A716,N$3:S$1271,5,FALSE)</f>
        <v>#N/A</v>
      </c>
      <c r="I716" s="6">
        <f t="shared" si="45"/>
        <v>331.2</v>
      </c>
      <c r="J716" s="7">
        <f>VLOOKUP(A716,[1]Sheet!B$3:G$2921,6,0)</f>
        <v>10503.68</v>
      </c>
      <c r="K716" s="8" t="e">
        <f t="shared" si="46"/>
        <v>#N/A</v>
      </c>
      <c r="L716" s="6">
        <f t="shared" si="47"/>
        <v>10503.68</v>
      </c>
    </row>
    <row r="717" spans="1:12" x14ac:dyDescent="0.25">
      <c r="A717" s="9" t="s">
        <v>716</v>
      </c>
      <c r="B717" s="2" t="str">
        <f>VLOOKUP(A717,[1]Sheet!B$3:G$2921,2,0)</f>
        <v>Плитка керамiчна для ганків квадратна,
розмiр 300х300х13 мм</v>
      </c>
      <c r="C717" s="3" t="str">
        <f>VLOOKUP(A717,[1]Sheet!B$3:G$2921,3,0)</f>
        <v>м2</v>
      </c>
      <c r="D717" s="4">
        <v>4.9164000000000003</v>
      </c>
      <c r="E717" s="5" t="e">
        <f>VLOOKUP(A717,N$3:S$1271,4,FALSE)</f>
        <v>#N/A</v>
      </c>
      <c r="F717" s="6">
        <f t="shared" si="44"/>
        <v>4.9164000000000003</v>
      </c>
      <c r="G717" s="7">
        <f>VLOOKUP(A717,[1]Sheet!B$3:G$2921,5,0)</f>
        <v>298.26</v>
      </c>
      <c r="H717" s="5" t="e">
        <f>VLOOKUP(A717,N$3:S$1271,5,FALSE)</f>
        <v>#N/A</v>
      </c>
      <c r="I717" s="6">
        <f t="shared" si="45"/>
        <v>298.26</v>
      </c>
      <c r="J717" s="7">
        <f>VLOOKUP(A717,[1]Sheet!B$3:G$2921,6,0)</f>
        <v>401.58</v>
      </c>
      <c r="K717" s="8" t="e">
        <f t="shared" si="46"/>
        <v>#N/A</v>
      </c>
      <c r="L717" s="6">
        <f t="shared" si="47"/>
        <v>401.58</v>
      </c>
    </row>
    <row r="718" spans="1:12" x14ac:dyDescent="0.25">
      <c r="A718" s="9" t="s">
        <v>717</v>
      </c>
      <c r="B718" s="2" t="str">
        <f>VLOOKUP(A718,[1]Sheet!B$3:G$2921,2,0)</f>
        <v>Плитки керамогранітні 1-го сорту рядові для
пiдлог НГЛ-8,5 мм, розмiр 300х300
(298х298х8,5)</v>
      </c>
      <c r="C718" s="3" t="str">
        <f>VLOOKUP(A718,[1]Sheet!B$3:G$2921,3,0)</f>
        <v>м2</v>
      </c>
      <c r="D718" s="4">
        <v>703.22880000000009</v>
      </c>
      <c r="E718" s="5" t="e">
        <f>VLOOKUP(A718,N$3:S$1271,4,FALSE)</f>
        <v>#N/A</v>
      </c>
      <c r="F718" s="6">
        <f t="shared" si="44"/>
        <v>703.22880000000009</v>
      </c>
      <c r="G718" s="7">
        <f>VLOOKUP(A718,[1]Sheet!B$3:G$2921,5,0)</f>
        <v>229.71</v>
      </c>
      <c r="H718" s="5" t="e">
        <f>VLOOKUP(A718,N$3:S$1271,5,FALSE)</f>
        <v>#N/A</v>
      </c>
      <c r="I718" s="6">
        <f t="shared" si="45"/>
        <v>229.71</v>
      </c>
      <c r="J718" s="7">
        <f>VLOOKUP(A718,[1]Sheet!B$3:G$2921,6,0)</f>
        <v>141838.39000000001</v>
      </c>
      <c r="K718" s="8" t="e">
        <f t="shared" si="46"/>
        <v>#N/A</v>
      </c>
      <c r="L718" s="6">
        <f t="shared" si="47"/>
        <v>141838.39000000001</v>
      </c>
    </row>
    <row r="719" spans="1:12" x14ac:dyDescent="0.25">
      <c r="A719" s="9" t="s">
        <v>718</v>
      </c>
      <c r="B719" s="2" t="str">
        <f>VLOOKUP(A719,[1]Sheet!B$3:G$2921,2,0)</f>
        <v>Емаль антикорозiйна ПФ-115 сiра</v>
      </c>
      <c r="C719" s="3" t="str">
        <f>VLOOKUP(A719,[1]Sheet!B$3:G$2921,3,0)</f>
        <v>т</v>
      </c>
      <c r="D719" s="4">
        <v>4.7412999999999997E-2</v>
      </c>
      <c r="E719" s="5" t="e">
        <f>VLOOKUP(A719,N$3:S$1271,4,FALSE)</f>
        <v>#N/A</v>
      </c>
      <c r="F719" s="6">
        <f t="shared" si="44"/>
        <v>4.7412999999999997E-2</v>
      </c>
      <c r="G719" s="7">
        <f>VLOOKUP(A719,[1]Sheet!B$3:G$2921,5,0)</f>
        <v>83517.570000000007</v>
      </c>
      <c r="H719" s="5" t="e">
        <f>VLOOKUP(A719,N$3:S$1271,5,FALSE)</f>
        <v>#N/A</v>
      </c>
      <c r="I719" s="6">
        <f t="shared" si="45"/>
        <v>83517.570000000007</v>
      </c>
      <c r="J719" s="7">
        <f>VLOOKUP(A719,[1]Sheet!B$3:G$2921,6,0)</f>
        <v>3718.62</v>
      </c>
      <c r="K719" s="8" t="e">
        <f t="shared" si="46"/>
        <v>#N/A</v>
      </c>
      <c r="L719" s="6">
        <f t="shared" si="47"/>
        <v>3718.62</v>
      </c>
    </row>
    <row r="720" spans="1:12" x14ac:dyDescent="0.25">
      <c r="A720" s="9" t="s">
        <v>719</v>
      </c>
      <c r="B720" s="2" t="str">
        <f>VLOOKUP(A720,[1]Sheet!B$3:G$2921,2,0)</f>
        <v>Клейова суміш DK TBM</v>
      </c>
      <c r="C720" s="3" t="str">
        <f>VLOOKUP(A720,[1]Sheet!B$3:G$2921,3,0)</f>
        <v>кг</v>
      </c>
      <c r="D720" s="4">
        <v>724</v>
      </c>
      <c r="E720" s="5" t="e">
        <f>VLOOKUP(A720,N$3:S$1271,4,FALSE)</f>
        <v>#N/A</v>
      </c>
      <c r="F720" s="6">
        <f t="shared" si="44"/>
        <v>724</v>
      </c>
      <c r="G720" s="7">
        <f>VLOOKUP(A720,[1]Sheet!B$3:G$2921,5,0)</f>
        <v>4.96</v>
      </c>
      <c r="H720" s="5" t="e">
        <f>VLOOKUP(A720,N$3:S$1271,5,FALSE)</f>
        <v>#N/A</v>
      </c>
      <c r="I720" s="6">
        <f t="shared" si="45"/>
        <v>4.96</v>
      </c>
      <c r="J720" s="7">
        <f>VLOOKUP(A720,[1]Sheet!B$3:G$2921,6,0)</f>
        <v>3194.24</v>
      </c>
      <c r="K720" s="8" t="e">
        <f t="shared" si="46"/>
        <v>#N/A</v>
      </c>
      <c r="L720" s="6">
        <f t="shared" si="47"/>
        <v>3194.24</v>
      </c>
    </row>
    <row r="721" spans="1:12" x14ac:dyDescent="0.25">
      <c r="A721" s="9" t="s">
        <v>720</v>
      </c>
      <c r="B721" s="2" t="str">
        <f>VLOOKUP(A721,[1]Sheet!B$3:G$2921,2,0)</f>
        <v>Вогнезахисний матеріал "АК-121 Defender M
Solvent"</v>
      </c>
      <c r="C721" s="3" t="str">
        <f>VLOOKUP(A721,[1]Sheet!B$3:G$2921,3,0)</f>
        <v>кг</v>
      </c>
      <c r="D721" s="4">
        <v>5683.02</v>
      </c>
      <c r="E721" s="5" t="e">
        <f>VLOOKUP(A721,N$3:S$1271,4,FALSE)</f>
        <v>#N/A</v>
      </c>
      <c r="F721" s="6">
        <f t="shared" si="44"/>
        <v>5683.02</v>
      </c>
      <c r="G721" s="7">
        <f>VLOOKUP(A721,[1]Sheet!B$3:G$2921,5,0)</f>
        <v>177.14</v>
      </c>
      <c r="H721" s="5" t="e">
        <f>VLOOKUP(A721,N$3:S$1271,5,FALSE)</f>
        <v>#N/A</v>
      </c>
      <c r="I721" s="6">
        <f t="shared" si="45"/>
        <v>177.14</v>
      </c>
      <c r="J721" s="7" t="str">
        <f>VLOOKUP(A721,[1]Sheet!B$3:G$2921,6,0)</f>
        <v>1006690,
16</v>
      </c>
      <c r="K721" s="8" t="e">
        <f t="shared" si="46"/>
        <v>#N/A</v>
      </c>
      <c r="L721" s="6" t="str">
        <f t="shared" si="47"/>
        <v>1006690,
16</v>
      </c>
    </row>
    <row r="722" spans="1:12" x14ac:dyDescent="0.25">
      <c r="A722" s="9" t="s">
        <v>721</v>
      </c>
      <c r="B722" s="2" t="str">
        <f>VLOOKUP(A722,[1]Sheet!B$3:G$2921,2,0)</f>
        <v>Клей "Перфликс" KNAUF</v>
      </c>
      <c r="C722" s="3" t="str">
        <f>VLOOKUP(A722,[1]Sheet!B$3:G$2921,3,0)</f>
        <v>кг</v>
      </c>
      <c r="D722" s="4">
        <v>41</v>
      </c>
      <c r="E722" s="5" t="e">
        <f>VLOOKUP(A722,N$3:S$1271,4,FALSE)</f>
        <v>#N/A</v>
      </c>
      <c r="F722" s="6">
        <f t="shared" si="44"/>
        <v>41</v>
      </c>
      <c r="G722" s="7">
        <f>VLOOKUP(A722,[1]Sheet!B$3:G$2921,5,0)</f>
        <v>8.19</v>
      </c>
      <c r="H722" s="5" t="e">
        <f>VLOOKUP(A722,N$3:S$1271,5,FALSE)</f>
        <v>#N/A</v>
      </c>
      <c r="I722" s="6">
        <f t="shared" si="45"/>
        <v>8.19</v>
      </c>
      <c r="J722" s="7">
        <f>VLOOKUP(A722,[1]Sheet!B$3:G$2921,6,0)</f>
        <v>335.79</v>
      </c>
      <c r="K722" s="8" t="e">
        <f t="shared" si="46"/>
        <v>#N/A</v>
      </c>
      <c r="L722" s="6">
        <f t="shared" si="47"/>
        <v>335.79</v>
      </c>
    </row>
    <row r="723" spans="1:12" x14ac:dyDescent="0.25">
      <c r="A723" s="9" t="s">
        <v>722</v>
      </c>
      <c r="B723" s="2" t="str">
        <f>VLOOKUP(A723,[1]Sheet!B$3:G$2921,2,0)</f>
        <v>Порошок ДСА-1</v>
      </c>
      <c r="C723" s="3" t="str">
        <f>VLOOKUP(A723,[1]Sheet!B$3:G$2921,3,0)</f>
        <v>кг</v>
      </c>
      <c r="D723" s="4">
        <v>2.03112</v>
      </c>
      <c r="E723" s="5" t="e">
        <f>VLOOKUP(A723,N$3:S$1271,4,FALSE)</f>
        <v>#N/A</v>
      </c>
      <c r="F723" s="6">
        <f t="shared" si="44"/>
        <v>2.03112</v>
      </c>
      <c r="G723" s="7">
        <f>VLOOKUP(A723,[1]Sheet!B$3:G$2921,5,0)</f>
        <v>46.47</v>
      </c>
      <c r="H723" s="5" t="e">
        <f>VLOOKUP(A723,N$3:S$1271,5,FALSE)</f>
        <v>#N/A</v>
      </c>
      <c r="I723" s="6">
        <f t="shared" si="45"/>
        <v>46.47</v>
      </c>
      <c r="J723" s="7">
        <f>VLOOKUP(A723,[1]Sheet!B$3:G$2921,6,0)</f>
        <v>46.67</v>
      </c>
      <c r="K723" s="8" t="e">
        <f t="shared" si="46"/>
        <v>#N/A</v>
      </c>
      <c r="L723" s="6">
        <f t="shared" si="47"/>
        <v>46.67</v>
      </c>
    </row>
    <row r="724" spans="1:12" x14ac:dyDescent="0.25">
      <c r="A724" s="9" t="s">
        <v>723</v>
      </c>
      <c r="B724" s="2" t="str">
        <f>VLOOKUP(A724,[1]Sheet!B$3:G$2921,2,0)</f>
        <v>Фарба водно-дисперсiйна акрiлатна  для
вологих приміщень " Wet rooms " TM Farbex</v>
      </c>
      <c r="C724" s="3" t="str">
        <f>VLOOKUP(A724,[1]Sheet!B$3:G$2921,3,0)</f>
        <v>т</v>
      </c>
      <c r="D724" s="4">
        <v>0.16696900000000001</v>
      </c>
      <c r="E724" s="5" t="e">
        <f>VLOOKUP(A724,N$3:S$1271,4,FALSE)</f>
        <v>#N/A</v>
      </c>
      <c r="F724" s="6">
        <f t="shared" si="44"/>
        <v>0.16696900000000001</v>
      </c>
      <c r="G724" s="7">
        <f>VLOOKUP(A724,[1]Sheet!B$3:G$2921,5,0)</f>
        <v>80366.679999999993</v>
      </c>
      <c r="H724" s="5" t="e">
        <f>VLOOKUP(A724,N$3:S$1271,5,FALSE)</f>
        <v>#N/A</v>
      </c>
      <c r="I724" s="6">
        <f t="shared" si="45"/>
        <v>80366.679999999993</v>
      </c>
      <c r="J724" s="7">
        <f>VLOOKUP(A724,[1]Sheet!B$3:G$2921,6,0)</f>
        <v>13418.74</v>
      </c>
      <c r="K724" s="8" t="e">
        <f t="shared" si="46"/>
        <v>#N/A</v>
      </c>
      <c r="L724" s="6">
        <f t="shared" si="47"/>
        <v>13418.74</v>
      </c>
    </row>
    <row r="725" spans="1:12" x14ac:dyDescent="0.25">
      <c r="A725" s="9" t="s">
        <v>724</v>
      </c>
      <c r="B725" s="2" t="str">
        <f>VLOOKUP(A725,[1]Sheet!B$3:G$2921,2,0)</f>
        <v>Листи азбестоцементнi плоскi з гладкою
поверхнею непресованi, товщина 8 мм</v>
      </c>
      <c r="C725" s="3" t="str">
        <f>VLOOKUP(A725,[1]Sheet!B$3:G$2921,3,0)</f>
        <v>м2</v>
      </c>
      <c r="D725" s="4">
        <v>6.8</v>
      </c>
      <c r="E725" s="5" t="e">
        <f>VLOOKUP(A725,N$3:S$1271,4,FALSE)</f>
        <v>#N/A</v>
      </c>
      <c r="F725" s="6">
        <f t="shared" si="44"/>
        <v>6.8</v>
      </c>
      <c r="G725" s="7">
        <f>VLOOKUP(A725,[1]Sheet!B$3:G$2921,5,0)</f>
        <v>83.58</v>
      </c>
      <c r="H725" s="5" t="e">
        <f>VLOOKUP(A725,N$3:S$1271,5,FALSE)</f>
        <v>#N/A</v>
      </c>
      <c r="I725" s="6">
        <f t="shared" si="45"/>
        <v>83.58</v>
      </c>
      <c r="J725" s="7">
        <f>VLOOKUP(A725,[1]Sheet!B$3:G$2921,6,0)</f>
        <v>568.34</v>
      </c>
      <c r="K725" s="8" t="e">
        <f t="shared" si="46"/>
        <v>#N/A</v>
      </c>
      <c r="L725" s="6">
        <f t="shared" si="47"/>
        <v>568.34</v>
      </c>
    </row>
    <row r="726" spans="1:12" x14ac:dyDescent="0.25">
      <c r="A726" s="9" t="s">
        <v>725</v>
      </c>
      <c r="B726" s="2" t="str">
        <f>VLOOKUP(A726,[1]Sheet!B$3:G$2921,2,0)</f>
        <v>Стрiчка алюмінієва самоклеюча АА-130</v>
      </c>
      <c r="C726" s="3" t="str">
        <f>VLOOKUP(A726,[1]Sheet!B$3:G$2921,3,0)</f>
        <v>м.п.</v>
      </c>
      <c r="D726" s="4">
        <v>195</v>
      </c>
      <c r="E726" s="5" t="e">
        <f>VLOOKUP(A726,N$3:S$1271,4,FALSE)</f>
        <v>#N/A</v>
      </c>
      <c r="F726" s="6">
        <f t="shared" si="44"/>
        <v>195</v>
      </c>
      <c r="G726" s="7">
        <f>VLOOKUP(A726,[1]Sheet!B$3:G$2921,5,0)</f>
        <v>11.23</v>
      </c>
      <c r="H726" s="5" t="e">
        <f>VLOOKUP(A726,N$3:S$1271,5,FALSE)</f>
        <v>#N/A</v>
      </c>
      <c r="I726" s="6">
        <f t="shared" si="45"/>
        <v>11.23</v>
      </c>
      <c r="J726" s="7">
        <f>VLOOKUP(A726,[1]Sheet!B$3:G$2921,6,0)</f>
        <v>729.95</v>
      </c>
      <c r="K726" s="8" t="e">
        <f t="shared" si="46"/>
        <v>#N/A</v>
      </c>
      <c r="L726" s="6">
        <f t="shared" si="47"/>
        <v>729.95</v>
      </c>
    </row>
    <row r="727" spans="1:12" x14ac:dyDescent="0.25">
      <c r="A727" s="9" t="s">
        <v>726</v>
      </c>
      <c r="B727" s="2" t="str">
        <f>VLOOKUP(A727,[1]Sheet!B$3:G$2921,2,0)</f>
        <v>Модульне антиковзаюче пластикове
покриття "Aquafloor" (не сприятливе до
хлоровмістних речовин) 160х160 мм</v>
      </c>
      <c r="C727" s="3" t="str">
        <f>VLOOKUP(A727,[1]Sheet!B$3:G$2921,3,0)</f>
        <v>м2</v>
      </c>
      <c r="D727" s="4">
        <v>61.13</v>
      </c>
      <c r="E727" s="5" t="e">
        <f>VLOOKUP(A727,N$3:S$1271,4,FALSE)</f>
        <v>#N/A</v>
      </c>
      <c r="F727" s="6">
        <f t="shared" si="44"/>
        <v>61.13</v>
      </c>
      <c r="G727" s="7">
        <f>VLOOKUP(A727,[1]Sheet!B$3:G$2921,5,0)</f>
        <v>636.95000000000005</v>
      </c>
      <c r="H727" s="5" t="e">
        <f>VLOOKUP(A727,N$3:S$1271,5,FALSE)</f>
        <v>#N/A</v>
      </c>
      <c r="I727" s="6">
        <f t="shared" si="45"/>
        <v>636.95000000000005</v>
      </c>
      <c r="J727" s="7">
        <f>VLOOKUP(A727,[1]Sheet!B$3:G$2921,6,0)</f>
        <v>38936.75</v>
      </c>
      <c r="K727" s="8" t="e">
        <f t="shared" si="46"/>
        <v>#N/A</v>
      </c>
      <c r="L727" s="6">
        <f t="shared" si="47"/>
        <v>38936.75</v>
      </c>
    </row>
    <row r="728" spans="1:12" x14ac:dyDescent="0.25">
      <c r="A728" s="9" t="s">
        <v>727</v>
      </c>
      <c r="B728" s="2" t="str">
        <f>VLOOKUP(A728,[1]Sheet!B$3:G$2921,2,0)</f>
        <v>Лiнолеум полiвiнiлхлоридний класу
"Комерційний"</v>
      </c>
      <c r="C728" s="3" t="str">
        <f>VLOOKUP(A728,[1]Sheet!B$3:G$2921,3,0)</f>
        <v>м2</v>
      </c>
      <c r="D728" s="4">
        <v>128.76480000000001</v>
      </c>
      <c r="E728" s="5" t="e">
        <f>VLOOKUP(A728,N$3:S$1271,4,FALSE)</f>
        <v>#N/A</v>
      </c>
      <c r="F728" s="6">
        <f t="shared" si="44"/>
        <v>128.76480000000001</v>
      </c>
      <c r="G728" s="7">
        <f>VLOOKUP(A728,[1]Sheet!B$3:G$2921,5,0)</f>
        <v>554.66999999999996</v>
      </c>
      <c r="H728" s="5" t="e">
        <f>VLOOKUP(A728,N$3:S$1271,5,FALSE)</f>
        <v>#N/A</v>
      </c>
      <c r="I728" s="6">
        <f t="shared" si="45"/>
        <v>554.66999999999996</v>
      </c>
      <c r="J728" s="7">
        <f>VLOOKUP(A728,[1]Sheet!B$3:G$2921,6,0)</f>
        <v>71421.97</v>
      </c>
      <c r="K728" s="8" t="e">
        <f t="shared" si="46"/>
        <v>#N/A</v>
      </c>
      <c r="L728" s="6">
        <f t="shared" si="47"/>
        <v>71421.97</v>
      </c>
    </row>
    <row r="729" spans="1:12" x14ac:dyDescent="0.25">
      <c r="A729" s="9" t="s">
        <v>728</v>
      </c>
      <c r="B729" s="2" t="str">
        <f>VLOOKUP(A729,[1]Sheet!B$3:G$2921,2,0)</f>
        <v>Лiнолеум полiвiнiлхлоридний на
теплозвукоiзолювальнiй пiдосновi, товщина
3,6 мм</v>
      </c>
      <c r="C729" s="3" t="str">
        <f>VLOOKUP(A729,[1]Sheet!B$3:G$2921,3,0)</f>
        <v>м2</v>
      </c>
      <c r="D729" s="4">
        <v>7.548</v>
      </c>
      <c r="E729" s="5" t="e">
        <f>VLOOKUP(A729,N$3:S$1271,4,FALSE)</f>
        <v>#N/A</v>
      </c>
      <c r="F729" s="6">
        <f t="shared" si="44"/>
        <v>7.548</v>
      </c>
      <c r="G729" s="7">
        <f>VLOOKUP(A729,[1]Sheet!B$3:G$2921,5,0)</f>
        <v>352.12</v>
      </c>
      <c r="H729" s="5" t="e">
        <f>VLOOKUP(A729,N$3:S$1271,5,FALSE)</f>
        <v>#N/A</v>
      </c>
      <c r="I729" s="6">
        <f t="shared" si="45"/>
        <v>352.12</v>
      </c>
      <c r="J729" s="7">
        <f>VLOOKUP(A729,[1]Sheet!B$3:G$2921,6,0)</f>
        <v>2657.8</v>
      </c>
      <c r="K729" s="8" t="e">
        <f t="shared" si="46"/>
        <v>#N/A</v>
      </c>
      <c r="L729" s="6">
        <f t="shared" si="47"/>
        <v>2657.8</v>
      </c>
    </row>
    <row r="730" spans="1:12" x14ac:dyDescent="0.25">
      <c r="A730" s="9" t="s">
        <v>729</v>
      </c>
      <c r="B730" s="2" t="str">
        <f>VLOOKUP(A730,[1]Sheet!B$3:G$2921,2,0)</f>
        <v>Мастика покрiвельна гаряча ТехноНИКОЛЬ
№41</v>
      </c>
      <c r="C730" s="3" t="str">
        <f>VLOOKUP(A730,[1]Sheet!B$3:G$2921,3,0)</f>
        <v>т</v>
      </c>
      <c r="D730" s="4">
        <v>0.87992700000000001</v>
      </c>
      <c r="E730" s="5" t="e">
        <f>VLOOKUP(A730,N$3:S$1271,4,FALSE)</f>
        <v>#N/A</v>
      </c>
      <c r="F730" s="6">
        <f t="shared" si="44"/>
        <v>0.87992700000000001</v>
      </c>
      <c r="G730" s="7">
        <f>VLOOKUP(A730,[1]Sheet!B$3:G$2921,5,0)</f>
        <v>41790.57</v>
      </c>
      <c r="H730" s="5" t="e">
        <f>VLOOKUP(A730,N$3:S$1271,5,FALSE)</f>
        <v>#N/A</v>
      </c>
      <c r="I730" s="6">
        <f t="shared" si="45"/>
        <v>41790.57</v>
      </c>
      <c r="J730" s="7">
        <f>VLOOKUP(A730,[1]Sheet!B$3:G$2921,6,0)</f>
        <v>119072.85</v>
      </c>
      <c r="K730" s="8" t="e">
        <f t="shared" si="46"/>
        <v>#N/A</v>
      </c>
      <c r="L730" s="6">
        <f t="shared" si="47"/>
        <v>119072.85</v>
      </c>
    </row>
    <row r="731" spans="1:12" x14ac:dyDescent="0.25">
      <c r="A731" s="9" t="s">
        <v>730</v>
      </c>
      <c r="B731" s="2" t="str">
        <f>VLOOKUP(A731,[1]Sheet!B$3:G$2921,2,0)</f>
        <v>Плити деревноволокнистi, товщина 12 мм</v>
      </c>
      <c r="C731" s="3" t="str">
        <f>VLOOKUP(A731,[1]Sheet!B$3:G$2921,3,0)</f>
        <v>1000м2</v>
      </c>
      <c r="D731" s="4">
        <v>0.54060000000000008</v>
      </c>
      <c r="E731" s="5" t="e">
        <f>VLOOKUP(A731,N$3:S$1271,4,FALSE)</f>
        <v>#N/A</v>
      </c>
      <c r="F731" s="6">
        <f t="shared" si="44"/>
        <v>0.54060000000000008</v>
      </c>
      <c r="G731" s="7">
        <f>VLOOKUP(A731,[1]Sheet!B$3:G$2921,5,0)</f>
        <v>134478.17000000001</v>
      </c>
      <c r="H731" s="5" t="e">
        <f>VLOOKUP(A731,N$3:S$1271,5,FALSE)</f>
        <v>#N/A</v>
      </c>
      <c r="I731" s="6">
        <f t="shared" si="45"/>
        <v>134478.17000000001</v>
      </c>
      <c r="J731" s="7">
        <f>VLOOKUP(A731,[1]Sheet!B$3:G$2921,6,0)</f>
        <v>72698.899999999994</v>
      </c>
      <c r="K731" s="8" t="e">
        <f t="shared" si="46"/>
        <v>#N/A</v>
      </c>
      <c r="L731" s="6">
        <f t="shared" si="47"/>
        <v>72698.899999999994</v>
      </c>
    </row>
    <row r="732" spans="1:12" x14ac:dyDescent="0.25">
      <c r="A732" s="9" t="s">
        <v>731</v>
      </c>
      <c r="B732" s="2" t="str">
        <f>VLOOKUP(A732,[1]Sheet!B$3:G$2921,2,0)</f>
        <v>Траверса універсальна W 234-А10
арт.№00003556</v>
      </c>
      <c r="C732" s="3" t="str">
        <f>VLOOKUP(A732,[1]Sheet!B$3:G$2921,3,0)</f>
        <v>шт</v>
      </c>
      <c r="D732" s="4">
        <v>9</v>
      </c>
      <c r="E732" s="5" t="e">
        <f>VLOOKUP(A732,N$3:S$1271,4,FALSE)</f>
        <v>#N/A</v>
      </c>
      <c r="F732" s="6">
        <f t="shared" si="44"/>
        <v>9</v>
      </c>
      <c r="G732" s="7">
        <f>VLOOKUP(A732,[1]Sheet!B$3:G$2921,5,0)</f>
        <v>174.27</v>
      </c>
      <c r="H732" s="5" t="e">
        <f>VLOOKUP(A732,N$3:S$1271,5,FALSE)</f>
        <v>#N/A</v>
      </c>
      <c r="I732" s="6">
        <f t="shared" si="45"/>
        <v>174.27</v>
      </c>
      <c r="J732" s="7">
        <f>VLOOKUP(A732,[1]Sheet!B$3:G$2921,6,0)</f>
        <v>1568.43</v>
      </c>
      <c r="K732" s="8" t="e">
        <f t="shared" si="46"/>
        <v>#N/A</v>
      </c>
      <c r="L732" s="6">
        <f t="shared" si="47"/>
        <v>1568.43</v>
      </c>
    </row>
    <row r="733" spans="1:12" x14ac:dyDescent="0.25">
      <c r="A733" s="9" t="s">
        <v>732</v>
      </c>
      <c r="B733" s="2" t="str">
        <f>VLOOKUP(A733,[1]Sheet!B$3:G$2921,2,0)</f>
        <v>Плити OSB-3 ф."КРОНО-Украина", товщина
22 мм</v>
      </c>
      <c r="C733" s="3" t="str">
        <f>VLOOKUP(A733,[1]Sheet!B$3:G$2921,3,0)</f>
        <v>м2</v>
      </c>
      <c r="D733" s="4">
        <v>351.9</v>
      </c>
      <c r="E733" s="5" t="e">
        <f>VLOOKUP(A733,N$3:S$1271,4,FALSE)</f>
        <v>#N/A</v>
      </c>
      <c r="F733" s="6">
        <f t="shared" si="44"/>
        <v>351.9</v>
      </c>
      <c r="G733" s="7">
        <f>VLOOKUP(A733,[1]Sheet!B$3:G$2921,5,0)</f>
        <v>273.89999999999998</v>
      </c>
      <c r="H733" s="5" t="e">
        <f>VLOOKUP(A733,N$3:S$1271,5,FALSE)</f>
        <v>#N/A</v>
      </c>
      <c r="I733" s="6">
        <f t="shared" si="45"/>
        <v>273.89999999999998</v>
      </c>
      <c r="J733" s="7">
        <f>VLOOKUP(A733,[1]Sheet!B$3:G$2921,6,0)</f>
        <v>96385.41</v>
      </c>
      <c r="K733" s="8" t="e">
        <f t="shared" si="46"/>
        <v>#N/A</v>
      </c>
      <c r="L733" s="6">
        <f t="shared" si="47"/>
        <v>96385.41</v>
      </c>
    </row>
    <row r="734" spans="1:12" x14ac:dyDescent="0.25">
      <c r="A734" s="9" t="s">
        <v>733</v>
      </c>
      <c r="B734" s="2" t="str">
        <f>VLOOKUP(A734,[1]Sheet!B$3:G$2921,2,0)</f>
        <v>Плити OSB-3 ф."КРОНО-Украина", товщина
12 мм</v>
      </c>
      <c r="C734" s="3" t="str">
        <f>VLOOKUP(A734,[1]Sheet!B$3:G$2921,3,0)</f>
        <v>м2</v>
      </c>
      <c r="D734" s="4">
        <v>23.267499999999998</v>
      </c>
      <c r="E734" s="5" t="e">
        <f>VLOOKUP(A734,N$3:S$1271,4,FALSE)</f>
        <v>#N/A</v>
      </c>
      <c r="F734" s="6">
        <f t="shared" si="44"/>
        <v>23.267499999999998</v>
      </c>
      <c r="G734" s="7">
        <f>VLOOKUP(A734,[1]Sheet!B$3:G$2921,5,0)</f>
        <v>125.79</v>
      </c>
      <c r="H734" s="5" t="e">
        <f>VLOOKUP(A734,N$3:S$1271,5,FALSE)</f>
        <v>#N/A</v>
      </c>
      <c r="I734" s="6">
        <f t="shared" si="45"/>
        <v>125.79</v>
      </c>
      <c r="J734" s="7">
        <f>VLOOKUP(A734,[1]Sheet!B$3:G$2921,6,0)</f>
        <v>2926.82</v>
      </c>
      <c r="K734" s="8" t="e">
        <f t="shared" si="46"/>
        <v>#N/A</v>
      </c>
      <c r="L734" s="6">
        <f t="shared" si="47"/>
        <v>2926.82</v>
      </c>
    </row>
    <row r="735" spans="1:12" x14ac:dyDescent="0.25">
      <c r="A735" s="9" t="s">
        <v>734</v>
      </c>
      <c r="B735" s="2" t="str">
        <f>VLOOKUP(A735,[1]Sheet!B$3:G$2921,2,0)</f>
        <v>Праймер бітумний готовий до застосування
"Технониколь-1"</v>
      </c>
      <c r="C735" s="3" t="str">
        <f>VLOOKUP(A735,[1]Sheet!B$3:G$2921,3,0)</f>
        <v>т</v>
      </c>
      <c r="D735" s="4">
        <v>0.53069999999999995</v>
      </c>
      <c r="E735" s="5" t="e">
        <f>VLOOKUP(A735,N$3:S$1271,4,FALSE)</f>
        <v>#N/A</v>
      </c>
      <c r="F735" s="6">
        <f t="shared" si="44"/>
        <v>0.53069999999999995</v>
      </c>
      <c r="G735" s="7">
        <f>VLOOKUP(A735,[1]Sheet!B$3:G$2921,5,0)</f>
        <v>78784.53</v>
      </c>
      <c r="H735" s="5" t="e">
        <f>VLOOKUP(A735,N$3:S$1271,5,FALSE)</f>
        <v>#N/A</v>
      </c>
      <c r="I735" s="6">
        <f t="shared" si="45"/>
        <v>78784.53</v>
      </c>
      <c r="J735" s="7">
        <f>VLOOKUP(A735,[1]Sheet!B$3:G$2921,6,0)</f>
        <v>439.22</v>
      </c>
      <c r="K735" s="8" t="e">
        <f t="shared" si="46"/>
        <v>#N/A</v>
      </c>
      <c r="L735" s="6">
        <f t="shared" si="47"/>
        <v>439.22</v>
      </c>
    </row>
    <row r="736" spans="1:12" x14ac:dyDescent="0.25">
      <c r="A736" s="9" t="s">
        <v>735</v>
      </c>
      <c r="B736" s="2" t="str">
        <f>VLOOKUP(A736,[1]Sheet!B$3:G$2921,2,0)</f>
        <v>Плита Titan ф.Кнауф</v>
      </c>
      <c r="C736" s="3" t="str">
        <f>VLOOKUP(A736,[1]Sheet!B$3:G$2921,3,0)</f>
        <v>м2</v>
      </c>
      <c r="D736" s="4">
        <v>6786.7920000000004</v>
      </c>
      <c r="E736" s="5" t="e">
        <f>VLOOKUP(A736,N$3:S$1271,4,FALSE)</f>
        <v>#N/A</v>
      </c>
      <c r="F736" s="6">
        <f t="shared" si="44"/>
        <v>6786.7920000000004</v>
      </c>
      <c r="G736" s="7">
        <f>VLOOKUP(A736,[1]Sheet!B$3:G$2921,5,0)</f>
        <v>130.41999999999999</v>
      </c>
      <c r="H736" s="5" t="e">
        <f>VLOOKUP(A736,N$3:S$1271,5,FALSE)</f>
        <v>#N/A</v>
      </c>
      <c r="I736" s="6">
        <f t="shared" si="45"/>
        <v>130.41999999999999</v>
      </c>
      <c r="J736" s="7">
        <f>VLOOKUP(A736,[1]Sheet!B$3:G$2921,6,0)</f>
        <v>311513.39</v>
      </c>
      <c r="K736" s="8" t="e">
        <f t="shared" si="46"/>
        <v>#N/A</v>
      </c>
      <c r="L736" s="6">
        <f t="shared" si="47"/>
        <v>311513.39</v>
      </c>
    </row>
    <row r="737" spans="1:12" x14ac:dyDescent="0.25">
      <c r="A737" s="9" t="s">
        <v>736</v>
      </c>
      <c r="B737" s="2" t="str">
        <f>VLOOKUP(A737,[1]Sheet!B$3:G$2921,2,0)</f>
        <v>Поручень полiвiнiлхлоридний</v>
      </c>
      <c r="C737" s="3" t="str">
        <f>VLOOKUP(A737,[1]Sheet!B$3:G$2921,3,0)</f>
        <v>пм</v>
      </c>
      <c r="D737" s="4">
        <v>24.092400000000001</v>
      </c>
      <c r="E737" s="5" t="e">
        <f>VLOOKUP(A737,N$3:S$1271,4,FALSE)</f>
        <v>#N/A</v>
      </c>
      <c r="F737" s="6">
        <f t="shared" si="44"/>
        <v>24.092400000000001</v>
      </c>
      <c r="G737" s="7">
        <f>VLOOKUP(A737,[1]Sheet!B$3:G$2921,5,0)</f>
        <v>37.369999999999997</v>
      </c>
      <c r="H737" s="5" t="e">
        <f>VLOOKUP(A737,N$3:S$1271,5,FALSE)</f>
        <v>#N/A</v>
      </c>
      <c r="I737" s="6">
        <f t="shared" si="45"/>
        <v>37.369999999999997</v>
      </c>
      <c r="J737" s="7">
        <f>VLOOKUP(A737,[1]Sheet!B$3:G$2921,6,0)</f>
        <v>900.33</v>
      </c>
      <c r="K737" s="8" t="e">
        <f t="shared" si="46"/>
        <v>#N/A</v>
      </c>
      <c r="L737" s="6">
        <f t="shared" si="47"/>
        <v>900.33</v>
      </c>
    </row>
    <row r="738" spans="1:12" x14ac:dyDescent="0.25">
      <c r="A738" s="9" t="s">
        <v>737</v>
      </c>
      <c r="B738" s="2" t="str">
        <f>VLOOKUP(A738,[1]Sheet!B$3:G$2921,2,0)</f>
        <v>Швелер гнутий сталевий 100х60х4 ГОСТ
8278-83 L=1300 Б1</v>
      </c>
      <c r="C738" s="3" t="str">
        <f>VLOOKUP(A738,[1]Sheet!B$3:G$2921,3,0)</f>
        <v>т</v>
      </c>
      <c r="D738" s="4">
        <v>0.165828</v>
      </c>
      <c r="E738" s="5" t="e">
        <f>VLOOKUP(A738,N$3:S$1271,4,FALSE)</f>
        <v>#N/A</v>
      </c>
      <c r="F738" s="6">
        <f t="shared" si="44"/>
        <v>0.165828</v>
      </c>
      <c r="G738" s="7">
        <f>VLOOKUP(A738,[1]Sheet!B$3:G$2921,5,0)</f>
        <v>39057.370000000003</v>
      </c>
      <c r="H738" s="5" t="e">
        <f>VLOOKUP(A738,N$3:S$1271,5,FALSE)</f>
        <v>#N/A</v>
      </c>
      <c r="I738" s="6">
        <f t="shared" si="45"/>
        <v>39057.370000000003</v>
      </c>
      <c r="J738" s="7">
        <f>VLOOKUP(A738,[1]Sheet!B$3:G$2921,6,0)</f>
        <v>1699.93</v>
      </c>
      <c r="K738" s="8" t="e">
        <f t="shared" si="46"/>
        <v>#N/A</v>
      </c>
      <c r="L738" s="6">
        <f t="shared" si="47"/>
        <v>1699.93</v>
      </c>
    </row>
    <row r="739" spans="1:12" x14ac:dyDescent="0.25">
      <c r="A739" s="9" t="s">
        <v>738</v>
      </c>
      <c r="B739" s="2" t="str">
        <f>VLOOKUP(A739,[1]Sheet!B$3:G$2921,2,0)</f>
        <v>Очищувач клею</v>
      </c>
      <c r="C739" s="3" t="str">
        <f>VLOOKUP(A739,[1]Sheet!B$3:G$2921,3,0)</f>
        <v>л</v>
      </c>
      <c r="D739" s="4">
        <v>4.6894999999999998</v>
      </c>
      <c r="E739" s="5" t="e">
        <f>VLOOKUP(A739,N$3:S$1271,4,FALSE)</f>
        <v>#N/A</v>
      </c>
      <c r="F739" s="6">
        <f t="shared" si="44"/>
        <v>4.6894999999999998</v>
      </c>
      <c r="G739" s="7">
        <f>VLOOKUP(A739,[1]Sheet!B$3:G$2921,5,0)</f>
        <v>311.02</v>
      </c>
      <c r="H739" s="5" t="e">
        <f>VLOOKUP(A739,N$3:S$1271,5,FALSE)</f>
        <v>#N/A</v>
      </c>
      <c r="I739" s="6">
        <f t="shared" si="45"/>
        <v>311.02</v>
      </c>
      <c r="J739" s="7">
        <f>VLOOKUP(A739,[1]Sheet!B$3:G$2921,6,0)</f>
        <v>92.56</v>
      </c>
      <c r="K739" s="8" t="e">
        <f t="shared" si="46"/>
        <v>#N/A</v>
      </c>
      <c r="L739" s="6">
        <f t="shared" si="47"/>
        <v>92.56</v>
      </c>
    </row>
    <row r="740" spans="1:12" x14ac:dyDescent="0.25">
      <c r="A740" s="9" t="s">
        <v>739</v>
      </c>
      <c r="B740" s="2" t="str">
        <f>VLOOKUP(A740,[1]Sheet!B$3:G$2921,2,0)</f>
        <v>Руберойд пiдкладний Біполь ЕПП 3,0</v>
      </c>
      <c r="C740" s="3" t="str">
        <f>VLOOKUP(A740,[1]Sheet!B$3:G$2921,3,0)</f>
        <v>м2</v>
      </c>
      <c r="D740" s="4">
        <v>3515.5902499999997</v>
      </c>
      <c r="E740" s="5" t="e">
        <f>VLOOKUP(A740,N$3:S$1271,4,FALSE)</f>
        <v>#N/A</v>
      </c>
      <c r="F740" s="6">
        <f t="shared" si="44"/>
        <v>3515.5902499999997</v>
      </c>
      <c r="G740" s="7">
        <f>VLOOKUP(A740,[1]Sheet!B$3:G$2921,5,0)</f>
        <v>91.93</v>
      </c>
      <c r="H740" s="5" t="e">
        <f>VLOOKUP(A740,N$3:S$1271,5,FALSE)</f>
        <v>#N/A</v>
      </c>
      <c r="I740" s="6">
        <f t="shared" si="45"/>
        <v>91.93</v>
      </c>
      <c r="J740" s="7">
        <f>VLOOKUP(A740,[1]Sheet!B$3:G$2921,6,0)</f>
        <v>143346.91</v>
      </c>
      <c r="K740" s="8" t="e">
        <f t="shared" si="46"/>
        <v>#N/A</v>
      </c>
      <c r="L740" s="6">
        <f t="shared" si="47"/>
        <v>143346.91</v>
      </c>
    </row>
    <row r="741" spans="1:12" x14ac:dyDescent="0.25">
      <c r="A741" s="9" t="s">
        <v>740</v>
      </c>
      <c r="B741" s="2" t="str">
        <f>VLOOKUP(A741,[1]Sheet!B$3:G$2921,2,0)</f>
        <v>Покрівельна ПВХ мембрана Баудер
ТЕРМОФОЛ U15</v>
      </c>
      <c r="C741" s="3" t="str">
        <f>VLOOKUP(A741,[1]Sheet!B$3:G$2921,3,0)</f>
        <v>м2</v>
      </c>
      <c r="D741" s="4">
        <v>1806.337</v>
      </c>
      <c r="E741" s="5" t="e">
        <f>VLOOKUP(A741,N$3:S$1271,4,FALSE)</f>
        <v>#N/A</v>
      </c>
      <c r="F741" s="6">
        <f t="shared" si="44"/>
        <v>1806.337</v>
      </c>
      <c r="G741" s="7">
        <f>VLOOKUP(A741,[1]Sheet!B$3:G$2921,5,0)</f>
        <v>369.72</v>
      </c>
      <c r="H741" s="5" t="e">
        <f>VLOOKUP(A741,N$3:S$1271,5,FALSE)</f>
        <v>#N/A</v>
      </c>
      <c r="I741" s="6">
        <f t="shared" si="45"/>
        <v>369.72</v>
      </c>
      <c r="J741" s="7">
        <f>VLOOKUP(A741,[1]Sheet!B$3:G$2921,6,0)</f>
        <v>578722.72</v>
      </c>
      <c r="K741" s="8" t="e">
        <f t="shared" si="46"/>
        <v>#N/A</v>
      </c>
      <c r="L741" s="6">
        <f t="shared" si="47"/>
        <v>578722.72</v>
      </c>
    </row>
    <row r="742" spans="1:12" x14ac:dyDescent="0.25">
      <c r="A742" s="9" t="s">
        <v>741</v>
      </c>
      <c r="B742" s="2" t="str">
        <f>VLOOKUP(A742,[1]Sheet!B$3:G$2921,2,0)</f>
        <v>Руберойд пiдкладний з пиловидною
засипкою РПП</v>
      </c>
      <c r="C742" s="3" t="str">
        <f>VLOOKUP(A742,[1]Sheet!B$3:G$2921,3,0)</f>
        <v>м2</v>
      </c>
      <c r="D742" s="4">
        <v>409.2</v>
      </c>
      <c r="E742" s="5" t="e">
        <f>VLOOKUP(A742,N$3:S$1271,4,FALSE)</f>
        <v>#N/A</v>
      </c>
      <c r="F742" s="6">
        <f t="shared" si="44"/>
        <v>409.2</v>
      </c>
      <c r="G742" s="7">
        <f>VLOOKUP(A742,[1]Sheet!B$3:G$2921,5,0)</f>
        <v>31.51</v>
      </c>
      <c r="H742" s="5" t="e">
        <f>VLOOKUP(A742,N$3:S$1271,5,FALSE)</f>
        <v>#N/A</v>
      </c>
      <c r="I742" s="6">
        <f t="shared" si="45"/>
        <v>31.51</v>
      </c>
      <c r="J742" s="7">
        <f>VLOOKUP(A742,[1]Sheet!B$3:G$2921,6,0)</f>
        <v>12893.89</v>
      </c>
      <c r="K742" s="8" t="e">
        <f t="shared" si="46"/>
        <v>#N/A</v>
      </c>
      <c r="L742" s="6">
        <f t="shared" si="47"/>
        <v>12893.89</v>
      </c>
    </row>
    <row r="743" spans="1:12" x14ac:dyDescent="0.25">
      <c r="A743" s="9" t="s">
        <v>742</v>
      </c>
      <c r="B743" s="2" t="str">
        <f>VLOOKUP(A743,[1]Sheet!B$3:G$2921,2,0)</f>
        <v>Рубероид наплавляемый " Біполь" ЕКП 4,0</v>
      </c>
      <c r="C743" s="3" t="str">
        <f>VLOOKUP(A743,[1]Sheet!B$3:G$2921,3,0)</f>
        <v>м2</v>
      </c>
      <c r="D743" s="4">
        <v>1068.0980000000002</v>
      </c>
      <c r="E743" s="5" t="e">
        <f>VLOOKUP(A743,N$3:S$1271,4,FALSE)</f>
        <v>#N/A</v>
      </c>
      <c r="F743" s="6">
        <f t="shared" si="44"/>
        <v>1068.0980000000002</v>
      </c>
      <c r="G743" s="7">
        <f>VLOOKUP(A743,[1]Sheet!B$3:G$2921,5,0)</f>
        <v>98.38</v>
      </c>
      <c r="H743" s="5" t="e">
        <f>VLOOKUP(A743,N$3:S$1271,5,FALSE)</f>
        <v>#N/A</v>
      </c>
      <c r="I743" s="6">
        <f t="shared" si="45"/>
        <v>98.38</v>
      </c>
      <c r="J743" s="7">
        <f>VLOOKUP(A743,[1]Sheet!B$3:G$2921,6,0)</f>
        <v>38353.440000000002</v>
      </c>
      <c r="K743" s="8" t="e">
        <f t="shared" si="46"/>
        <v>#N/A</v>
      </c>
      <c r="L743" s="6">
        <f t="shared" si="47"/>
        <v>38353.440000000002</v>
      </c>
    </row>
    <row r="744" spans="1:12" x14ac:dyDescent="0.25">
      <c r="A744" s="9" t="s">
        <v>743</v>
      </c>
      <c r="B744" s="2" t="str">
        <f>VLOOKUP(A744,[1]Sheet!B$3:G$2921,2,0)</f>
        <v>Техноеласт ЕПП</v>
      </c>
      <c r="C744" s="3" t="str">
        <f>VLOOKUP(A744,[1]Sheet!B$3:G$2921,3,0)</f>
        <v>м2</v>
      </c>
      <c r="D744" s="4">
        <v>140.76</v>
      </c>
      <c r="E744" s="5" t="e">
        <f>VLOOKUP(A744,N$3:S$1271,4,FALSE)</f>
        <v>#N/A</v>
      </c>
      <c r="F744" s="6">
        <f t="shared" si="44"/>
        <v>140.76</v>
      </c>
      <c r="G744" s="7">
        <f>VLOOKUP(A744,[1]Sheet!B$3:G$2921,5,0)</f>
        <v>143.18</v>
      </c>
      <c r="H744" s="5" t="e">
        <f>VLOOKUP(A744,N$3:S$1271,5,FALSE)</f>
        <v>#N/A</v>
      </c>
      <c r="I744" s="6">
        <f t="shared" si="45"/>
        <v>143.18</v>
      </c>
      <c r="J744" s="7">
        <f>VLOOKUP(A744,[1]Sheet!B$3:G$2921,6,0)</f>
        <v>20154.02</v>
      </c>
      <c r="K744" s="8" t="e">
        <f t="shared" si="46"/>
        <v>#N/A</v>
      </c>
      <c r="L744" s="6">
        <f t="shared" si="47"/>
        <v>20154.02</v>
      </c>
    </row>
    <row r="745" spans="1:12" x14ac:dyDescent="0.25">
      <c r="A745" s="9" t="s">
        <v>744</v>
      </c>
      <c r="B745" s="2" t="str">
        <f>VLOOKUP(A745,[1]Sheet!B$3:G$2921,2,0)</f>
        <v>Дверний доводчик</v>
      </c>
      <c r="C745" s="3" t="str">
        <f>VLOOKUP(A745,[1]Sheet!B$3:G$2921,3,0)</f>
        <v>комплект</v>
      </c>
      <c r="D745" s="4">
        <v>3</v>
      </c>
      <c r="E745" s="5" t="e">
        <f>VLOOKUP(A745,N$3:S$1271,4,FALSE)</f>
        <v>#N/A</v>
      </c>
      <c r="F745" s="6">
        <f t="shared" si="44"/>
        <v>3</v>
      </c>
      <c r="G745" s="7">
        <f>VLOOKUP(A745,[1]Sheet!B$3:G$2921,5,0)</f>
        <v>1011.44</v>
      </c>
      <c r="H745" s="5" t="e">
        <f>VLOOKUP(A745,N$3:S$1271,5,FALSE)</f>
        <v>#N/A</v>
      </c>
      <c r="I745" s="6">
        <f t="shared" si="45"/>
        <v>1011.44</v>
      </c>
      <c r="J745" s="7">
        <f>VLOOKUP(A745,[1]Sheet!B$3:G$2921,6,0)</f>
        <v>2022.88</v>
      </c>
      <c r="K745" s="8" t="e">
        <f t="shared" si="46"/>
        <v>#N/A</v>
      </c>
      <c r="L745" s="6">
        <f t="shared" si="47"/>
        <v>2022.88</v>
      </c>
    </row>
    <row r="746" spans="1:12" x14ac:dyDescent="0.25">
      <c r="A746" s="9" t="s">
        <v>745</v>
      </c>
      <c r="B746" s="2" t="str">
        <f>VLOOKUP(A746,[1]Sheet!B$3:G$2921,2,0)</f>
        <v>Гвинт М8 з двостороннім різьбленням і
розпірним дюбелем</v>
      </c>
      <c r="C746" s="3" t="str">
        <f>VLOOKUP(A746,[1]Sheet!B$3:G$2921,3,0)</f>
        <v>шт</v>
      </c>
      <c r="D746" s="4">
        <v>56</v>
      </c>
      <c r="E746" s="5" t="e">
        <f>VLOOKUP(A746,N$3:S$1271,4,FALSE)</f>
        <v>#N/A</v>
      </c>
      <c r="F746" s="6">
        <f t="shared" si="44"/>
        <v>56</v>
      </c>
      <c r="G746" s="7">
        <f>VLOOKUP(A746,[1]Sheet!B$3:G$2921,5,0)</f>
        <v>20.83</v>
      </c>
      <c r="H746" s="5" t="e">
        <f>VLOOKUP(A746,N$3:S$1271,5,FALSE)</f>
        <v>#N/A</v>
      </c>
      <c r="I746" s="6">
        <f t="shared" si="45"/>
        <v>20.83</v>
      </c>
      <c r="J746" s="7">
        <f>VLOOKUP(A746,[1]Sheet!B$3:G$2921,6,0)</f>
        <v>1166.48</v>
      </c>
      <c r="K746" s="8" t="e">
        <f t="shared" si="46"/>
        <v>#N/A</v>
      </c>
      <c r="L746" s="6">
        <f t="shared" si="47"/>
        <v>1166.48</v>
      </c>
    </row>
    <row r="747" spans="1:12" x14ac:dyDescent="0.25">
      <c r="A747" s="9" t="s">
        <v>746</v>
      </c>
      <c r="B747" s="2" t="str">
        <f>VLOOKUP(A747,[1]Sheet!B$3:G$2921,2,0)</f>
        <v>Болт - комплект М16х40 ф.Blachy Pruszynski</v>
      </c>
      <c r="C747" s="3" t="str">
        <f>VLOOKUP(A747,[1]Sheet!B$3:G$2921,3,0)</f>
        <v>100шт</v>
      </c>
      <c r="D747" s="4">
        <v>0.76</v>
      </c>
      <c r="E747" s="5" t="e">
        <f>VLOOKUP(A747,N$3:S$1271,4,FALSE)</f>
        <v>#N/A</v>
      </c>
      <c r="F747" s="6">
        <f t="shared" si="44"/>
        <v>0.76</v>
      </c>
      <c r="G747" s="7">
        <f>VLOOKUP(A747,[1]Sheet!B$3:G$2921,5,0)</f>
        <v>1958.98</v>
      </c>
      <c r="H747" s="5" t="e">
        <f>VLOOKUP(A747,N$3:S$1271,5,FALSE)</f>
        <v>#N/A</v>
      </c>
      <c r="I747" s="6">
        <f t="shared" si="45"/>
        <v>1958.98</v>
      </c>
      <c r="J747" s="7">
        <f>VLOOKUP(A747,[1]Sheet!B$3:G$2921,6,0)</f>
        <v>1332.11</v>
      </c>
      <c r="K747" s="8" t="e">
        <f t="shared" si="46"/>
        <v>#N/A</v>
      </c>
      <c r="L747" s="6">
        <f t="shared" si="47"/>
        <v>1332.11</v>
      </c>
    </row>
    <row r="748" spans="1:12" x14ac:dyDescent="0.25">
      <c r="A748" s="9" t="s">
        <v>747</v>
      </c>
      <c r="B748" s="2" t="str">
        <f>VLOOKUP(A748,[1]Sheet!B$3:G$2921,2,0)</f>
        <v>Компенсуюча петля поліпропіленова D 32
Wavin</v>
      </c>
      <c r="C748" s="3" t="str">
        <f>VLOOKUP(A748,[1]Sheet!B$3:G$2921,3,0)</f>
        <v>шт</v>
      </c>
      <c r="D748" s="4">
        <v>1</v>
      </c>
      <c r="E748" s="5" t="e">
        <f>VLOOKUP(A748,N$3:S$1271,4,FALSE)</f>
        <v>#N/A</v>
      </c>
      <c r="F748" s="6">
        <f t="shared" si="44"/>
        <v>1</v>
      </c>
      <c r="G748" s="7">
        <f>VLOOKUP(A748,[1]Sheet!B$3:G$2921,5,0)</f>
        <v>134.29</v>
      </c>
      <c r="H748" s="5" t="e">
        <f>VLOOKUP(A748,N$3:S$1271,5,FALSE)</f>
        <v>#N/A</v>
      </c>
      <c r="I748" s="6">
        <f t="shared" si="45"/>
        <v>134.29</v>
      </c>
      <c r="J748" s="7">
        <f>VLOOKUP(A748,[1]Sheet!B$3:G$2921,6,0)</f>
        <v>134.29</v>
      </c>
      <c r="K748" s="8" t="e">
        <f t="shared" si="46"/>
        <v>#N/A</v>
      </c>
      <c r="L748" s="6">
        <f t="shared" si="47"/>
        <v>134.29</v>
      </c>
    </row>
    <row r="749" spans="1:12" x14ac:dyDescent="0.25">
      <c r="A749" s="9" t="s">
        <v>748</v>
      </c>
      <c r="B749" s="2" t="str">
        <f>VLOOKUP(A749,[1]Sheet!B$3:G$2921,2,0)</f>
        <v>Засувка чавунна з гумовим  клином з
невисувним шпинделем фланцева для води,
тиск РN10 бар, Т до 70_ Д=100</v>
      </c>
      <c r="C749" s="3" t="str">
        <f>VLOOKUP(A749,[1]Sheet!B$3:G$2921,3,0)</f>
        <v>шт</v>
      </c>
      <c r="D749" s="4">
        <v>1</v>
      </c>
      <c r="E749" s="5" t="e">
        <f>VLOOKUP(A749,N$3:S$1271,4,FALSE)</f>
        <v>#N/A</v>
      </c>
      <c r="F749" s="6">
        <f t="shared" si="44"/>
        <v>1</v>
      </c>
      <c r="G749" s="7">
        <f>VLOOKUP(A749,[1]Sheet!B$3:G$2921,5,0)</f>
        <v>21758.16</v>
      </c>
      <c r="H749" s="5" t="e">
        <f>VLOOKUP(A749,N$3:S$1271,5,FALSE)</f>
        <v>#N/A</v>
      </c>
      <c r="I749" s="6">
        <f t="shared" si="45"/>
        <v>21758.16</v>
      </c>
      <c r="J749" s="7">
        <f>VLOOKUP(A749,[1]Sheet!B$3:G$2921,6,0)</f>
        <v>21758.16</v>
      </c>
      <c r="K749" s="8" t="e">
        <f t="shared" si="46"/>
        <v>#N/A</v>
      </c>
      <c r="L749" s="6">
        <f t="shared" si="47"/>
        <v>21758.16</v>
      </c>
    </row>
    <row r="750" spans="1:12" x14ac:dyDescent="0.25">
      <c r="A750" s="9" t="s">
        <v>749</v>
      </c>
      <c r="B750" s="2" t="str">
        <f>VLOOKUP(A750,[1]Sheet!B$3:G$2921,2,0)</f>
        <v>Брусок -2-хв-45х60. Брусок -2-хв-45х95</v>
      </c>
      <c r="C750" s="3" t="str">
        <f>VLOOKUP(A750,[1]Sheet!B$3:G$2921,3,0)</f>
        <v>м3</v>
      </c>
      <c r="D750" s="4">
        <v>9.9143999999999996E-2</v>
      </c>
      <c r="E750" s="5" t="e">
        <f>VLOOKUP(A750,N$3:S$1271,4,FALSE)</f>
        <v>#N/A</v>
      </c>
      <c r="F750" s="6">
        <f t="shared" si="44"/>
        <v>9.9143999999999996E-2</v>
      </c>
      <c r="G750" s="7">
        <f>VLOOKUP(A750,[1]Sheet!B$3:G$2921,5,0)</f>
        <v>6466.53</v>
      </c>
      <c r="H750" s="5" t="e">
        <f>VLOOKUP(A750,N$3:S$1271,5,FALSE)</f>
        <v>#N/A</v>
      </c>
      <c r="I750" s="6">
        <f t="shared" si="45"/>
        <v>6466.53</v>
      </c>
      <c r="J750" s="7">
        <f>VLOOKUP(A750,[1]Sheet!B$3:G$2921,6,0)</f>
        <v>641.12</v>
      </c>
      <c r="K750" s="8" t="e">
        <f t="shared" si="46"/>
        <v>#N/A</v>
      </c>
      <c r="L750" s="6">
        <f t="shared" si="47"/>
        <v>641.12</v>
      </c>
    </row>
    <row r="751" spans="1:12" x14ac:dyDescent="0.25">
      <c r="A751" s="9" t="s">
        <v>750</v>
      </c>
      <c r="B751" s="2" t="str">
        <f>VLOOKUP(A751,[1]Sheet!B$3:G$2921,2,0)</f>
        <v>Бруски обрiзнi хвойних порiд, довжина 2-6,5
м, товщина 40-60 мм, II сорт</v>
      </c>
      <c r="C751" s="3" t="str">
        <f>VLOOKUP(A751,[1]Sheet!B$3:G$2921,3,0)</f>
        <v>м3</v>
      </c>
      <c r="D751" s="4">
        <v>0.36399999999999999</v>
      </c>
      <c r="E751" s="5" t="e">
        <f>VLOOKUP(A751,N$3:S$1271,4,FALSE)</f>
        <v>#N/A</v>
      </c>
      <c r="F751" s="6">
        <f t="shared" si="44"/>
        <v>0.36399999999999999</v>
      </c>
      <c r="G751" s="7">
        <f>VLOOKUP(A751,[1]Sheet!B$3:G$2921,5,0)</f>
        <v>6466.53</v>
      </c>
      <c r="H751" s="5" t="e">
        <f>VLOOKUP(A751,N$3:S$1271,5,FALSE)</f>
        <v>#N/A</v>
      </c>
      <c r="I751" s="6">
        <f t="shared" si="45"/>
        <v>6466.53</v>
      </c>
      <c r="J751" s="7">
        <f>VLOOKUP(A751,[1]Sheet!B$3:G$2921,6,0)</f>
        <v>1173.68</v>
      </c>
      <c r="K751" s="8" t="e">
        <f t="shared" si="46"/>
        <v>#N/A</v>
      </c>
      <c r="L751" s="6">
        <f t="shared" si="47"/>
        <v>1173.68</v>
      </c>
    </row>
    <row r="752" spans="1:12" x14ac:dyDescent="0.25">
      <c r="A752" s="9" t="s">
        <v>751</v>
      </c>
      <c r="B752" s="2" t="str">
        <f>VLOOKUP(A752,[1]Sheet!B$3:G$2921,2,0)</f>
        <v>Дошка -2-хв-20х120. Дошка -2-хв-20х110.</v>
      </c>
      <c r="C752" s="3" t="str">
        <f>VLOOKUP(A752,[1]Sheet!B$3:G$2921,3,0)</f>
        <v>м3</v>
      </c>
      <c r="D752" s="4">
        <v>1.7920000000000002E-2</v>
      </c>
      <c r="E752" s="5" t="e">
        <f>VLOOKUP(A752,N$3:S$1271,4,FALSE)</f>
        <v>#N/A</v>
      </c>
      <c r="F752" s="6">
        <f t="shared" si="44"/>
        <v>1.7920000000000002E-2</v>
      </c>
      <c r="G752" s="7">
        <f>VLOOKUP(A752,[1]Sheet!B$3:G$2921,5,0)</f>
        <v>5675.37</v>
      </c>
      <c r="H752" s="5" t="e">
        <f>VLOOKUP(A752,N$3:S$1271,5,FALSE)</f>
        <v>#N/A</v>
      </c>
      <c r="I752" s="6">
        <f t="shared" si="45"/>
        <v>5675.37</v>
      </c>
      <c r="J752" s="7">
        <f>VLOOKUP(A752,[1]Sheet!B$3:G$2921,6,0)</f>
        <v>101.7</v>
      </c>
      <c r="K752" s="8" t="e">
        <f t="shared" si="46"/>
        <v>#N/A</v>
      </c>
      <c r="L752" s="6">
        <f t="shared" si="47"/>
        <v>101.7</v>
      </c>
    </row>
    <row r="753" spans="1:12" x14ac:dyDescent="0.25">
      <c r="A753" s="9" t="s">
        <v>752</v>
      </c>
      <c r="B753" s="2" t="str">
        <f>VLOOKUP(A753,[1]Sheet!B$3:G$2921,2,0)</f>
        <v>Прес - фітінг</v>
      </c>
      <c r="C753" s="3" t="str">
        <f>VLOOKUP(A753,[1]Sheet!B$3:G$2921,3,0)</f>
        <v>шт</v>
      </c>
      <c r="D753" s="4">
        <v>64</v>
      </c>
      <c r="E753" s="5" t="e">
        <f>VLOOKUP(A753,N$3:S$1271,4,FALSE)</f>
        <v>#N/A</v>
      </c>
      <c r="F753" s="6">
        <f t="shared" si="44"/>
        <v>64</v>
      </c>
      <c r="G753" s="7">
        <f>VLOOKUP(A753,[1]Sheet!B$3:G$2921,5,0)</f>
        <v>96.54</v>
      </c>
      <c r="H753" s="5" t="e">
        <f>VLOOKUP(A753,N$3:S$1271,5,FALSE)</f>
        <v>#N/A</v>
      </c>
      <c r="I753" s="6">
        <f t="shared" si="45"/>
        <v>96.54</v>
      </c>
      <c r="J753" s="7">
        <f>VLOOKUP(A753,[1]Sheet!B$3:G$2921,6,0)</f>
        <v>3861.6</v>
      </c>
      <c r="K753" s="8" t="e">
        <f t="shared" si="46"/>
        <v>#N/A</v>
      </c>
      <c r="L753" s="6">
        <f t="shared" si="47"/>
        <v>3861.6</v>
      </c>
    </row>
    <row r="754" spans="1:12" x14ac:dyDescent="0.25">
      <c r="A754" s="9" t="s">
        <v>753</v>
      </c>
      <c r="B754" s="2" t="str">
        <f>VLOOKUP(A754,[1]Sheet!B$3:G$2921,2,0)</f>
        <v>Муфта рухома чавунна d=100 мм</v>
      </c>
      <c r="C754" s="3" t="str">
        <f>VLOOKUP(A754,[1]Sheet!B$3:G$2921,3,0)</f>
        <v>10шт</v>
      </c>
      <c r="D754" s="4">
        <v>0.1</v>
      </c>
      <c r="E754" s="5" t="e">
        <f>VLOOKUP(A754,N$3:S$1271,4,FALSE)</f>
        <v>#N/A</v>
      </c>
      <c r="F754" s="6">
        <f t="shared" si="44"/>
        <v>0.1</v>
      </c>
      <c r="G754" s="7">
        <f>VLOOKUP(A754,[1]Sheet!B$3:G$2921,5,0)</f>
        <v>1022.53</v>
      </c>
      <c r="H754" s="5" t="e">
        <f>VLOOKUP(A754,N$3:S$1271,5,FALSE)</f>
        <v>#N/A</v>
      </c>
      <c r="I754" s="6">
        <f t="shared" si="45"/>
        <v>1022.53</v>
      </c>
      <c r="J754" s="7">
        <f>VLOOKUP(A754,[1]Sheet!B$3:G$2921,6,0)</f>
        <v>102.25</v>
      </c>
      <c r="K754" s="8" t="e">
        <f t="shared" si="46"/>
        <v>#N/A</v>
      </c>
      <c r="L754" s="6">
        <f t="shared" si="47"/>
        <v>102.25</v>
      </c>
    </row>
    <row r="755" spans="1:12" x14ac:dyDescent="0.25">
      <c r="A755" s="9" t="s">
        <v>754</v>
      </c>
      <c r="B755" s="2" t="str">
        <f>VLOOKUP(A755,[1]Sheet!B$3:G$2921,2,0)</f>
        <v>Трiйник перехідний дiам 110/50 мм
TRIV110050</v>
      </c>
      <c r="C755" s="3" t="str">
        <f>VLOOKUP(A755,[1]Sheet!B$3:G$2921,3,0)</f>
        <v>шт</v>
      </c>
      <c r="D755" s="4">
        <v>10</v>
      </c>
      <c r="E755" s="5" t="e">
        <f>VLOOKUP(A755,N$3:S$1271,4,FALSE)</f>
        <v>#N/A</v>
      </c>
      <c r="F755" s="6">
        <f t="shared" si="44"/>
        <v>10</v>
      </c>
      <c r="G755" s="7">
        <f>VLOOKUP(A755,[1]Sheet!B$3:G$2921,5,0)</f>
        <v>680.37</v>
      </c>
      <c r="H755" s="5" t="e">
        <f>VLOOKUP(A755,N$3:S$1271,5,FALSE)</f>
        <v>#N/A</v>
      </c>
      <c r="I755" s="6">
        <f t="shared" si="45"/>
        <v>680.37</v>
      </c>
      <c r="J755" s="7">
        <f>VLOOKUP(A755,[1]Sheet!B$3:G$2921,6,0)</f>
        <v>6803.7</v>
      </c>
      <c r="K755" s="8" t="e">
        <f t="shared" si="46"/>
        <v>#N/A</v>
      </c>
      <c r="L755" s="6">
        <f t="shared" si="47"/>
        <v>6803.7</v>
      </c>
    </row>
    <row r="756" spans="1:12" x14ac:dyDescent="0.25">
      <c r="A756" s="9" t="s">
        <v>755</v>
      </c>
      <c r="B756" s="2" t="str">
        <f>VLOOKUP(A756,[1]Sheet!B$3:G$2921,2,0)</f>
        <v>Трiйник переходний 90_ ПЕ100 SDR17 дiам.
225х160 мм для терморезисторного
зварювання ПЕ труб</v>
      </c>
      <c r="C756" s="3" t="str">
        <f>VLOOKUP(A756,[1]Sheet!B$3:G$2921,3,0)</f>
        <v>шт</v>
      </c>
      <c r="D756" s="4">
        <v>1</v>
      </c>
      <c r="E756" s="5" t="e">
        <f>VLOOKUP(A756,N$3:S$1271,4,FALSE)</f>
        <v>#N/A</v>
      </c>
      <c r="F756" s="6">
        <f t="shared" si="44"/>
        <v>1</v>
      </c>
      <c r="G756" s="7">
        <f>VLOOKUP(A756,[1]Sheet!B$3:G$2921,5,0)</f>
        <v>4981.01</v>
      </c>
      <c r="H756" s="5" t="e">
        <f>VLOOKUP(A756,N$3:S$1271,5,FALSE)</f>
        <v>#N/A</v>
      </c>
      <c r="I756" s="6">
        <f t="shared" si="45"/>
        <v>4981.01</v>
      </c>
      <c r="J756" s="7">
        <f>VLOOKUP(A756,[1]Sheet!B$3:G$2921,6,0)</f>
        <v>4981.01</v>
      </c>
      <c r="K756" s="8" t="e">
        <f t="shared" si="46"/>
        <v>#N/A</v>
      </c>
      <c r="L756" s="6">
        <f t="shared" si="47"/>
        <v>4981.01</v>
      </c>
    </row>
    <row r="757" spans="1:12" x14ac:dyDescent="0.25">
      <c r="A757" s="9" t="s">
        <v>756</v>
      </c>
      <c r="B757" s="2" t="str">
        <f>VLOOKUP(A757,[1]Sheet!B$3:G$2921,2,0)</f>
        <v>З"єднувальна муфта компресійна із
зовнишньою різьбою на Ру до 1МПа  дiам.
32х1/4"</v>
      </c>
      <c r="C757" s="3" t="str">
        <f>VLOOKUP(A757,[1]Sheet!B$3:G$2921,3,0)</f>
        <v>шт</v>
      </c>
      <c r="D757" s="4">
        <v>10</v>
      </c>
      <c r="E757" s="5" t="e">
        <f>VLOOKUP(A757,N$3:S$1271,4,FALSE)</f>
        <v>#N/A</v>
      </c>
      <c r="F757" s="6">
        <f t="shared" si="44"/>
        <v>10</v>
      </c>
      <c r="G757" s="7">
        <f>VLOOKUP(A757,[1]Sheet!B$3:G$2921,5,0)</f>
        <v>50.6</v>
      </c>
      <c r="H757" s="5" t="e">
        <f>VLOOKUP(A757,N$3:S$1271,5,FALSE)</f>
        <v>#N/A</v>
      </c>
      <c r="I757" s="6">
        <f t="shared" si="45"/>
        <v>50.6</v>
      </c>
      <c r="J757" s="7">
        <f>VLOOKUP(A757,[1]Sheet!B$3:G$2921,6,0)</f>
        <v>506</v>
      </c>
      <c r="K757" s="8" t="e">
        <f t="shared" si="46"/>
        <v>#N/A</v>
      </c>
      <c r="L757" s="6">
        <f t="shared" si="47"/>
        <v>506</v>
      </c>
    </row>
    <row r="758" spans="1:12" x14ac:dyDescent="0.25">
      <c r="A758" s="9" t="s">
        <v>757</v>
      </c>
      <c r="B758" s="2" t="str">
        <f>VLOOKUP(A758,[1]Sheet!B$3:G$2921,2,0)</f>
        <v>Подвійний муфтовий адаптер із  внутрішним
різьбленням Д-50х40х1  1/4"  DIFV050040114</v>
      </c>
      <c r="C758" s="3" t="str">
        <f>VLOOKUP(A758,[1]Sheet!B$3:G$2921,3,0)</f>
        <v>шт</v>
      </c>
      <c r="D758" s="4">
        <v>10</v>
      </c>
      <c r="E758" s="5" t="e">
        <f>VLOOKUP(A758,N$3:S$1271,4,FALSE)</f>
        <v>#N/A</v>
      </c>
      <c r="F758" s="6">
        <f t="shared" si="44"/>
        <v>10</v>
      </c>
      <c r="G758" s="7">
        <f>VLOOKUP(A758,[1]Sheet!B$3:G$2921,5,0)</f>
        <v>100.4</v>
      </c>
      <c r="H758" s="5" t="e">
        <f>VLOOKUP(A758,N$3:S$1271,5,FALSE)</f>
        <v>#N/A</v>
      </c>
      <c r="I758" s="6">
        <f t="shared" si="45"/>
        <v>100.4</v>
      </c>
      <c r="J758" s="7">
        <f>VLOOKUP(A758,[1]Sheet!B$3:G$2921,6,0)</f>
        <v>1004</v>
      </c>
      <c r="K758" s="8" t="e">
        <f t="shared" si="46"/>
        <v>#N/A</v>
      </c>
      <c r="L758" s="6">
        <f t="shared" si="47"/>
        <v>1004</v>
      </c>
    </row>
    <row r="759" spans="1:12" x14ac:dyDescent="0.25">
      <c r="A759" s="9" t="s">
        <v>758</v>
      </c>
      <c r="B759" s="2" t="str">
        <f>VLOOKUP(A759,[1]Sheet!B$3:G$2921,2,0)</f>
        <v>Перехідне кільце Д-63х32 DIV063032</v>
      </c>
      <c r="C759" s="3" t="str">
        <f>VLOOKUP(A759,[1]Sheet!B$3:G$2921,3,0)</f>
        <v>шт</v>
      </c>
      <c r="D759" s="4">
        <v>1</v>
      </c>
      <c r="E759" s="5" t="e">
        <f>VLOOKUP(A759,N$3:S$1271,4,FALSE)</f>
        <v>#N/A</v>
      </c>
      <c r="F759" s="6">
        <f t="shared" si="44"/>
        <v>1</v>
      </c>
      <c r="G759" s="7">
        <f>VLOOKUP(A759,[1]Sheet!B$3:G$2921,5,0)</f>
        <v>45.93</v>
      </c>
      <c r="H759" s="5" t="e">
        <f>VLOOKUP(A759,N$3:S$1271,5,FALSE)</f>
        <v>#N/A</v>
      </c>
      <c r="I759" s="6">
        <f t="shared" si="45"/>
        <v>45.93</v>
      </c>
      <c r="J759" s="7">
        <f>VLOOKUP(A759,[1]Sheet!B$3:G$2921,6,0)</f>
        <v>45.93</v>
      </c>
      <c r="K759" s="8" t="e">
        <f t="shared" si="46"/>
        <v>#N/A</v>
      </c>
      <c r="L759" s="6">
        <f t="shared" si="47"/>
        <v>45.93</v>
      </c>
    </row>
    <row r="760" spans="1:12" x14ac:dyDescent="0.25">
      <c r="A760" s="9" t="s">
        <v>759</v>
      </c>
      <c r="B760" s="2" t="str">
        <f>VLOOKUP(A760,[1]Sheet!B$3:G$2921,2,0)</f>
        <v>Труби сталевi електрозварнi прямошовнi iз
сталi марки 20, зовнiшнiй дiаметр 20 мм,
товщина стiнки 2 мм</v>
      </c>
      <c r="C760" s="3" t="str">
        <f>VLOOKUP(A760,[1]Sheet!B$3:G$2921,3,0)</f>
        <v>м</v>
      </c>
      <c r="D760" s="4">
        <v>2</v>
      </c>
      <c r="E760" s="5" t="e">
        <f>VLOOKUP(A760,N$3:S$1271,4,FALSE)</f>
        <v>#N/A</v>
      </c>
      <c r="F760" s="6">
        <f t="shared" si="44"/>
        <v>2</v>
      </c>
      <c r="G760" s="7">
        <f>VLOOKUP(A760,[1]Sheet!B$3:G$2921,5,0)</f>
        <v>48.95</v>
      </c>
      <c r="H760" s="5" t="e">
        <f>VLOOKUP(A760,N$3:S$1271,5,FALSE)</f>
        <v>#N/A</v>
      </c>
      <c r="I760" s="6">
        <f t="shared" si="45"/>
        <v>48.95</v>
      </c>
      <c r="J760" s="7">
        <f>VLOOKUP(A760,[1]Sheet!B$3:G$2921,6,0)</f>
        <v>97.9</v>
      </c>
      <c r="K760" s="8" t="e">
        <f t="shared" si="46"/>
        <v>#N/A</v>
      </c>
      <c r="L760" s="6">
        <f t="shared" si="47"/>
        <v>97.9</v>
      </c>
    </row>
    <row r="761" spans="1:12" x14ac:dyDescent="0.25">
      <c r="A761" s="9" t="s">
        <v>760</v>
      </c>
      <c r="B761" s="2" t="str">
        <f>VLOOKUP(A761,[1]Sheet!B$3:G$2921,2,0)</f>
        <v>Муфта  полiпропіленова дiам. 110 мм</v>
      </c>
      <c r="C761" s="3" t="str">
        <f>VLOOKUP(A761,[1]Sheet!B$3:G$2921,3,0)</f>
        <v>шт</v>
      </c>
      <c r="D761" s="4">
        <v>14</v>
      </c>
      <c r="E761" s="5" t="e">
        <f>VLOOKUP(A761,N$3:S$1271,4,FALSE)</f>
        <v>#N/A</v>
      </c>
      <c r="F761" s="6">
        <f t="shared" si="44"/>
        <v>14</v>
      </c>
      <c r="G761" s="7">
        <f>VLOOKUP(A761,[1]Sheet!B$3:G$2921,5,0)</f>
        <v>549.03</v>
      </c>
      <c r="H761" s="5" t="e">
        <f>VLOOKUP(A761,N$3:S$1271,5,FALSE)</f>
        <v>#N/A</v>
      </c>
      <c r="I761" s="6">
        <f t="shared" si="45"/>
        <v>549.03</v>
      </c>
      <c r="J761" s="7">
        <f>VLOOKUP(A761,[1]Sheet!B$3:G$2921,6,0)</f>
        <v>549.03</v>
      </c>
      <c r="K761" s="8" t="e">
        <f t="shared" si="46"/>
        <v>#N/A</v>
      </c>
      <c r="L761" s="6">
        <f t="shared" si="47"/>
        <v>549.03</v>
      </c>
    </row>
    <row r="762" spans="1:12" x14ac:dyDescent="0.25">
      <c r="A762" s="9" t="s">
        <v>761</v>
      </c>
      <c r="B762" s="2" t="str">
        <f>VLOOKUP(A762,[1]Sheet!B$3:G$2921,2,0)</f>
        <v>Труби сталевi електрозварнi прямошовнi iз
сталi марки 20, зовнiшнiй дiаметр 25 мм,
товщина стiнки 2,5 мм</v>
      </c>
      <c r="C762" s="3" t="str">
        <f>VLOOKUP(A762,[1]Sheet!B$3:G$2921,3,0)</f>
        <v>м</v>
      </c>
      <c r="D762" s="4">
        <v>4.3650000000000002</v>
      </c>
      <c r="E762" s="5" t="e">
        <f>VLOOKUP(A762,N$3:S$1271,4,FALSE)</f>
        <v>#N/A</v>
      </c>
      <c r="F762" s="6">
        <f t="shared" si="44"/>
        <v>4.3650000000000002</v>
      </c>
      <c r="G762" s="7">
        <f>VLOOKUP(A762,[1]Sheet!B$3:G$2921,5,0)</f>
        <v>65.91</v>
      </c>
      <c r="H762" s="5" t="e">
        <f>VLOOKUP(A762,N$3:S$1271,5,FALSE)</f>
        <v>#N/A</v>
      </c>
      <c r="I762" s="6">
        <f t="shared" si="45"/>
        <v>65.91</v>
      </c>
      <c r="J762" s="7">
        <f>VLOOKUP(A762,[1]Sheet!B$3:G$2921,6,0)</f>
        <v>287.7</v>
      </c>
      <c r="K762" s="8" t="e">
        <f t="shared" si="46"/>
        <v>#N/A</v>
      </c>
      <c r="L762" s="6">
        <f t="shared" si="47"/>
        <v>287.7</v>
      </c>
    </row>
    <row r="763" spans="1:12" x14ac:dyDescent="0.25">
      <c r="A763" s="9" t="s">
        <v>762</v>
      </c>
      <c r="B763" s="2" t="str">
        <f>VLOOKUP(A763,[1]Sheet!B$3:G$2921,2,0)</f>
        <v>Втулка під  фланець з ПНТ для напірних
труб дiам. 110 мм</v>
      </c>
      <c r="C763" s="3" t="str">
        <f>VLOOKUP(A763,[1]Sheet!B$3:G$2921,3,0)</f>
        <v>шт</v>
      </c>
      <c r="D763" s="4">
        <v>3</v>
      </c>
      <c r="E763" s="5" t="e">
        <f>VLOOKUP(A763,N$3:S$1271,4,FALSE)</f>
        <v>#N/A</v>
      </c>
      <c r="F763" s="6">
        <f t="shared" si="44"/>
        <v>3</v>
      </c>
      <c r="G763" s="7">
        <f>VLOOKUP(A763,[1]Sheet!B$3:G$2921,5,0)</f>
        <v>322.17</v>
      </c>
      <c r="H763" s="5" t="e">
        <f>VLOOKUP(A763,N$3:S$1271,5,FALSE)</f>
        <v>#N/A</v>
      </c>
      <c r="I763" s="6">
        <f t="shared" si="45"/>
        <v>322.17</v>
      </c>
      <c r="J763" s="7">
        <f>VLOOKUP(A763,[1]Sheet!B$3:G$2921,6,0)</f>
        <v>322.17</v>
      </c>
      <c r="K763" s="8" t="e">
        <f t="shared" si="46"/>
        <v>#N/A</v>
      </c>
      <c r="L763" s="6">
        <f t="shared" si="47"/>
        <v>322.17</v>
      </c>
    </row>
    <row r="764" spans="1:12" x14ac:dyDescent="0.25">
      <c r="A764" s="9" t="s">
        <v>763</v>
      </c>
      <c r="B764" s="2" t="str">
        <f>VLOOKUP(A764,[1]Sheet!B$3:G$2921,2,0)</f>
        <v>Труби сталевi електрозварнi прямошовнi iз
сталi марки 20, зовнiшнiй дiаметр 32 мм,
товщина стiнки 2,5 мм</v>
      </c>
      <c r="C764" s="3" t="str">
        <f>VLOOKUP(A764,[1]Sheet!B$3:G$2921,3,0)</f>
        <v>м</v>
      </c>
      <c r="D764" s="4">
        <v>5.335</v>
      </c>
      <c r="E764" s="5" t="e">
        <f>VLOOKUP(A764,N$3:S$1271,4,FALSE)</f>
        <v>#N/A</v>
      </c>
      <c r="F764" s="6">
        <f t="shared" si="44"/>
        <v>5.335</v>
      </c>
      <c r="G764" s="7">
        <f>VLOOKUP(A764,[1]Sheet!B$3:G$2921,5,0)</f>
        <v>83.99</v>
      </c>
      <c r="H764" s="5" t="e">
        <f>VLOOKUP(A764,N$3:S$1271,5,FALSE)</f>
        <v>#N/A</v>
      </c>
      <c r="I764" s="6">
        <f t="shared" si="45"/>
        <v>83.99</v>
      </c>
      <c r="J764" s="7">
        <f>VLOOKUP(A764,[1]Sheet!B$3:G$2921,6,0)</f>
        <v>448.09</v>
      </c>
      <c r="K764" s="8" t="e">
        <f t="shared" si="46"/>
        <v>#N/A</v>
      </c>
      <c r="L764" s="6">
        <f t="shared" si="47"/>
        <v>448.09</v>
      </c>
    </row>
    <row r="765" spans="1:12" x14ac:dyDescent="0.25">
      <c r="A765" s="9" t="s">
        <v>764</v>
      </c>
      <c r="B765" s="2" t="str">
        <f>VLOOKUP(A765,[1]Sheet!B$3:G$2921,2,0)</f>
        <v>Втулка під фланець з ПНТ для напорних
труб типу Т,  Д=160мм</v>
      </c>
      <c r="C765" s="3" t="str">
        <f>VLOOKUP(A765,[1]Sheet!B$3:G$2921,3,0)</f>
        <v>шт</v>
      </c>
      <c r="D765" s="4">
        <v>1</v>
      </c>
      <c r="E765" s="5" t="e">
        <f>VLOOKUP(A765,N$3:S$1271,4,FALSE)</f>
        <v>#N/A</v>
      </c>
      <c r="F765" s="6">
        <f t="shared" si="44"/>
        <v>1</v>
      </c>
      <c r="G765" s="7">
        <f>VLOOKUP(A765,[1]Sheet!B$3:G$2921,5,0)</f>
        <v>946.74</v>
      </c>
      <c r="H765" s="5" t="e">
        <f>VLOOKUP(A765,N$3:S$1271,5,FALSE)</f>
        <v>#N/A</v>
      </c>
      <c r="I765" s="6">
        <f t="shared" si="45"/>
        <v>946.74</v>
      </c>
      <c r="J765" s="7">
        <f>VLOOKUP(A765,[1]Sheet!B$3:G$2921,6,0)</f>
        <v>946.74</v>
      </c>
      <c r="K765" s="8" t="e">
        <f t="shared" si="46"/>
        <v>#N/A</v>
      </c>
      <c r="L765" s="6">
        <f t="shared" si="47"/>
        <v>946.74</v>
      </c>
    </row>
    <row r="766" spans="1:12" x14ac:dyDescent="0.25">
      <c r="A766" s="9" t="s">
        <v>765</v>
      </c>
      <c r="B766" s="2" t="str">
        <f>VLOOKUP(A766,[1]Sheet!B$3:G$2921,2,0)</f>
        <v>Бурт поліпропіленовий Д-110  (Wavin)</v>
      </c>
      <c r="C766" s="3" t="str">
        <f>VLOOKUP(A766,[1]Sheet!B$3:G$2921,3,0)</f>
        <v>шт</v>
      </c>
      <c r="D766" s="4">
        <v>3</v>
      </c>
      <c r="E766" s="5" t="e">
        <f>VLOOKUP(A766,N$3:S$1271,4,FALSE)</f>
        <v>#N/A</v>
      </c>
      <c r="F766" s="6">
        <f t="shared" si="44"/>
        <v>3</v>
      </c>
      <c r="G766" s="7">
        <f>VLOOKUP(A766,[1]Sheet!B$3:G$2921,5,0)</f>
        <v>305.29000000000002</v>
      </c>
      <c r="H766" s="5" t="e">
        <f>VLOOKUP(A766,N$3:S$1271,5,FALSE)</f>
        <v>#N/A</v>
      </c>
      <c r="I766" s="6">
        <f t="shared" si="45"/>
        <v>305.29000000000002</v>
      </c>
      <c r="J766" s="7">
        <f>VLOOKUP(A766,[1]Sheet!B$3:G$2921,6,0)</f>
        <v>305.29000000000002</v>
      </c>
      <c r="K766" s="8" t="e">
        <f t="shared" si="46"/>
        <v>#N/A</v>
      </c>
      <c r="L766" s="6">
        <f t="shared" si="47"/>
        <v>305.29000000000002</v>
      </c>
    </row>
    <row r="767" spans="1:12" x14ac:dyDescent="0.25">
      <c r="A767" s="9" t="s">
        <v>766</v>
      </c>
      <c r="B767" s="2" t="str">
        <f>VLOOKUP(A767,[1]Sheet!B$3:G$2921,2,0)</f>
        <v>Труби сталевi електрозварнi прямошовнi iз
сталi марки 20, зовнiшнiй дiаметр 38 мм,
товщина стiнки 2,5 мм</v>
      </c>
      <c r="C767" s="3" t="str">
        <f>VLOOKUP(A767,[1]Sheet!B$3:G$2921,3,0)</f>
        <v>м</v>
      </c>
      <c r="D767" s="4">
        <v>3.395</v>
      </c>
      <c r="E767" s="5" t="e">
        <f>VLOOKUP(A767,N$3:S$1271,4,FALSE)</f>
        <v>#N/A</v>
      </c>
      <c r="F767" s="6">
        <f t="shared" si="44"/>
        <v>3.395</v>
      </c>
      <c r="G767" s="7">
        <f>VLOOKUP(A767,[1]Sheet!B$3:G$2921,5,0)</f>
        <v>94.15</v>
      </c>
      <c r="H767" s="5" t="e">
        <f>VLOOKUP(A767,N$3:S$1271,5,FALSE)</f>
        <v>#N/A</v>
      </c>
      <c r="I767" s="6">
        <f t="shared" si="45"/>
        <v>94.15</v>
      </c>
      <c r="J767" s="7">
        <f>VLOOKUP(A767,[1]Sheet!B$3:G$2921,6,0)</f>
        <v>319.64</v>
      </c>
      <c r="K767" s="8" t="e">
        <f t="shared" si="46"/>
        <v>#N/A</v>
      </c>
      <c r="L767" s="6">
        <f t="shared" si="47"/>
        <v>319.64</v>
      </c>
    </row>
    <row r="768" spans="1:12" x14ac:dyDescent="0.25">
      <c r="A768" s="9" t="s">
        <v>767</v>
      </c>
      <c r="B768" s="2" t="str">
        <f>VLOOKUP(A768,[1]Sheet!B$3:G$2921,2,0)</f>
        <v>Труби сталевi електрозварнi дiаметр 42х3</v>
      </c>
      <c r="C768" s="3" t="str">
        <f>VLOOKUP(A768,[1]Sheet!B$3:G$2921,3,0)</f>
        <v>м</v>
      </c>
      <c r="D768" s="4">
        <v>8.16</v>
      </c>
      <c r="E768" s="5" t="e">
        <f>VLOOKUP(A768,N$3:S$1271,4,FALSE)</f>
        <v>#N/A</v>
      </c>
      <c r="F768" s="6">
        <f t="shared" si="44"/>
        <v>8.16</v>
      </c>
      <c r="G768" s="7">
        <f>VLOOKUP(A768,[1]Sheet!B$3:G$2921,5,0)</f>
        <v>122.5</v>
      </c>
      <c r="H768" s="5" t="e">
        <f>VLOOKUP(A768,N$3:S$1271,5,FALSE)</f>
        <v>#N/A</v>
      </c>
      <c r="I768" s="6">
        <f t="shared" si="45"/>
        <v>122.5</v>
      </c>
      <c r="J768" s="7">
        <f>VLOOKUP(A768,[1]Sheet!B$3:G$2921,6,0)</f>
        <v>49</v>
      </c>
      <c r="K768" s="8" t="e">
        <f t="shared" si="46"/>
        <v>#N/A</v>
      </c>
      <c r="L768" s="6">
        <f t="shared" si="47"/>
        <v>49</v>
      </c>
    </row>
    <row r="769" spans="1:12" x14ac:dyDescent="0.25">
      <c r="A769" s="9" t="s">
        <v>768</v>
      </c>
      <c r="B769" s="2" t="str">
        <f>VLOOKUP(A769,[1]Sheet!B$3:G$2921,2,0)</f>
        <v>Нероз"ємне з'єднання  "поліетилен-сталь"
DN 225/200 мм</v>
      </c>
      <c r="C769" s="3" t="str">
        <f>VLOOKUP(A769,[1]Sheet!B$3:G$2921,3,0)</f>
        <v>шт</v>
      </c>
      <c r="D769" s="4">
        <v>1</v>
      </c>
      <c r="E769" s="5" t="e">
        <f>VLOOKUP(A769,N$3:S$1271,4,FALSE)</f>
        <v>#N/A</v>
      </c>
      <c r="F769" s="6">
        <f t="shared" si="44"/>
        <v>1</v>
      </c>
      <c r="G769" s="7">
        <f>VLOOKUP(A769,[1]Sheet!B$3:G$2921,5,0)</f>
        <v>10694.63</v>
      </c>
      <c r="H769" s="5" t="e">
        <f>VLOOKUP(A769,N$3:S$1271,5,FALSE)</f>
        <v>#N/A</v>
      </c>
      <c r="I769" s="6">
        <f t="shared" si="45"/>
        <v>10694.63</v>
      </c>
      <c r="J769" s="7">
        <f>VLOOKUP(A769,[1]Sheet!B$3:G$2921,6,0)</f>
        <v>10694.63</v>
      </c>
      <c r="K769" s="8" t="e">
        <f t="shared" si="46"/>
        <v>#N/A</v>
      </c>
      <c r="L769" s="6">
        <f t="shared" si="47"/>
        <v>10694.63</v>
      </c>
    </row>
    <row r="770" spans="1:12" x14ac:dyDescent="0.25">
      <c r="A770" s="9" t="s">
        <v>769</v>
      </c>
      <c r="B770" s="2" t="str">
        <f>VLOOKUP(A770,[1]Sheet!B$3:G$2921,2,0)</f>
        <v>Труба  напірна з ПХВ (U-HVC) клейова Ру
до 1,6МПа, зовнiшнiй дiаметр 32х2,4 мм</v>
      </c>
      <c r="C770" s="3" t="str">
        <f>VLOOKUP(A770,[1]Sheet!B$3:G$2921,3,0)</f>
        <v>м</v>
      </c>
      <c r="D770" s="4">
        <v>6.5659999999999998</v>
      </c>
      <c r="E770" s="5" t="e">
        <f>VLOOKUP(A770,N$3:S$1271,4,FALSE)</f>
        <v>#N/A</v>
      </c>
      <c r="F770" s="6">
        <f t="shared" ref="F770:F833" si="48">IFERROR(D770-E770,D770)</f>
        <v>6.5659999999999998</v>
      </c>
      <c r="G770" s="7">
        <f>VLOOKUP(A770,[1]Sheet!B$3:G$2921,5,0)</f>
        <v>57.89</v>
      </c>
      <c r="H770" s="5" t="e">
        <f>VLOOKUP(A770,N$3:S$1271,5,FALSE)</f>
        <v>#N/A</v>
      </c>
      <c r="I770" s="6">
        <f t="shared" ref="I770:I833" si="49">IFERROR(G770-H770,G770)</f>
        <v>57.89</v>
      </c>
      <c r="J770" s="7">
        <f>VLOOKUP(A770,[1]Sheet!B$3:G$2921,6,0)</f>
        <v>380.11</v>
      </c>
      <c r="K770" s="8" t="e">
        <f t="shared" ref="K770:K833" si="50">VLOOKUP(A770,N$3:S$1271,6,FALSE)</f>
        <v>#N/A</v>
      </c>
      <c r="L770" s="6">
        <f t="shared" ref="L770:L833" si="51">IFERROR(J770-K770,J770)</f>
        <v>380.11</v>
      </c>
    </row>
    <row r="771" spans="1:12" x14ac:dyDescent="0.25">
      <c r="A771" s="9" t="s">
        <v>770</v>
      </c>
      <c r="B771" s="2" t="str">
        <f>VLOOKUP(A771,[1]Sheet!B$3:G$2921,2,0)</f>
        <v>Труба напірна  з ПВХ (U-PVC) Ру до 1,6МПа
клейова, дiаметр 50х4,6 мм</v>
      </c>
      <c r="C771" s="3" t="str">
        <f>VLOOKUP(A771,[1]Sheet!B$3:G$2921,3,0)</f>
        <v>м</v>
      </c>
      <c r="D771" s="4">
        <v>9.4600000000000009</v>
      </c>
      <c r="E771" s="5" t="e">
        <f>VLOOKUP(A771,N$3:S$1271,4,FALSE)</f>
        <v>#N/A</v>
      </c>
      <c r="F771" s="6">
        <f t="shared" si="48"/>
        <v>9.4600000000000009</v>
      </c>
      <c r="G771" s="7">
        <f>VLOOKUP(A771,[1]Sheet!B$3:G$2921,5,0)</f>
        <v>209.97</v>
      </c>
      <c r="H771" s="5" t="e">
        <f>VLOOKUP(A771,N$3:S$1271,5,FALSE)</f>
        <v>#N/A</v>
      </c>
      <c r="I771" s="6">
        <f t="shared" si="49"/>
        <v>209.97</v>
      </c>
      <c r="J771" s="7">
        <f>VLOOKUP(A771,[1]Sheet!B$3:G$2921,6,0)</f>
        <v>993.16</v>
      </c>
      <c r="K771" s="8" t="e">
        <f t="shared" si="50"/>
        <v>#N/A</v>
      </c>
      <c r="L771" s="6">
        <f t="shared" si="51"/>
        <v>993.16</v>
      </c>
    </row>
    <row r="772" spans="1:12" x14ac:dyDescent="0.25">
      <c r="A772" s="9" t="s">
        <v>771</v>
      </c>
      <c r="B772" s="2" t="str">
        <f>VLOOKUP(A772,[1]Sheet!B$3:G$2921,2,0)</f>
        <v>Труба напірна  з ПХВ (U-PVC) клейова  Ру
до 1,6МПа,  дiаметр 110х6,6мм</v>
      </c>
      <c r="C772" s="3" t="str">
        <f>VLOOKUP(A772,[1]Sheet!B$3:G$2921,3,0)</f>
        <v>м</v>
      </c>
      <c r="D772" s="4">
        <v>73.703999999999994</v>
      </c>
      <c r="E772" s="5" t="e">
        <f>VLOOKUP(A772,N$3:S$1271,4,FALSE)</f>
        <v>#N/A</v>
      </c>
      <c r="F772" s="6">
        <f t="shared" si="48"/>
        <v>73.703999999999994</v>
      </c>
      <c r="G772" s="7">
        <f>VLOOKUP(A772,[1]Sheet!B$3:G$2921,5,0)</f>
        <v>479.7</v>
      </c>
      <c r="H772" s="5" t="e">
        <f>VLOOKUP(A772,N$3:S$1271,5,FALSE)</f>
        <v>#N/A</v>
      </c>
      <c r="I772" s="6">
        <f t="shared" si="49"/>
        <v>479.7</v>
      </c>
      <c r="J772" s="7">
        <f>VLOOKUP(A772,[1]Sheet!B$3:G$2921,6,0)</f>
        <v>31055.78</v>
      </c>
      <c r="K772" s="8" t="e">
        <f t="shared" si="50"/>
        <v>#N/A</v>
      </c>
      <c r="L772" s="6">
        <f t="shared" si="51"/>
        <v>31055.78</v>
      </c>
    </row>
    <row r="773" spans="1:12" x14ac:dyDescent="0.25">
      <c r="A773" s="9" t="s">
        <v>772</v>
      </c>
      <c r="B773" s="2" t="str">
        <f>VLOOKUP(A773,[1]Sheet!B$3:G$2921,2,0)</f>
        <v>Труба полiвінілхлоридна, гладка Ду-20 мм</v>
      </c>
      <c r="C773" s="3" t="str">
        <f>VLOOKUP(A773,[1]Sheet!B$3:G$2921,3,0)</f>
        <v>м</v>
      </c>
      <c r="D773" s="4">
        <v>405.95999999999992</v>
      </c>
      <c r="E773" s="5" t="e">
        <f>VLOOKUP(A773,N$3:S$1271,4,FALSE)</f>
        <v>#N/A</v>
      </c>
      <c r="F773" s="6">
        <f t="shared" si="48"/>
        <v>405.95999999999992</v>
      </c>
      <c r="G773" s="7">
        <f>VLOOKUP(A773,[1]Sheet!B$3:G$2921,5,0)</f>
        <v>8.6</v>
      </c>
      <c r="H773" s="5" t="e">
        <f>VLOOKUP(A773,N$3:S$1271,5,FALSE)</f>
        <v>#N/A</v>
      </c>
      <c r="I773" s="6">
        <f t="shared" si="49"/>
        <v>8.6</v>
      </c>
      <c r="J773" s="7">
        <f>VLOOKUP(A773,[1]Sheet!B$3:G$2921,6,0)</f>
        <v>1254.4000000000001</v>
      </c>
      <c r="K773" s="8" t="e">
        <f t="shared" si="50"/>
        <v>#N/A</v>
      </c>
      <c r="L773" s="6">
        <f t="shared" si="51"/>
        <v>1254.4000000000001</v>
      </c>
    </row>
    <row r="774" spans="1:12" x14ac:dyDescent="0.25">
      <c r="A774" s="9" t="s">
        <v>773</v>
      </c>
      <c r="B774" s="2" t="str">
        <f>VLOOKUP(A774,[1]Sheet!B$3:G$2921,2,0)</f>
        <v>Труби сталевi електрозварнi прямошовнi iз
сталi марки 20, зовнiшнiй дiаметр 57 мм,
товщина стiнки 3 мм (для гільз)</v>
      </c>
      <c r="C774" s="3" t="str">
        <f>VLOOKUP(A774,[1]Sheet!B$3:G$2921,3,0)</f>
        <v>м</v>
      </c>
      <c r="D774" s="4">
        <v>5</v>
      </c>
      <c r="E774" s="5" t="e">
        <f>VLOOKUP(A774,N$3:S$1271,4,FALSE)</f>
        <v>#N/A</v>
      </c>
      <c r="F774" s="6">
        <f t="shared" si="48"/>
        <v>5</v>
      </c>
      <c r="G774" s="7">
        <f>VLOOKUP(A774,[1]Sheet!B$3:G$2921,5,0)</f>
        <v>141.81</v>
      </c>
      <c r="H774" s="5" t="e">
        <f>VLOOKUP(A774,N$3:S$1271,5,FALSE)</f>
        <v>#N/A</v>
      </c>
      <c r="I774" s="6">
        <f t="shared" si="49"/>
        <v>141.81</v>
      </c>
      <c r="J774" s="7">
        <f>VLOOKUP(A774,[1]Sheet!B$3:G$2921,6,0)</f>
        <v>283.62</v>
      </c>
      <c r="K774" s="8" t="e">
        <f t="shared" si="50"/>
        <v>#N/A</v>
      </c>
      <c r="L774" s="6">
        <f t="shared" si="51"/>
        <v>283.62</v>
      </c>
    </row>
    <row r="775" spans="1:12" x14ac:dyDescent="0.25">
      <c r="A775" s="9" t="s">
        <v>774</v>
      </c>
      <c r="B775" s="2" t="str">
        <f>VLOOKUP(A775,[1]Sheet!B$3:G$2921,2,0)</f>
        <v>Труби полiетиленовi для подачi холодної
води РЕ 100 SDR-17(1,0 МПа), зовнiшнiй
дiаметр 110х6,6 мм</v>
      </c>
      <c r="C775" s="3" t="str">
        <f>VLOOKUP(A775,[1]Sheet!B$3:G$2921,3,0)</f>
        <v>м</v>
      </c>
      <c r="D775" s="4">
        <v>31.84</v>
      </c>
      <c r="E775" s="5" t="e">
        <f>VLOOKUP(A775,N$3:S$1271,4,FALSE)</f>
        <v>#N/A</v>
      </c>
      <c r="F775" s="6">
        <f t="shared" si="48"/>
        <v>31.84</v>
      </c>
      <c r="G775" s="7">
        <f>VLOOKUP(A775,[1]Sheet!B$3:G$2921,5,0)</f>
        <v>370.23</v>
      </c>
      <c r="H775" s="5" t="e">
        <f>VLOOKUP(A775,N$3:S$1271,5,FALSE)</f>
        <v>#N/A</v>
      </c>
      <c r="I775" s="6">
        <f t="shared" si="49"/>
        <v>370.23</v>
      </c>
      <c r="J775" s="7">
        <f>VLOOKUP(A775,[1]Sheet!B$3:G$2921,6,0)</f>
        <v>11788.12</v>
      </c>
      <c r="K775" s="8" t="e">
        <f t="shared" si="50"/>
        <v>#N/A</v>
      </c>
      <c r="L775" s="6">
        <f t="shared" si="51"/>
        <v>11788.12</v>
      </c>
    </row>
    <row r="776" spans="1:12" x14ac:dyDescent="0.25">
      <c r="A776" s="9" t="s">
        <v>775</v>
      </c>
      <c r="B776" s="2" t="str">
        <f>VLOOKUP(A776,[1]Sheet!B$3:G$2921,2,0)</f>
        <v>Труби полiетиленовi для подачi холодної
води РЕ 100 SDR-17(1,0 МПа), зовнiшнiй
дiаметр 225х13,4 мм</v>
      </c>
      <c r="C776" s="3" t="str">
        <f>VLOOKUP(A776,[1]Sheet!B$3:G$2921,3,0)</f>
        <v>м</v>
      </c>
      <c r="D776" s="4">
        <v>56.706000000000003</v>
      </c>
      <c r="E776" s="5" t="e">
        <f>VLOOKUP(A776,N$3:S$1271,4,FALSE)</f>
        <v>#N/A</v>
      </c>
      <c r="F776" s="6">
        <f t="shared" si="48"/>
        <v>56.706000000000003</v>
      </c>
      <c r="G776" s="7">
        <f>VLOOKUP(A776,[1]Sheet!B$3:G$2921,5,0)</f>
        <v>1064.81</v>
      </c>
      <c r="H776" s="5" t="e">
        <f>VLOOKUP(A776,N$3:S$1271,5,FALSE)</f>
        <v>#N/A</v>
      </c>
      <c r="I776" s="6">
        <f t="shared" si="49"/>
        <v>1064.81</v>
      </c>
      <c r="J776" s="7">
        <f>VLOOKUP(A776,[1]Sheet!B$3:G$2921,6,0)</f>
        <v>50701.99</v>
      </c>
      <c r="K776" s="8" t="e">
        <f t="shared" si="50"/>
        <v>#N/A</v>
      </c>
      <c r="L776" s="6">
        <f t="shared" si="51"/>
        <v>50701.99</v>
      </c>
    </row>
    <row r="777" spans="1:12" x14ac:dyDescent="0.25">
      <c r="A777" s="9" t="s">
        <v>776</v>
      </c>
      <c r="B777" s="2" t="str">
        <f>VLOOKUP(A777,[1]Sheet!B$3:G$2921,2,0)</f>
        <v>Труби сталевi зварнi водогазопровiднi з
рiзьбою, чорнi звичайнi неоцинкованi,
дiаметр умовного проходу 20 мм, товщина
стiнки 2,8 мм</v>
      </c>
      <c r="C777" s="3" t="str">
        <f>VLOOKUP(A777,[1]Sheet!B$3:G$2921,3,0)</f>
        <v>м</v>
      </c>
      <c r="D777" s="4">
        <v>8</v>
      </c>
      <c r="E777" s="5" t="e">
        <f>VLOOKUP(A777,N$3:S$1271,4,FALSE)</f>
        <v>#N/A</v>
      </c>
      <c r="F777" s="6">
        <f t="shared" si="48"/>
        <v>8</v>
      </c>
      <c r="G777" s="7">
        <f>VLOOKUP(A777,[1]Sheet!B$3:G$2921,5,0)</f>
        <v>59.31</v>
      </c>
      <c r="H777" s="5" t="e">
        <f>VLOOKUP(A777,N$3:S$1271,5,FALSE)</f>
        <v>#N/A</v>
      </c>
      <c r="I777" s="6">
        <f t="shared" si="49"/>
        <v>59.31</v>
      </c>
      <c r="J777" s="7">
        <f>VLOOKUP(A777,[1]Sheet!B$3:G$2921,6,0)</f>
        <v>474.48</v>
      </c>
      <c r="K777" s="8" t="e">
        <f t="shared" si="50"/>
        <v>#N/A</v>
      </c>
      <c r="L777" s="6">
        <f t="shared" si="51"/>
        <v>474.48</v>
      </c>
    </row>
    <row r="778" spans="1:12" x14ac:dyDescent="0.25">
      <c r="A778" s="9" t="s">
        <v>777</v>
      </c>
      <c r="B778" s="2" t="str">
        <f>VLOOKUP(A778,[1]Sheet!B$3:G$2921,2,0)</f>
        <v>Труби сталевi електрозварнi прямошовнi iз
сталi марки 20, зовнiшнiй дiаметр 76 мм,
товщина стiнки 3,5 мм</v>
      </c>
      <c r="C778" s="3" t="str">
        <f>VLOOKUP(A778,[1]Sheet!B$3:G$2921,3,0)</f>
        <v>м</v>
      </c>
      <c r="D778" s="4">
        <v>25.22</v>
      </c>
      <c r="E778" s="5" t="e">
        <f>VLOOKUP(A778,N$3:S$1271,4,FALSE)</f>
        <v>#N/A</v>
      </c>
      <c r="F778" s="6">
        <f t="shared" si="48"/>
        <v>25.22</v>
      </c>
      <c r="G778" s="7">
        <f>VLOOKUP(A778,[1]Sheet!B$3:G$2921,5,0)</f>
        <v>221.87</v>
      </c>
      <c r="H778" s="5" t="e">
        <f>VLOOKUP(A778,N$3:S$1271,5,FALSE)</f>
        <v>#N/A</v>
      </c>
      <c r="I778" s="6">
        <f t="shared" si="49"/>
        <v>221.87</v>
      </c>
      <c r="J778" s="7">
        <f>VLOOKUP(A778,[1]Sheet!B$3:G$2921,6,0)</f>
        <v>5595.56</v>
      </c>
      <c r="K778" s="8" t="e">
        <f t="shared" si="50"/>
        <v>#N/A</v>
      </c>
      <c r="L778" s="6">
        <f t="shared" si="51"/>
        <v>5595.56</v>
      </c>
    </row>
    <row r="779" spans="1:12" x14ac:dyDescent="0.25">
      <c r="A779" s="9" t="s">
        <v>778</v>
      </c>
      <c r="B779" s="2" t="str">
        <f>VLOOKUP(A779,[1]Sheet!B$3:G$2921,2,0)</f>
        <v>Труба каналізаційна із ПВХ з ущільнюючим
кільцем SN8, SDR34 для зовнішньої
каналізації DN 110х3,2 Wavin</v>
      </c>
      <c r="C779" s="3" t="str">
        <f>VLOOKUP(A779,[1]Sheet!B$3:G$2921,3,0)</f>
        <v>м</v>
      </c>
      <c r="D779" s="4">
        <v>98.004999999999995</v>
      </c>
      <c r="E779" s="5" t="e">
        <f>VLOOKUP(A779,N$3:S$1271,4,FALSE)</f>
        <v>#N/A</v>
      </c>
      <c r="F779" s="6">
        <f t="shared" si="48"/>
        <v>98.004999999999995</v>
      </c>
      <c r="G779" s="7">
        <f>VLOOKUP(A779,[1]Sheet!B$3:G$2921,5,0)</f>
        <v>257.64</v>
      </c>
      <c r="H779" s="5" t="e">
        <f>VLOOKUP(A779,N$3:S$1271,5,FALSE)</f>
        <v>#N/A</v>
      </c>
      <c r="I779" s="6">
        <f t="shared" si="49"/>
        <v>257.64</v>
      </c>
      <c r="J779" s="7">
        <f>VLOOKUP(A779,[1]Sheet!B$3:G$2921,6,0)</f>
        <v>2046.69</v>
      </c>
      <c r="K779" s="8" t="e">
        <f t="shared" si="50"/>
        <v>#N/A</v>
      </c>
      <c r="L779" s="6">
        <f t="shared" si="51"/>
        <v>2046.69</v>
      </c>
    </row>
    <row r="780" spans="1:12" x14ac:dyDescent="0.25">
      <c r="A780" s="9" t="s">
        <v>779</v>
      </c>
      <c r="B780" s="2" t="str">
        <f>VLOOKUP(A780,[1]Sheet!B$3:G$2921,2,0)</f>
        <v>Труба для зовнішньої каналізації із
раструбом ПВХ з ущільнюючим кільцем,
клас S (SN8, SDR34), Dу 160х4,7  Wavin</v>
      </c>
      <c r="C780" s="3" t="str">
        <f>VLOOKUP(A780,[1]Sheet!B$3:G$2921,3,0)</f>
        <v>м</v>
      </c>
      <c r="D780" s="4">
        <v>29.868000000000002</v>
      </c>
      <c r="E780" s="5" t="e">
        <f>VLOOKUP(A780,N$3:S$1271,4,FALSE)</f>
        <v>#N/A</v>
      </c>
      <c r="F780" s="6">
        <f t="shared" si="48"/>
        <v>29.868000000000002</v>
      </c>
      <c r="G780" s="7">
        <f>VLOOKUP(A780,[1]Sheet!B$3:G$2921,5,0)</f>
        <v>417.92</v>
      </c>
      <c r="H780" s="5" t="e">
        <f>VLOOKUP(A780,N$3:S$1271,5,FALSE)</f>
        <v>#N/A</v>
      </c>
      <c r="I780" s="6">
        <f t="shared" si="49"/>
        <v>417.92</v>
      </c>
      <c r="J780" s="7">
        <f>VLOOKUP(A780,[1]Sheet!B$3:G$2921,6,0)</f>
        <v>9120.69</v>
      </c>
      <c r="K780" s="8" t="e">
        <f t="shared" si="50"/>
        <v>#N/A</v>
      </c>
      <c r="L780" s="6">
        <f t="shared" si="51"/>
        <v>9120.69</v>
      </c>
    </row>
    <row r="781" spans="1:12" x14ac:dyDescent="0.25">
      <c r="A781" s="9" t="s">
        <v>780</v>
      </c>
      <c r="B781" s="2" t="str">
        <f>VLOOKUP(A781,[1]Sheet!B$3:G$2921,2,0)</f>
        <v>Труба для зовнішньої каналізації із
раструбом ПВХ з ущільнюючим кільцем,
клас S (SN8, SDR34), Dу 250х7,3  Wavin</v>
      </c>
      <c r="C781" s="3" t="str">
        <f>VLOOKUP(A781,[1]Sheet!B$3:G$2921,3,0)</f>
        <v>м</v>
      </c>
      <c r="D781" s="4">
        <v>24.05</v>
      </c>
      <c r="E781" s="5" t="e">
        <f>VLOOKUP(A781,N$3:S$1271,4,FALSE)</f>
        <v>#N/A</v>
      </c>
      <c r="F781" s="6">
        <f t="shared" si="48"/>
        <v>24.05</v>
      </c>
      <c r="G781" s="7">
        <f>VLOOKUP(A781,[1]Sheet!B$3:G$2921,5,0)</f>
        <v>960.42</v>
      </c>
      <c r="H781" s="5" t="e">
        <f>VLOOKUP(A781,N$3:S$1271,5,FALSE)</f>
        <v>#N/A</v>
      </c>
      <c r="I781" s="6">
        <f t="shared" si="49"/>
        <v>960.42</v>
      </c>
      <c r="J781" s="7">
        <f>VLOOKUP(A781,[1]Sheet!B$3:G$2921,6,0)</f>
        <v>18247.98</v>
      </c>
      <c r="K781" s="8" t="e">
        <f t="shared" si="50"/>
        <v>#N/A</v>
      </c>
      <c r="L781" s="6">
        <f t="shared" si="51"/>
        <v>18247.98</v>
      </c>
    </row>
    <row r="782" spans="1:12" x14ac:dyDescent="0.25">
      <c r="A782" s="9" t="s">
        <v>781</v>
      </c>
      <c r="B782" s="2" t="str">
        <f>VLOOKUP(A782,[1]Sheet!B$3:G$2921,2,0)</f>
        <v>Трійник 88_ клас S (SN8) для зовнішньоі
каналізаціі Dy100/Dy100x88 Wavin</v>
      </c>
      <c r="C782" s="3" t="str">
        <f>VLOOKUP(A782,[1]Sheet!B$3:G$2921,3,0)</f>
        <v>шт</v>
      </c>
      <c r="D782" s="4">
        <v>6</v>
      </c>
      <c r="E782" s="5" t="e">
        <f>VLOOKUP(A782,N$3:S$1271,4,FALSE)</f>
        <v>#N/A</v>
      </c>
      <c r="F782" s="6">
        <f t="shared" si="48"/>
        <v>6</v>
      </c>
      <c r="G782" s="7">
        <f>VLOOKUP(A782,[1]Sheet!B$3:G$2921,5,0)</f>
        <v>184.68</v>
      </c>
      <c r="H782" s="5" t="e">
        <f>VLOOKUP(A782,N$3:S$1271,5,FALSE)</f>
        <v>#N/A</v>
      </c>
      <c r="I782" s="6">
        <f t="shared" si="49"/>
        <v>184.68</v>
      </c>
      <c r="J782" s="7">
        <f>VLOOKUP(A782,[1]Sheet!B$3:G$2921,6,0)</f>
        <v>738.72</v>
      </c>
      <c r="K782" s="8" t="e">
        <f t="shared" si="50"/>
        <v>#N/A</v>
      </c>
      <c r="L782" s="6">
        <f t="shared" si="51"/>
        <v>738.72</v>
      </c>
    </row>
    <row r="783" spans="1:12" x14ac:dyDescent="0.25">
      <c r="A783" s="9" t="s">
        <v>782</v>
      </c>
      <c r="B783" s="2" t="str">
        <f>VLOOKUP(A783,[1]Sheet!B$3:G$2921,2,0)</f>
        <v>Трійник 45_ клас S (SN8) для зовнішньоі
каналізаціі Dy160/Dy110x45 Wavin</v>
      </c>
      <c r="C783" s="3" t="str">
        <f>VLOOKUP(A783,[1]Sheet!B$3:G$2921,3,0)</f>
        <v>шт</v>
      </c>
      <c r="D783" s="4">
        <v>2</v>
      </c>
      <c r="E783" s="5" t="e">
        <f>VLOOKUP(A783,N$3:S$1271,4,FALSE)</f>
        <v>#N/A</v>
      </c>
      <c r="F783" s="6">
        <f t="shared" si="48"/>
        <v>2</v>
      </c>
      <c r="G783" s="7">
        <f>VLOOKUP(A783,[1]Sheet!B$3:G$2921,5,0)</f>
        <v>422.57</v>
      </c>
      <c r="H783" s="5" t="e">
        <f>VLOOKUP(A783,N$3:S$1271,5,FALSE)</f>
        <v>#N/A</v>
      </c>
      <c r="I783" s="6">
        <f t="shared" si="49"/>
        <v>422.57</v>
      </c>
      <c r="J783" s="7">
        <f>VLOOKUP(A783,[1]Sheet!B$3:G$2921,6,0)</f>
        <v>845.14</v>
      </c>
      <c r="K783" s="8" t="e">
        <f t="shared" si="50"/>
        <v>#N/A</v>
      </c>
      <c r="L783" s="6">
        <f t="shared" si="51"/>
        <v>845.14</v>
      </c>
    </row>
    <row r="784" spans="1:12" x14ac:dyDescent="0.25">
      <c r="A784" s="9" t="s">
        <v>783</v>
      </c>
      <c r="B784" s="2" t="str">
        <f>VLOOKUP(A784,[1]Sheet!B$3:G$2921,2,0)</f>
        <v>Трійник 88_ клас S (SN8) для зовнішньоі
каналізаціі Dy160/Dy160x88 Wavin</v>
      </c>
      <c r="C784" s="3" t="str">
        <f>VLOOKUP(A784,[1]Sheet!B$3:G$2921,3,0)</f>
        <v>шт</v>
      </c>
      <c r="D784" s="4">
        <v>1</v>
      </c>
      <c r="E784" s="5" t="e">
        <f>VLOOKUP(A784,N$3:S$1271,4,FALSE)</f>
        <v>#N/A</v>
      </c>
      <c r="F784" s="6">
        <f t="shared" si="48"/>
        <v>1</v>
      </c>
      <c r="G784" s="7">
        <f>VLOOKUP(A784,[1]Sheet!B$3:G$2921,5,0)</f>
        <v>496.32</v>
      </c>
      <c r="H784" s="5" t="e">
        <f>VLOOKUP(A784,N$3:S$1271,5,FALSE)</f>
        <v>#N/A</v>
      </c>
      <c r="I784" s="6">
        <f t="shared" si="49"/>
        <v>496.32</v>
      </c>
      <c r="J784" s="7">
        <f>VLOOKUP(A784,[1]Sheet!B$3:G$2921,6,0)</f>
        <v>496.32</v>
      </c>
      <c r="K784" s="8" t="e">
        <f t="shared" si="50"/>
        <v>#N/A</v>
      </c>
      <c r="L784" s="6">
        <f t="shared" si="51"/>
        <v>496.32</v>
      </c>
    </row>
    <row r="785" spans="1:12" x14ac:dyDescent="0.25">
      <c r="A785" s="9" t="s">
        <v>784</v>
      </c>
      <c r="B785" s="2" t="str">
        <f>VLOOKUP(A785,[1]Sheet!B$3:G$2921,2,0)</f>
        <v>Трійник 45_ клас S (SN8) для зовнішньоі
каналізаціі Dy160/Dy160x45 Wavin</v>
      </c>
      <c r="C785" s="3" t="str">
        <f>VLOOKUP(A785,[1]Sheet!B$3:G$2921,3,0)</f>
        <v>шт</v>
      </c>
      <c r="D785" s="4">
        <v>1</v>
      </c>
      <c r="E785" s="5" t="e">
        <f>VLOOKUP(A785,N$3:S$1271,4,FALSE)</f>
        <v>#N/A</v>
      </c>
      <c r="F785" s="6">
        <f t="shared" si="48"/>
        <v>1</v>
      </c>
      <c r="G785" s="7">
        <f>VLOOKUP(A785,[1]Sheet!B$3:G$2921,5,0)</f>
        <v>644.79</v>
      </c>
      <c r="H785" s="5" t="e">
        <f>VLOOKUP(A785,N$3:S$1271,5,FALSE)</f>
        <v>#N/A</v>
      </c>
      <c r="I785" s="6">
        <f t="shared" si="49"/>
        <v>644.79</v>
      </c>
      <c r="J785" s="7">
        <f>VLOOKUP(A785,[1]Sheet!B$3:G$2921,6,0)</f>
        <v>644.79</v>
      </c>
      <c r="K785" s="8" t="e">
        <f t="shared" si="50"/>
        <v>#N/A</v>
      </c>
      <c r="L785" s="6">
        <f t="shared" si="51"/>
        <v>644.79</v>
      </c>
    </row>
    <row r="786" spans="1:12" x14ac:dyDescent="0.25">
      <c r="A786" s="9" t="s">
        <v>785</v>
      </c>
      <c r="B786" s="2" t="str">
        <f>VLOOKUP(A786,[1]Sheet!B$3:G$2921,2,0)</f>
        <v>Трійник 87_ клас S (SN8) для зовнішньоі
каналізаціі Dy250/Dy200х87 Wavin</v>
      </c>
      <c r="C786" s="3" t="str">
        <f>VLOOKUP(A786,[1]Sheet!B$3:G$2921,3,0)</f>
        <v>шт</v>
      </c>
      <c r="D786" s="4">
        <v>1</v>
      </c>
      <c r="E786" s="5" t="e">
        <f>VLOOKUP(A786,N$3:S$1271,4,FALSE)</f>
        <v>#N/A</v>
      </c>
      <c r="F786" s="6">
        <f t="shared" si="48"/>
        <v>1</v>
      </c>
      <c r="G786" s="7">
        <f>VLOOKUP(A786,[1]Sheet!B$3:G$2921,5,0)</f>
        <v>7472.86</v>
      </c>
      <c r="H786" s="5" t="e">
        <f>VLOOKUP(A786,N$3:S$1271,5,FALSE)</f>
        <v>#N/A</v>
      </c>
      <c r="I786" s="6">
        <f t="shared" si="49"/>
        <v>7472.86</v>
      </c>
      <c r="J786" s="7">
        <f>VLOOKUP(A786,[1]Sheet!B$3:G$2921,6,0)</f>
        <v>7472.86</v>
      </c>
      <c r="K786" s="8" t="e">
        <f t="shared" si="50"/>
        <v>#N/A</v>
      </c>
      <c r="L786" s="6">
        <f t="shared" si="51"/>
        <v>7472.86</v>
      </c>
    </row>
    <row r="787" spans="1:12" x14ac:dyDescent="0.25">
      <c r="A787" s="9" t="s">
        <v>786</v>
      </c>
      <c r="B787" s="2" t="str">
        <f>VLOOKUP(A787,[1]Sheet!B$3:G$2921,2,0)</f>
        <v>Трійник 87_ клас S (SN8) для зовнішньоі
каналізаціі Dy250/Dy250х87 Wavin</v>
      </c>
      <c r="C787" s="3" t="str">
        <f>VLOOKUP(A787,[1]Sheet!B$3:G$2921,3,0)</f>
        <v>шт</v>
      </c>
      <c r="D787" s="4">
        <v>1</v>
      </c>
      <c r="E787" s="5" t="e">
        <f>VLOOKUP(A787,N$3:S$1271,4,FALSE)</f>
        <v>#N/A</v>
      </c>
      <c r="F787" s="6">
        <f t="shared" si="48"/>
        <v>1</v>
      </c>
      <c r="G787" s="7">
        <f>VLOOKUP(A787,[1]Sheet!B$3:G$2921,5,0)</f>
        <v>8716.4699999999993</v>
      </c>
      <c r="H787" s="5" t="e">
        <f>VLOOKUP(A787,N$3:S$1271,5,FALSE)</f>
        <v>#N/A</v>
      </c>
      <c r="I787" s="6">
        <f t="shared" si="49"/>
        <v>8716.4699999999993</v>
      </c>
      <c r="J787" s="7">
        <f>VLOOKUP(A787,[1]Sheet!B$3:G$2921,6,0)</f>
        <v>8716.4699999999993</v>
      </c>
      <c r="K787" s="8" t="e">
        <f t="shared" si="50"/>
        <v>#N/A</v>
      </c>
      <c r="L787" s="6">
        <f t="shared" si="51"/>
        <v>8716.4699999999993</v>
      </c>
    </row>
    <row r="788" spans="1:12" x14ac:dyDescent="0.25">
      <c r="A788" s="9" t="s">
        <v>787</v>
      </c>
      <c r="B788" s="2" t="str">
        <f>VLOOKUP(A788,[1]Sheet!B$3:G$2921,2,0)</f>
        <v>Трійник 45_ клас S (SN8) для зовнішньоі
каналізаціі Dy250/Dy200х45 Wavin</v>
      </c>
      <c r="C788" s="3" t="str">
        <f>VLOOKUP(A788,[1]Sheet!B$3:G$2921,3,0)</f>
        <v>шт</v>
      </c>
      <c r="D788" s="4">
        <v>1</v>
      </c>
      <c r="E788" s="5" t="e">
        <f>VLOOKUP(A788,N$3:S$1271,4,FALSE)</f>
        <v>#N/A</v>
      </c>
      <c r="F788" s="6">
        <f t="shared" si="48"/>
        <v>1</v>
      </c>
      <c r="G788" s="7">
        <f>VLOOKUP(A788,[1]Sheet!B$3:G$2921,5,0)</f>
        <v>13937.19</v>
      </c>
      <c r="H788" s="5" t="e">
        <f>VLOOKUP(A788,N$3:S$1271,5,FALSE)</f>
        <v>#N/A</v>
      </c>
      <c r="I788" s="6">
        <f t="shared" si="49"/>
        <v>13937.19</v>
      </c>
      <c r="J788" s="7">
        <f>VLOOKUP(A788,[1]Sheet!B$3:G$2921,6,0)</f>
        <v>13937.19</v>
      </c>
      <c r="K788" s="8" t="e">
        <f t="shared" si="50"/>
        <v>#N/A</v>
      </c>
      <c r="L788" s="6">
        <f t="shared" si="51"/>
        <v>13937.19</v>
      </c>
    </row>
    <row r="789" spans="1:12" x14ac:dyDescent="0.25">
      <c r="A789" s="9" t="s">
        <v>788</v>
      </c>
      <c r="B789" s="2" t="str">
        <f>VLOOKUP(A789,[1]Sheet!B$3:G$2921,2,0)</f>
        <v>Відвід 45_ з ущільнюючим кільцем клас S
(SN8) для зовнішньоі каналізаціі Dy110x45
Wavin</v>
      </c>
      <c r="C789" s="3" t="str">
        <f>VLOOKUP(A789,[1]Sheet!B$3:G$2921,3,0)</f>
        <v>шт</v>
      </c>
      <c r="D789" s="4">
        <v>6</v>
      </c>
      <c r="E789" s="5" t="e">
        <f>VLOOKUP(A789,N$3:S$1271,4,FALSE)</f>
        <v>#N/A</v>
      </c>
      <c r="F789" s="6">
        <f t="shared" si="48"/>
        <v>6</v>
      </c>
      <c r="G789" s="7">
        <f>VLOOKUP(A789,[1]Sheet!B$3:G$2921,5,0)</f>
        <v>131.47</v>
      </c>
      <c r="H789" s="5" t="e">
        <f>VLOOKUP(A789,N$3:S$1271,5,FALSE)</f>
        <v>#N/A</v>
      </c>
      <c r="I789" s="6">
        <f t="shared" si="49"/>
        <v>131.47</v>
      </c>
      <c r="J789" s="7">
        <f>VLOOKUP(A789,[1]Sheet!B$3:G$2921,6,0)</f>
        <v>262.94</v>
      </c>
      <c r="K789" s="8" t="e">
        <f t="shared" si="50"/>
        <v>#N/A</v>
      </c>
      <c r="L789" s="6">
        <f t="shared" si="51"/>
        <v>262.94</v>
      </c>
    </row>
    <row r="790" spans="1:12" x14ac:dyDescent="0.25">
      <c r="A790" s="9" t="s">
        <v>789</v>
      </c>
      <c r="B790" s="2" t="str">
        <f>VLOOKUP(A790,[1]Sheet!B$3:G$2921,2,0)</f>
        <v>Відвід 88_ з ущільнюючим кільцем клас S
(SN8) для зовнішньоі каналізаціі Dy110x88
Wavin</v>
      </c>
      <c r="C790" s="3" t="str">
        <f>VLOOKUP(A790,[1]Sheet!B$3:G$2921,3,0)</f>
        <v>шт</v>
      </c>
      <c r="D790" s="4">
        <v>1</v>
      </c>
      <c r="E790" s="5" t="e">
        <f>VLOOKUP(A790,N$3:S$1271,4,FALSE)</f>
        <v>#N/A</v>
      </c>
      <c r="F790" s="6">
        <f t="shared" si="48"/>
        <v>1</v>
      </c>
      <c r="G790" s="7">
        <f>VLOOKUP(A790,[1]Sheet!B$3:G$2921,5,0)</f>
        <v>124.79</v>
      </c>
      <c r="H790" s="5" t="e">
        <f>VLOOKUP(A790,N$3:S$1271,5,FALSE)</f>
        <v>#N/A</v>
      </c>
      <c r="I790" s="6">
        <f t="shared" si="49"/>
        <v>124.79</v>
      </c>
      <c r="J790" s="7">
        <f>VLOOKUP(A790,[1]Sheet!B$3:G$2921,6,0)</f>
        <v>124.79</v>
      </c>
      <c r="K790" s="8" t="e">
        <f t="shared" si="50"/>
        <v>#N/A</v>
      </c>
      <c r="L790" s="6">
        <f t="shared" si="51"/>
        <v>124.79</v>
      </c>
    </row>
    <row r="791" spans="1:12" x14ac:dyDescent="0.25">
      <c r="A791" s="9" t="s">
        <v>790</v>
      </c>
      <c r="B791" s="2" t="str">
        <f>VLOOKUP(A791,[1]Sheet!B$3:G$2921,2,0)</f>
        <v>Відвід 45_ з ущільнюючим кільцем клас S
(SN8) для зовнішньоі каналізаціі Dy160x45
Wavin</v>
      </c>
      <c r="C791" s="3" t="str">
        <f>VLOOKUP(A791,[1]Sheet!B$3:G$2921,3,0)</f>
        <v>шт</v>
      </c>
      <c r="D791" s="4">
        <v>1</v>
      </c>
      <c r="E791" s="5" t="e">
        <f>VLOOKUP(A791,N$3:S$1271,4,FALSE)</f>
        <v>#N/A</v>
      </c>
      <c r="F791" s="6">
        <f t="shared" si="48"/>
        <v>1</v>
      </c>
      <c r="G791" s="7">
        <f>VLOOKUP(A791,[1]Sheet!B$3:G$2921,5,0)</f>
        <v>279.89</v>
      </c>
      <c r="H791" s="5" t="e">
        <f>VLOOKUP(A791,N$3:S$1271,5,FALSE)</f>
        <v>#N/A</v>
      </c>
      <c r="I791" s="6">
        <f t="shared" si="49"/>
        <v>279.89</v>
      </c>
      <c r="J791" s="7">
        <f>VLOOKUP(A791,[1]Sheet!B$3:G$2921,6,0)</f>
        <v>279.89</v>
      </c>
      <c r="K791" s="8" t="e">
        <f t="shared" si="50"/>
        <v>#N/A</v>
      </c>
      <c r="L791" s="6">
        <f t="shared" si="51"/>
        <v>279.89</v>
      </c>
    </row>
    <row r="792" spans="1:12" x14ac:dyDescent="0.25">
      <c r="A792" s="9" t="s">
        <v>791</v>
      </c>
      <c r="B792" s="2" t="str">
        <f>VLOOKUP(A792,[1]Sheet!B$3:G$2921,2,0)</f>
        <v>Відвід 88_ з ущільнюючим кільцем клас S
(SN8) для зовнішньоі каналізаціі Dy160x88
Wavin</v>
      </c>
      <c r="C792" s="3" t="str">
        <f>VLOOKUP(A792,[1]Sheet!B$3:G$2921,3,0)</f>
        <v>шт</v>
      </c>
      <c r="D792" s="4">
        <v>1</v>
      </c>
      <c r="E792" s="5" t="e">
        <f>VLOOKUP(A792,N$3:S$1271,4,FALSE)</f>
        <v>#N/A</v>
      </c>
      <c r="F792" s="6">
        <f t="shared" si="48"/>
        <v>1</v>
      </c>
      <c r="G792" s="7">
        <f>VLOOKUP(A792,[1]Sheet!B$3:G$2921,5,0)</f>
        <v>362.61</v>
      </c>
      <c r="H792" s="5" t="e">
        <f>VLOOKUP(A792,N$3:S$1271,5,FALSE)</f>
        <v>#N/A</v>
      </c>
      <c r="I792" s="6">
        <f t="shared" si="49"/>
        <v>362.61</v>
      </c>
      <c r="J792" s="7">
        <f>VLOOKUP(A792,[1]Sheet!B$3:G$2921,6,0)</f>
        <v>362.61</v>
      </c>
      <c r="K792" s="8" t="e">
        <f t="shared" si="50"/>
        <v>#N/A</v>
      </c>
      <c r="L792" s="6">
        <f t="shared" si="51"/>
        <v>362.61</v>
      </c>
    </row>
    <row r="793" spans="1:12" x14ac:dyDescent="0.25">
      <c r="A793" s="9" t="s">
        <v>792</v>
      </c>
      <c r="B793" s="2" t="str">
        <f>VLOOKUP(A793,[1]Sheet!B$3:G$2921,2,0)</f>
        <v>Відвід 45_ з ущільнюючим кільцем клас S
(SN8) для зовнішньоі каналізаціі Dy250х45
Wavin</v>
      </c>
      <c r="C793" s="3" t="str">
        <f>VLOOKUP(A793,[1]Sheet!B$3:G$2921,3,0)</f>
        <v>шт</v>
      </c>
      <c r="D793" s="4">
        <v>3</v>
      </c>
      <c r="E793" s="5" t="e">
        <f>VLOOKUP(A793,N$3:S$1271,4,FALSE)</f>
        <v>#N/A</v>
      </c>
      <c r="F793" s="6">
        <f t="shared" si="48"/>
        <v>3</v>
      </c>
      <c r="G793" s="7">
        <f>VLOOKUP(A793,[1]Sheet!B$3:G$2921,5,0)</f>
        <v>5164.49</v>
      </c>
      <c r="H793" s="5" t="e">
        <f>VLOOKUP(A793,N$3:S$1271,5,FALSE)</f>
        <v>#N/A</v>
      </c>
      <c r="I793" s="6">
        <f t="shared" si="49"/>
        <v>5164.49</v>
      </c>
      <c r="J793" s="7">
        <f>VLOOKUP(A793,[1]Sheet!B$3:G$2921,6,0)</f>
        <v>15493.47</v>
      </c>
      <c r="K793" s="8" t="e">
        <f t="shared" si="50"/>
        <v>#N/A</v>
      </c>
      <c r="L793" s="6">
        <f t="shared" si="51"/>
        <v>15493.47</v>
      </c>
    </row>
    <row r="794" spans="1:12" x14ac:dyDescent="0.25">
      <c r="A794" s="9" t="s">
        <v>793</v>
      </c>
      <c r="B794" s="2" t="str">
        <f>VLOOKUP(A794,[1]Sheet!B$3:G$2921,2,0)</f>
        <v>Муфта -фланец для ПВХ труб DN150</v>
      </c>
      <c r="C794" s="3" t="str">
        <f>VLOOKUP(A794,[1]Sheet!B$3:G$2921,3,0)</f>
        <v>шт</v>
      </c>
      <c r="D794" s="4">
        <v>4</v>
      </c>
      <c r="E794" s="5" t="e">
        <f>VLOOKUP(A794,N$3:S$1271,4,FALSE)</f>
        <v>#N/A</v>
      </c>
      <c r="F794" s="6">
        <f t="shared" si="48"/>
        <v>4</v>
      </c>
      <c r="G794" s="7">
        <f>VLOOKUP(A794,[1]Sheet!B$3:G$2921,5,0)</f>
        <v>3528.99</v>
      </c>
      <c r="H794" s="5" t="e">
        <f>VLOOKUP(A794,N$3:S$1271,5,FALSE)</f>
        <v>#N/A</v>
      </c>
      <c r="I794" s="6">
        <f t="shared" si="49"/>
        <v>3528.99</v>
      </c>
      <c r="J794" s="7">
        <f>VLOOKUP(A794,[1]Sheet!B$3:G$2921,6,0)</f>
        <v>14115.96</v>
      </c>
      <c r="K794" s="8" t="e">
        <f t="shared" si="50"/>
        <v>#N/A</v>
      </c>
      <c r="L794" s="6">
        <f t="shared" si="51"/>
        <v>14115.96</v>
      </c>
    </row>
    <row r="795" spans="1:12" x14ac:dyDescent="0.25">
      <c r="A795" s="9" t="s">
        <v>794</v>
      </c>
      <c r="B795" s="2" t="str">
        <f>VLOOKUP(A795,[1]Sheet!B$3:G$2921,2,0)</f>
        <v>Заглушка внутрішня SN4 для зовнішньоі
каналізаціі Dy110 Wavin</v>
      </c>
      <c r="C795" s="3" t="str">
        <f>VLOOKUP(A795,[1]Sheet!B$3:G$2921,3,0)</f>
        <v>шт</v>
      </c>
      <c r="D795" s="4">
        <v>6</v>
      </c>
      <c r="E795" s="5" t="e">
        <f>VLOOKUP(A795,N$3:S$1271,4,FALSE)</f>
        <v>#N/A</v>
      </c>
      <c r="F795" s="6">
        <f t="shared" si="48"/>
        <v>6</v>
      </c>
      <c r="G795" s="7">
        <f>VLOOKUP(A795,[1]Sheet!B$3:G$2921,5,0)</f>
        <v>13.46</v>
      </c>
      <c r="H795" s="5" t="e">
        <f>VLOOKUP(A795,N$3:S$1271,5,FALSE)</f>
        <v>#N/A</v>
      </c>
      <c r="I795" s="6">
        <f t="shared" si="49"/>
        <v>13.46</v>
      </c>
      <c r="J795" s="7">
        <f>VLOOKUP(A795,[1]Sheet!B$3:G$2921,6,0)</f>
        <v>53.84</v>
      </c>
      <c r="K795" s="8" t="e">
        <f t="shared" si="50"/>
        <v>#N/A</v>
      </c>
      <c r="L795" s="6">
        <f t="shared" si="51"/>
        <v>53.84</v>
      </c>
    </row>
    <row r="796" spans="1:12" x14ac:dyDescent="0.25">
      <c r="A796" s="9" t="s">
        <v>795</v>
      </c>
      <c r="B796" s="2" t="str">
        <f>VLOOKUP(A796,[1]Sheet!B$3:G$2921,2,0)</f>
        <v>Заглушка внутрішня SN4 для зовнішньоі
каналізаціі Dy160 Wavin</v>
      </c>
      <c r="C796" s="3" t="str">
        <f>VLOOKUP(A796,[1]Sheet!B$3:G$2921,3,0)</f>
        <v>шт</v>
      </c>
      <c r="D796" s="4">
        <v>2</v>
      </c>
      <c r="E796" s="5" t="e">
        <f>VLOOKUP(A796,N$3:S$1271,4,FALSE)</f>
        <v>#N/A</v>
      </c>
      <c r="F796" s="6">
        <f t="shared" si="48"/>
        <v>2</v>
      </c>
      <c r="G796" s="7">
        <f>VLOOKUP(A796,[1]Sheet!B$3:G$2921,5,0)</f>
        <v>48.78</v>
      </c>
      <c r="H796" s="5" t="e">
        <f>VLOOKUP(A796,N$3:S$1271,5,FALSE)</f>
        <v>#N/A</v>
      </c>
      <c r="I796" s="6">
        <f t="shared" si="49"/>
        <v>48.78</v>
      </c>
      <c r="J796" s="7">
        <f>VLOOKUP(A796,[1]Sheet!B$3:G$2921,6,0)</f>
        <v>97.56</v>
      </c>
      <c r="K796" s="8" t="e">
        <f t="shared" si="50"/>
        <v>#N/A</v>
      </c>
      <c r="L796" s="6">
        <f t="shared" si="51"/>
        <v>97.56</v>
      </c>
    </row>
    <row r="797" spans="1:12" x14ac:dyDescent="0.25">
      <c r="A797" s="9" t="s">
        <v>796</v>
      </c>
      <c r="B797" s="2" t="str">
        <f>VLOOKUP(A797,[1]Sheet!B$3:G$2921,2,0)</f>
        <v>Заглушка внутрішня SN4 для зовнішньоі
каналізаціі Dy250 Wavin</v>
      </c>
      <c r="C797" s="3" t="str">
        <f>VLOOKUP(A797,[1]Sheet!B$3:G$2921,3,0)</f>
        <v>шт</v>
      </c>
      <c r="D797" s="4">
        <v>3</v>
      </c>
      <c r="E797" s="5" t="e">
        <f>VLOOKUP(A797,N$3:S$1271,4,FALSE)</f>
        <v>#N/A</v>
      </c>
      <c r="F797" s="6">
        <f t="shared" si="48"/>
        <v>3</v>
      </c>
      <c r="G797" s="7">
        <f>VLOOKUP(A797,[1]Sheet!B$3:G$2921,5,0)</f>
        <v>1432.9</v>
      </c>
      <c r="H797" s="5" t="e">
        <f>VLOOKUP(A797,N$3:S$1271,5,FALSE)</f>
        <v>#N/A</v>
      </c>
      <c r="I797" s="6">
        <f t="shared" si="49"/>
        <v>1432.9</v>
      </c>
      <c r="J797" s="7">
        <f>VLOOKUP(A797,[1]Sheet!B$3:G$2921,6,0)</f>
        <v>4298.7</v>
      </c>
      <c r="K797" s="8" t="e">
        <f t="shared" si="50"/>
        <v>#N/A</v>
      </c>
      <c r="L797" s="6">
        <f t="shared" si="51"/>
        <v>4298.7</v>
      </c>
    </row>
    <row r="798" spans="1:12" x14ac:dyDescent="0.25">
      <c r="A798" s="9" t="s">
        <v>797</v>
      </c>
      <c r="B798" s="2" t="str">
        <f>VLOOKUP(A798,[1]Sheet!B$3:G$2921,2,0)</f>
        <v>Труби сталевi електрозварнi прямошовнi iз
сталi марки 20, зовнiшнiй дiаметр 89 мм,
товщина стiнки 3,5 мм</v>
      </c>
      <c r="C798" s="3" t="str">
        <f>VLOOKUP(A798,[1]Sheet!B$3:G$2921,3,0)</f>
        <v>м</v>
      </c>
      <c r="D798" s="4">
        <v>97</v>
      </c>
      <c r="E798" s="5" t="e">
        <f>VLOOKUP(A798,N$3:S$1271,4,FALSE)</f>
        <v>#N/A</v>
      </c>
      <c r="F798" s="6">
        <f t="shared" si="48"/>
        <v>97</v>
      </c>
      <c r="G798" s="7">
        <f>VLOOKUP(A798,[1]Sheet!B$3:G$2921,5,0)</f>
        <v>261.57</v>
      </c>
      <c r="H798" s="5" t="e">
        <f>VLOOKUP(A798,N$3:S$1271,5,FALSE)</f>
        <v>#N/A</v>
      </c>
      <c r="I798" s="6">
        <f t="shared" si="49"/>
        <v>261.57</v>
      </c>
      <c r="J798" s="7">
        <f>VLOOKUP(A798,[1]Sheet!B$3:G$2921,6,0)</f>
        <v>25372.29</v>
      </c>
      <c r="K798" s="8" t="e">
        <f t="shared" si="50"/>
        <v>#N/A</v>
      </c>
      <c r="L798" s="6">
        <f t="shared" si="51"/>
        <v>25372.29</v>
      </c>
    </row>
    <row r="799" spans="1:12" x14ac:dyDescent="0.25">
      <c r="A799" s="9" t="s">
        <v>798</v>
      </c>
      <c r="B799" s="2" t="str">
        <f>VLOOKUP(A799,[1]Sheet!B$3:G$2921,2,0)</f>
        <v>Труби сталевi електрозварнi прямошовнi iз
сталi марки 20, зовнiшнiй дiаметр 89 мм,
товщина стiнки 4 мм (для гільз)</v>
      </c>
      <c r="C799" s="3" t="str">
        <f>VLOOKUP(A799,[1]Sheet!B$3:G$2921,3,0)</f>
        <v>м</v>
      </c>
      <c r="D799" s="4">
        <v>0.5</v>
      </c>
      <c r="E799" s="5" t="e">
        <f>VLOOKUP(A799,N$3:S$1271,4,FALSE)</f>
        <v>#N/A</v>
      </c>
      <c r="F799" s="6">
        <f t="shared" si="48"/>
        <v>0.5</v>
      </c>
      <c r="G799" s="7">
        <f>VLOOKUP(A799,[1]Sheet!B$3:G$2921,5,0)</f>
        <v>297.37</v>
      </c>
      <c r="H799" s="5" t="e">
        <f>VLOOKUP(A799,N$3:S$1271,5,FALSE)</f>
        <v>#N/A</v>
      </c>
      <c r="I799" s="6">
        <f t="shared" si="49"/>
        <v>297.37</v>
      </c>
      <c r="J799" s="7">
        <f>VLOOKUP(A799,[1]Sheet!B$3:G$2921,6,0)</f>
        <v>148.69</v>
      </c>
      <c r="K799" s="8" t="e">
        <f t="shared" si="50"/>
        <v>#N/A</v>
      </c>
      <c r="L799" s="6">
        <f t="shared" si="51"/>
        <v>148.69</v>
      </c>
    </row>
    <row r="800" spans="1:12" x14ac:dyDescent="0.25">
      <c r="A800" s="9" t="s">
        <v>799</v>
      </c>
      <c r="B800" s="2" t="str">
        <f>VLOOKUP(A800,[1]Sheet!B$3:G$2921,2,0)</f>
        <v>Муфта протипожежна РТМК для труби D25</v>
      </c>
      <c r="C800" s="3" t="str">
        <f>VLOOKUP(A800,[1]Sheet!B$3:G$2921,3,0)</f>
        <v>шт</v>
      </c>
      <c r="D800" s="4">
        <v>5</v>
      </c>
      <c r="E800" s="5" t="e">
        <f>VLOOKUP(A800,N$3:S$1271,4,FALSE)</f>
        <v>#N/A</v>
      </c>
      <c r="F800" s="6">
        <f t="shared" si="48"/>
        <v>5</v>
      </c>
      <c r="G800" s="7">
        <f>VLOOKUP(A800,[1]Sheet!B$3:G$2921,5,0)</f>
        <v>289.66000000000003</v>
      </c>
      <c r="H800" s="5" t="e">
        <f>VLOOKUP(A800,N$3:S$1271,5,FALSE)</f>
        <v>#N/A</v>
      </c>
      <c r="I800" s="6">
        <f t="shared" si="49"/>
        <v>289.66000000000003</v>
      </c>
      <c r="J800" s="7">
        <f>VLOOKUP(A800,[1]Sheet!B$3:G$2921,6,0)</f>
        <v>579.32000000000005</v>
      </c>
      <c r="K800" s="8" t="e">
        <f t="shared" si="50"/>
        <v>#N/A</v>
      </c>
      <c r="L800" s="6">
        <f t="shared" si="51"/>
        <v>579.32000000000005</v>
      </c>
    </row>
    <row r="801" spans="1:12" x14ac:dyDescent="0.25">
      <c r="A801" s="9" t="s">
        <v>800</v>
      </c>
      <c r="B801" s="2" t="str">
        <f>VLOOKUP(A801,[1]Sheet!B$3:G$2921,2,0)</f>
        <v>Труби сталевi електрозварнi прямошовнi iз
сталi марки 20, зовнiшнiй дiаметр 108 мм,
товщина стiнки 3,5 мм</v>
      </c>
      <c r="C801" s="3" t="str">
        <f>VLOOKUP(A801,[1]Sheet!B$3:G$2921,3,0)</f>
        <v>м</v>
      </c>
      <c r="D801" s="4">
        <v>0.88</v>
      </c>
      <c r="E801" s="5" t="e">
        <f>VLOOKUP(A801,N$3:S$1271,4,FALSE)</f>
        <v>#N/A</v>
      </c>
      <c r="F801" s="6">
        <f t="shared" si="48"/>
        <v>0.88</v>
      </c>
      <c r="G801" s="7">
        <f>VLOOKUP(A801,[1]Sheet!B$3:G$2921,5,0)</f>
        <v>327.35000000000002</v>
      </c>
      <c r="H801" s="5" t="e">
        <f>VLOOKUP(A801,N$3:S$1271,5,FALSE)</f>
        <v>#N/A</v>
      </c>
      <c r="I801" s="6">
        <f t="shared" si="49"/>
        <v>327.35000000000002</v>
      </c>
      <c r="J801" s="7">
        <f>VLOOKUP(A801,[1]Sheet!B$3:G$2921,6,0)</f>
        <v>288.07</v>
      </c>
      <c r="K801" s="8" t="e">
        <f t="shared" si="50"/>
        <v>#N/A</v>
      </c>
      <c r="L801" s="6">
        <f t="shared" si="51"/>
        <v>288.07</v>
      </c>
    </row>
    <row r="802" spans="1:12" x14ac:dyDescent="0.25">
      <c r="A802" s="9" t="s">
        <v>801</v>
      </c>
      <c r="B802" s="2" t="str">
        <f>VLOOKUP(A802,[1]Sheet!B$3:G$2921,2,0)</f>
        <v>Труби сталевi електрозварнi прямошовнi iз
сталi марки 20, зовнiшнiй дiаметр 133 мм,
товщина стiнки 4 мм</v>
      </c>
      <c r="C802" s="3" t="str">
        <f>VLOOKUP(A802,[1]Sheet!B$3:G$2921,3,0)</f>
        <v>м</v>
      </c>
      <c r="D802" s="4">
        <v>2.48</v>
      </c>
      <c r="E802" s="5" t="e">
        <f>VLOOKUP(A802,N$3:S$1271,4,FALSE)</f>
        <v>#N/A</v>
      </c>
      <c r="F802" s="6">
        <f t="shared" si="48"/>
        <v>2.48</v>
      </c>
      <c r="G802" s="7">
        <f>VLOOKUP(A802,[1]Sheet!B$3:G$2921,5,0)</f>
        <v>454.15</v>
      </c>
      <c r="H802" s="5" t="e">
        <f>VLOOKUP(A802,N$3:S$1271,5,FALSE)</f>
        <v>#N/A</v>
      </c>
      <c r="I802" s="6">
        <f t="shared" si="49"/>
        <v>454.15</v>
      </c>
      <c r="J802" s="7">
        <f>VLOOKUP(A802,[1]Sheet!B$3:G$2921,6,0)</f>
        <v>1126.29</v>
      </c>
      <c r="K802" s="8" t="e">
        <f t="shared" si="50"/>
        <v>#N/A</v>
      </c>
      <c r="L802" s="6">
        <f t="shared" si="51"/>
        <v>1126.29</v>
      </c>
    </row>
    <row r="803" spans="1:12" x14ac:dyDescent="0.25">
      <c r="A803" s="9" t="s">
        <v>802</v>
      </c>
      <c r="B803" s="2" t="str">
        <f>VLOOKUP(A803,[1]Sheet!B$3:G$2921,2,0)</f>
        <v>Трубка для конденсату гладка ПВХ d=16</v>
      </c>
      <c r="C803" s="3" t="str">
        <f>VLOOKUP(A803,[1]Sheet!B$3:G$2921,3,0)</f>
        <v>м</v>
      </c>
      <c r="D803" s="4">
        <v>10</v>
      </c>
      <c r="E803" s="5" t="e">
        <f>VLOOKUP(A803,N$3:S$1271,4,FALSE)</f>
        <v>#N/A</v>
      </c>
      <c r="F803" s="6">
        <f t="shared" si="48"/>
        <v>10</v>
      </c>
      <c r="G803" s="7">
        <f>VLOOKUP(A803,[1]Sheet!B$3:G$2921,5,0)</f>
        <v>25.36</v>
      </c>
      <c r="H803" s="5" t="e">
        <f>VLOOKUP(A803,N$3:S$1271,5,FALSE)</f>
        <v>#N/A</v>
      </c>
      <c r="I803" s="6">
        <f t="shared" si="49"/>
        <v>25.36</v>
      </c>
      <c r="J803" s="7">
        <f>VLOOKUP(A803,[1]Sheet!B$3:G$2921,6,0)</f>
        <v>253.6</v>
      </c>
      <c r="K803" s="8" t="e">
        <f t="shared" si="50"/>
        <v>#N/A</v>
      </c>
      <c r="L803" s="6">
        <f t="shared" si="51"/>
        <v>253.6</v>
      </c>
    </row>
    <row r="804" spans="1:12" x14ac:dyDescent="0.25">
      <c r="A804" s="9" t="s">
        <v>803</v>
      </c>
      <c r="B804" s="2" t="str">
        <f>VLOOKUP(A804,[1]Sheet!B$3:G$2921,2,0)</f>
        <v>Труби полiпропiленовi PN 16 для теплої i
холодної води дiам. 20х2,8 мм</v>
      </c>
      <c r="C804" s="3" t="str">
        <f>VLOOKUP(A804,[1]Sheet!B$3:G$2921,3,0)</f>
        <v>м</v>
      </c>
      <c r="D804" s="4">
        <v>49.445</v>
      </c>
      <c r="E804" s="5" t="e">
        <f>VLOOKUP(A804,N$3:S$1271,4,FALSE)</f>
        <v>#N/A</v>
      </c>
      <c r="F804" s="6">
        <f t="shared" si="48"/>
        <v>49.445</v>
      </c>
      <c r="G804" s="7">
        <f>VLOOKUP(A804,[1]Sheet!B$3:G$2921,5,0)</f>
        <v>25.92</v>
      </c>
      <c r="H804" s="5" t="e">
        <f>VLOOKUP(A804,N$3:S$1271,5,FALSE)</f>
        <v>#N/A</v>
      </c>
      <c r="I804" s="6">
        <f t="shared" si="49"/>
        <v>25.92</v>
      </c>
      <c r="J804" s="7">
        <f>VLOOKUP(A804,[1]Sheet!B$3:G$2921,6,0)</f>
        <v>1281.6099999999999</v>
      </c>
      <c r="K804" s="8" t="e">
        <f t="shared" si="50"/>
        <v>#N/A</v>
      </c>
      <c r="L804" s="6">
        <f t="shared" si="51"/>
        <v>1281.6099999999999</v>
      </c>
    </row>
    <row r="805" spans="1:12" x14ac:dyDescent="0.25">
      <c r="A805" s="9" t="s">
        <v>804</v>
      </c>
      <c r="B805" s="2" t="str">
        <f>VLOOKUP(A805,[1]Sheet!B$3:G$2921,2,0)</f>
        <v>Труби полiпропiленовi PN 16 для теплої i
холодної води дiам. 32х4,4 мм</v>
      </c>
      <c r="C805" s="3" t="str">
        <f>VLOOKUP(A805,[1]Sheet!B$3:G$2921,3,0)</f>
        <v>м</v>
      </c>
      <c r="D805" s="4">
        <v>24.388000000000002</v>
      </c>
      <c r="E805" s="5" t="e">
        <f>VLOOKUP(A805,N$3:S$1271,4,FALSE)</f>
        <v>#N/A</v>
      </c>
      <c r="F805" s="6">
        <f t="shared" si="48"/>
        <v>24.388000000000002</v>
      </c>
      <c r="G805" s="7">
        <f>VLOOKUP(A805,[1]Sheet!B$3:G$2921,5,0)</f>
        <v>63.29</v>
      </c>
      <c r="H805" s="5" t="e">
        <f>VLOOKUP(A805,N$3:S$1271,5,FALSE)</f>
        <v>#N/A</v>
      </c>
      <c r="I805" s="6">
        <f t="shared" si="49"/>
        <v>63.29</v>
      </c>
      <c r="J805" s="7">
        <f>VLOOKUP(A805,[1]Sheet!B$3:G$2921,6,0)</f>
        <v>1543.52</v>
      </c>
      <c r="K805" s="8" t="e">
        <f t="shared" si="50"/>
        <v>#N/A</v>
      </c>
      <c r="L805" s="6">
        <f t="shared" si="51"/>
        <v>1543.52</v>
      </c>
    </row>
    <row r="806" spans="1:12" x14ac:dyDescent="0.25">
      <c r="A806" s="9" t="s">
        <v>805</v>
      </c>
      <c r="B806" s="2" t="str">
        <f>VLOOKUP(A806,[1]Sheet!B$3:G$2921,2,0)</f>
        <v>Труби полiпропiленовi PN 16 для теплої i
холодної води дiам. 40х5,5 мм</v>
      </c>
      <c r="C806" s="3" t="str">
        <f>VLOOKUP(A806,[1]Sheet!B$3:G$2921,3,0)</f>
        <v>м</v>
      </c>
      <c r="D806" s="4">
        <v>14.055</v>
      </c>
      <c r="E806" s="5" t="e">
        <f>VLOOKUP(A806,N$3:S$1271,4,FALSE)</f>
        <v>#N/A</v>
      </c>
      <c r="F806" s="6">
        <f t="shared" si="48"/>
        <v>14.055</v>
      </c>
      <c r="G806" s="7">
        <f>VLOOKUP(A806,[1]Sheet!B$3:G$2921,5,0)</f>
        <v>97.91</v>
      </c>
      <c r="H806" s="5" t="e">
        <f>VLOOKUP(A806,N$3:S$1271,5,FALSE)</f>
        <v>#N/A</v>
      </c>
      <c r="I806" s="6">
        <f t="shared" si="49"/>
        <v>97.91</v>
      </c>
      <c r="J806" s="7">
        <f>VLOOKUP(A806,[1]Sheet!B$3:G$2921,6,0)</f>
        <v>1376.13</v>
      </c>
      <c r="K806" s="8" t="e">
        <f t="shared" si="50"/>
        <v>#N/A</v>
      </c>
      <c r="L806" s="6">
        <f t="shared" si="51"/>
        <v>1376.13</v>
      </c>
    </row>
    <row r="807" spans="1:12" x14ac:dyDescent="0.25">
      <c r="A807" s="9" t="s">
        <v>806</v>
      </c>
      <c r="B807" s="2" t="str">
        <f>VLOOKUP(A807,[1]Sheet!B$3:G$2921,2,0)</f>
        <v>Труба полiпропiленова водопровідна PN 28
"STABI PLUS" S 3,2/SDR 7,4 D 20х2,8 мм
Wavin</v>
      </c>
      <c r="C807" s="3" t="str">
        <f>VLOOKUP(A807,[1]Sheet!B$3:G$2921,3,0)</f>
        <v>м</v>
      </c>
      <c r="D807" s="4">
        <v>83.606999999999999</v>
      </c>
      <c r="E807" s="5" t="e">
        <f>VLOOKUP(A807,N$3:S$1271,4,FALSE)</f>
        <v>#N/A</v>
      </c>
      <c r="F807" s="6">
        <f t="shared" si="48"/>
        <v>83.606999999999999</v>
      </c>
      <c r="G807" s="7">
        <f>VLOOKUP(A807,[1]Sheet!B$3:G$2921,5,0)</f>
        <v>57.72</v>
      </c>
      <c r="H807" s="5" t="e">
        <f>VLOOKUP(A807,N$3:S$1271,5,FALSE)</f>
        <v>#N/A</v>
      </c>
      <c r="I807" s="6">
        <f t="shared" si="49"/>
        <v>57.72</v>
      </c>
      <c r="J807" s="7">
        <f>VLOOKUP(A807,[1]Sheet!B$3:G$2921,6,0)</f>
        <v>4825.8</v>
      </c>
      <c r="K807" s="8" t="e">
        <f t="shared" si="50"/>
        <v>#N/A</v>
      </c>
      <c r="L807" s="6">
        <f t="shared" si="51"/>
        <v>4825.8</v>
      </c>
    </row>
    <row r="808" spans="1:12" x14ac:dyDescent="0.25">
      <c r="A808" s="9" t="s">
        <v>807</v>
      </c>
      <c r="B808" s="2" t="str">
        <f>VLOOKUP(A808,[1]Sheet!B$3:G$2921,2,0)</f>
        <v>Труба полiпропiленова водопровідна PN 28
"STABI PLUS" S 3,2/SDR 7,4 D 32х4,4 мм
Wavin</v>
      </c>
      <c r="C808" s="3" t="str">
        <f>VLOOKUP(A808,[1]Sheet!B$3:G$2921,3,0)</f>
        <v>м</v>
      </c>
      <c r="D808" s="4">
        <v>41.271999999999998</v>
      </c>
      <c r="E808" s="5" t="e">
        <f>VLOOKUP(A808,N$3:S$1271,4,FALSE)</f>
        <v>#N/A</v>
      </c>
      <c r="F808" s="6">
        <f t="shared" si="48"/>
        <v>41.271999999999998</v>
      </c>
      <c r="G808" s="7">
        <f>VLOOKUP(A808,[1]Sheet!B$3:G$2921,5,0)</f>
        <v>126.89</v>
      </c>
      <c r="H808" s="5" t="e">
        <f>VLOOKUP(A808,N$3:S$1271,5,FALSE)</f>
        <v>#N/A</v>
      </c>
      <c r="I808" s="6">
        <f t="shared" si="49"/>
        <v>126.89</v>
      </c>
      <c r="J808" s="7">
        <f>VLOOKUP(A808,[1]Sheet!B$3:G$2921,6,0)</f>
        <v>5237</v>
      </c>
      <c r="K808" s="8" t="e">
        <f t="shared" si="50"/>
        <v>#N/A</v>
      </c>
      <c r="L808" s="6">
        <f t="shared" si="51"/>
        <v>5237</v>
      </c>
    </row>
    <row r="809" spans="1:12" x14ac:dyDescent="0.25">
      <c r="A809" s="9" t="s">
        <v>808</v>
      </c>
      <c r="B809" s="2" t="str">
        <f>VLOOKUP(A809,[1]Sheet!B$3:G$2921,2,0)</f>
        <v>Труби сталевi електрозварнi прямошовнi iз
сталi марки 20, зовнiшнiй дiаметр 152 мм,
товщина стiнки 4 мм</v>
      </c>
      <c r="C809" s="3" t="str">
        <f>VLOOKUP(A809,[1]Sheet!B$3:G$2921,3,0)</f>
        <v>м</v>
      </c>
      <c r="D809" s="4">
        <v>4.0999999999999996</v>
      </c>
      <c r="E809" s="5" t="e">
        <f>VLOOKUP(A809,N$3:S$1271,4,FALSE)</f>
        <v>#N/A</v>
      </c>
      <c r="F809" s="6">
        <f t="shared" si="48"/>
        <v>4.0999999999999996</v>
      </c>
      <c r="G809" s="7">
        <f>VLOOKUP(A809,[1]Sheet!B$3:G$2921,5,0)</f>
        <v>615.84</v>
      </c>
      <c r="H809" s="5" t="e">
        <f>VLOOKUP(A809,N$3:S$1271,5,FALSE)</f>
        <v>#N/A</v>
      </c>
      <c r="I809" s="6">
        <f t="shared" si="49"/>
        <v>615.84</v>
      </c>
      <c r="J809" s="7">
        <f>VLOOKUP(A809,[1]Sheet!B$3:G$2921,6,0)</f>
        <v>2524.94</v>
      </c>
      <c r="K809" s="8" t="e">
        <f t="shared" si="50"/>
        <v>#N/A</v>
      </c>
      <c r="L809" s="6">
        <f t="shared" si="51"/>
        <v>2524.94</v>
      </c>
    </row>
    <row r="810" spans="1:12" x14ac:dyDescent="0.25">
      <c r="A810" s="9" t="s">
        <v>809</v>
      </c>
      <c r="B810" s="2" t="str">
        <f>VLOOKUP(A810,[1]Sheet!B$3:G$2921,2,0)</f>
        <v>Труба полiпропiленова водопровідна PN 28
"STABI PLUS" S 3,2/SDR 7,4 D 40х5,5 мм
Wavin</v>
      </c>
      <c r="C810" s="3" t="str">
        <f>VLOOKUP(A810,[1]Sheet!B$3:G$2921,3,0)</f>
        <v>м</v>
      </c>
      <c r="D810" s="4">
        <v>14.055</v>
      </c>
      <c r="E810" s="5" t="e">
        <f>VLOOKUP(A810,N$3:S$1271,4,FALSE)</f>
        <v>#N/A</v>
      </c>
      <c r="F810" s="6">
        <f t="shared" si="48"/>
        <v>14.055</v>
      </c>
      <c r="G810" s="7">
        <f>VLOOKUP(A810,[1]Sheet!B$3:G$2921,5,0)</f>
        <v>182.3</v>
      </c>
      <c r="H810" s="5" t="e">
        <f>VLOOKUP(A810,N$3:S$1271,5,FALSE)</f>
        <v>#N/A</v>
      </c>
      <c r="I810" s="6">
        <f t="shared" si="49"/>
        <v>182.3</v>
      </c>
      <c r="J810" s="7">
        <f>VLOOKUP(A810,[1]Sheet!B$3:G$2921,6,0)</f>
        <v>2562.23</v>
      </c>
      <c r="K810" s="8" t="e">
        <f t="shared" si="50"/>
        <v>#N/A</v>
      </c>
      <c r="L810" s="6">
        <f t="shared" si="51"/>
        <v>2562.23</v>
      </c>
    </row>
    <row r="811" spans="1:12" x14ac:dyDescent="0.25">
      <c r="A811" s="9" t="s">
        <v>810</v>
      </c>
      <c r="B811" s="2" t="str">
        <f>VLOOKUP(A811,[1]Sheet!B$3:G$2921,2,0)</f>
        <v>Труба полiпропiленова водопровідна PN 28
"STABI PLUS" S 3,2/SDR 7,4 D 63х8,6 мм
Wavin</v>
      </c>
      <c r="C811" s="3" t="str">
        <f>VLOOKUP(A811,[1]Sheet!B$3:G$2921,3,0)</f>
        <v>м</v>
      </c>
      <c r="D811" s="4">
        <v>40.677999999999997</v>
      </c>
      <c r="E811" s="5" t="e">
        <f>VLOOKUP(A811,N$3:S$1271,4,FALSE)</f>
        <v>#N/A</v>
      </c>
      <c r="F811" s="6">
        <f t="shared" si="48"/>
        <v>40.677999999999997</v>
      </c>
      <c r="G811" s="7">
        <f>VLOOKUP(A811,[1]Sheet!B$3:G$2921,5,0)</f>
        <v>412.31</v>
      </c>
      <c r="H811" s="5" t="e">
        <f>VLOOKUP(A811,N$3:S$1271,5,FALSE)</f>
        <v>#N/A</v>
      </c>
      <c r="I811" s="6">
        <f t="shared" si="49"/>
        <v>412.31</v>
      </c>
      <c r="J811" s="7">
        <f>VLOOKUP(A811,[1]Sheet!B$3:G$2921,6,0)</f>
        <v>16771.95</v>
      </c>
      <c r="K811" s="8" t="e">
        <f t="shared" si="50"/>
        <v>#N/A</v>
      </c>
      <c r="L811" s="6">
        <f t="shared" si="51"/>
        <v>16771.95</v>
      </c>
    </row>
    <row r="812" spans="1:12" x14ac:dyDescent="0.25">
      <c r="A812" s="9" t="s">
        <v>811</v>
      </c>
      <c r="B812" s="2" t="str">
        <f>VLOOKUP(A812,[1]Sheet!B$3:G$2921,2,0)</f>
        <v>Муфта розбірна з внутрішнім різбленням
дiам. 32х1 мм</v>
      </c>
      <c r="C812" s="3" t="str">
        <f>VLOOKUP(A812,[1]Sheet!B$3:G$2921,3,0)</f>
        <v>шт</v>
      </c>
      <c r="D812" s="4">
        <v>1</v>
      </c>
      <c r="E812" s="5" t="e">
        <f>VLOOKUP(A812,N$3:S$1271,4,FALSE)</f>
        <v>#N/A</v>
      </c>
      <c r="F812" s="6">
        <f t="shared" si="48"/>
        <v>1</v>
      </c>
      <c r="G812" s="7">
        <f>VLOOKUP(A812,[1]Sheet!B$3:G$2921,5,0)</f>
        <v>101.32</v>
      </c>
      <c r="H812" s="5" t="e">
        <f>VLOOKUP(A812,N$3:S$1271,5,FALSE)</f>
        <v>#N/A</v>
      </c>
      <c r="I812" s="6">
        <f t="shared" si="49"/>
        <v>101.32</v>
      </c>
      <c r="J812" s="7">
        <f>VLOOKUP(A812,[1]Sheet!B$3:G$2921,6,0)</f>
        <v>101.32</v>
      </c>
      <c r="K812" s="8" t="e">
        <f t="shared" si="50"/>
        <v>#N/A</v>
      </c>
      <c r="L812" s="6">
        <f t="shared" si="51"/>
        <v>101.32</v>
      </c>
    </row>
    <row r="813" spans="1:12" x14ac:dyDescent="0.25">
      <c r="A813" s="9" t="s">
        <v>812</v>
      </c>
      <c r="B813" s="2" t="str">
        <f>VLOOKUP(A813,[1]Sheet!B$3:G$2921,2,0)</f>
        <v>Гільза із труби сталевi електрозварнi
зовнiшнiй дiаметр 219 мм, товщина стiнки 4
мм для пропускання труби ПВХ Д=110х3,
2мм</v>
      </c>
      <c r="C813" s="3" t="str">
        <f>VLOOKUP(A813,[1]Sheet!B$3:G$2921,3,0)</f>
        <v>м</v>
      </c>
      <c r="D813" s="4">
        <v>0.25</v>
      </c>
      <c r="E813" s="5" t="e">
        <f>VLOOKUP(A813,N$3:S$1271,4,FALSE)</f>
        <v>#N/A</v>
      </c>
      <c r="F813" s="6">
        <f t="shared" si="48"/>
        <v>0.25</v>
      </c>
      <c r="G813" s="7">
        <f>VLOOKUP(A813,[1]Sheet!B$3:G$2921,5,0)</f>
        <v>913.33</v>
      </c>
      <c r="H813" s="5" t="e">
        <f>VLOOKUP(A813,N$3:S$1271,5,FALSE)</f>
        <v>#N/A</v>
      </c>
      <c r="I813" s="6">
        <f t="shared" si="49"/>
        <v>913.33</v>
      </c>
      <c r="J813" s="7">
        <f>VLOOKUP(A813,[1]Sheet!B$3:G$2921,6,0)</f>
        <v>228.33</v>
      </c>
      <c r="K813" s="8" t="e">
        <f t="shared" si="50"/>
        <v>#N/A</v>
      </c>
      <c r="L813" s="6">
        <f t="shared" si="51"/>
        <v>228.33</v>
      </c>
    </row>
    <row r="814" spans="1:12" x14ac:dyDescent="0.25">
      <c r="A814" s="9" t="s">
        <v>813</v>
      </c>
      <c r="B814" s="2" t="str">
        <f>VLOOKUP(A814,[1]Sheet!B$3:G$2921,2,0)</f>
        <v>Хомут</v>
      </c>
      <c r="C814" s="3" t="str">
        <f>VLOOKUP(A814,[1]Sheet!B$3:G$2921,3,0)</f>
        <v>шт</v>
      </c>
      <c r="D814" s="4">
        <v>12</v>
      </c>
      <c r="E814" s="5" t="e">
        <f>VLOOKUP(A814,N$3:S$1271,4,FALSE)</f>
        <v>#N/A</v>
      </c>
      <c r="F814" s="6">
        <f t="shared" si="48"/>
        <v>12</v>
      </c>
      <c r="G814" s="7">
        <f>VLOOKUP(A814,[1]Sheet!B$3:G$2921,5,0)</f>
        <v>7.28</v>
      </c>
      <c r="H814" s="5" t="e">
        <f>VLOOKUP(A814,N$3:S$1271,5,FALSE)</f>
        <v>#N/A</v>
      </c>
      <c r="I814" s="6">
        <f t="shared" si="49"/>
        <v>7.28</v>
      </c>
      <c r="J814" s="7">
        <f>VLOOKUP(A814,[1]Sheet!B$3:G$2921,6,0)</f>
        <v>87.36</v>
      </c>
      <c r="K814" s="8" t="e">
        <f t="shared" si="50"/>
        <v>#N/A</v>
      </c>
      <c r="L814" s="6">
        <f t="shared" si="51"/>
        <v>87.36</v>
      </c>
    </row>
    <row r="815" spans="1:12" x14ac:dyDescent="0.25">
      <c r="A815" s="9" t="s">
        <v>814</v>
      </c>
      <c r="B815" s="2" t="str">
        <f>VLOOKUP(A815,[1]Sheet!B$3:G$2921,2,0)</f>
        <v>Опора дiам. 20 мм Wavin</v>
      </c>
      <c r="C815" s="3" t="str">
        <f>VLOOKUP(A815,[1]Sheet!B$3:G$2921,3,0)</f>
        <v>шт</v>
      </c>
      <c r="D815" s="4">
        <v>255</v>
      </c>
      <c r="E815" s="5" t="e">
        <f>VLOOKUP(A815,N$3:S$1271,4,FALSE)</f>
        <v>#N/A</v>
      </c>
      <c r="F815" s="6">
        <f t="shared" si="48"/>
        <v>255</v>
      </c>
      <c r="G815" s="7">
        <f>VLOOKUP(A815,[1]Sheet!B$3:G$2921,5,0)</f>
        <v>4.25</v>
      </c>
      <c r="H815" s="5" t="e">
        <f>VLOOKUP(A815,N$3:S$1271,5,FALSE)</f>
        <v>#N/A</v>
      </c>
      <c r="I815" s="6">
        <f t="shared" si="49"/>
        <v>4.25</v>
      </c>
      <c r="J815" s="7">
        <f>VLOOKUP(A815,[1]Sheet!B$3:G$2921,6,0)</f>
        <v>446.25</v>
      </c>
      <c r="K815" s="8" t="e">
        <f t="shared" si="50"/>
        <v>#N/A</v>
      </c>
      <c r="L815" s="6">
        <f t="shared" si="51"/>
        <v>446.25</v>
      </c>
    </row>
    <row r="816" spans="1:12" x14ac:dyDescent="0.25">
      <c r="A816" s="9" t="s">
        <v>815</v>
      </c>
      <c r="B816" s="2" t="str">
        <f>VLOOKUP(A816,[1]Sheet!B$3:G$2921,2,0)</f>
        <v>Опора дiам. 32 мм Wavin</v>
      </c>
      <c r="C816" s="3" t="str">
        <f>VLOOKUP(A816,[1]Sheet!B$3:G$2921,3,0)</f>
        <v>шт</v>
      </c>
      <c r="D816" s="4">
        <v>110</v>
      </c>
      <c r="E816" s="5" t="e">
        <f>VLOOKUP(A816,N$3:S$1271,4,FALSE)</f>
        <v>#N/A</v>
      </c>
      <c r="F816" s="6">
        <f t="shared" si="48"/>
        <v>110</v>
      </c>
      <c r="G816" s="7">
        <f>VLOOKUP(A816,[1]Sheet!B$3:G$2921,5,0)</f>
        <v>7.55</v>
      </c>
      <c r="H816" s="5" t="e">
        <f>VLOOKUP(A816,N$3:S$1271,5,FALSE)</f>
        <v>#N/A</v>
      </c>
      <c r="I816" s="6">
        <f t="shared" si="49"/>
        <v>7.55</v>
      </c>
      <c r="J816" s="7">
        <f>VLOOKUP(A816,[1]Sheet!B$3:G$2921,6,0)</f>
        <v>415.25</v>
      </c>
      <c r="K816" s="8" t="e">
        <f t="shared" si="50"/>
        <v>#N/A</v>
      </c>
      <c r="L816" s="6">
        <f t="shared" si="51"/>
        <v>415.25</v>
      </c>
    </row>
    <row r="817" spans="1:12" x14ac:dyDescent="0.25">
      <c r="A817" s="9" t="s">
        <v>816</v>
      </c>
      <c r="B817" s="2" t="str">
        <f>VLOOKUP(A817,[1]Sheet!B$3:G$2921,2,0)</f>
        <v>Опора дiам. 40 мм Wavin</v>
      </c>
      <c r="C817" s="3" t="str">
        <f>VLOOKUP(A817,[1]Sheet!B$3:G$2921,3,0)</f>
        <v>шт</v>
      </c>
      <c r="D817" s="4">
        <v>119</v>
      </c>
      <c r="E817" s="5" t="e">
        <f>VLOOKUP(A817,N$3:S$1271,4,FALSE)</f>
        <v>#N/A</v>
      </c>
      <c r="F817" s="6">
        <f t="shared" si="48"/>
        <v>119</v>
      </c>
      <c r="G817" s="7">
        <f>VLOOKUP(A817,[1]Sheet!B$3:G$2921,5,0)</f>
        <v>8.93</v>
      </c>
      <c r="H817" s="5" t="e">
        <f>VLOOKUP(A817,N$3:S$1271,5,FALSE)</f>
        <v>#N/A</v>
      </c>
      <c r="I817" s="6">
        <f t="shared" si="49"/>
        <v>8.93</v>
      </c>
      <c r="J817" s="7">
        <f>VLOOKUP(A817,[1]Sheet!B$3:G$2921,6,0)</f>
        <v>250.04</v>
      </c>
      <c r="K817" s="8" t="e">
        <f t="shared" si="50"/>
        <v>#N/A</v>
      </c>
      <c r="L817" s="6">
        <f t="shared" si="51"/>
        <v>250.04</v>
      </c>
    </row>
    <row r="818" spans="1:12" x14ac:dyDescent="0.25">
      <c r="A818" s="9" t="s">
        <v>817</v>
      </c>
      <c r="B818" s="2" t="str">
        <f>VLOOKUP(A818,[1]Sheet!B$3:G$2921,2,0)</f>
        <v>Швидкорознімний хомут, дiам. 125 мм, МК
125 "OSTBERG"</v>
      </c>
      <c r="C818" s="3" t="str">
        <f>VLOOKUP(A818,[1]Sheet!B$3:G$2921,3,0)</f>
        <v>шт</v>
      </c>
      <c r="D818" s="4">
        <v>14</v>
      </c>
      <c r="E818" s="5" t="e">
        <f>VLOOKUP(A818,N$3:S$1271,4,FALSE)</f>
        <v>#N/A</v>
      </c>
      <c r="F818" s="6">
        <f t="shared" si="48"/>
        <v>14</v>
      </c>
      <c r="G818" s="7">
        <f>VLOOKUP(A818,[1]Sheet!B$3:G$2921,5,0)</f>
        <v>191.23</v>
      </c>
      <c r="H818" s="5" t="e">
        <f>VLOOKUP(A818,N$3:S$1271,5,FALSE)</f>
        <v>#N/A</v>
      </c>
      <c r="I818" s="6">
        <f t="shared" si="49"/>
        <v>191.23</v>
      </c>
      <c r="J818" s="7">
        <f>VLOOKUP(A818,[1]Sheet!B$3:G$2921,6,0)</f>
        <v>382.46</v>
      </c>
      <c r="K818" s="8" t="e">
        <f t="shared" si="50"/>
        <v>#N/A</v>
      </c>
      <c r="L818" s="6">
        <f t="shared" si="51"/>
        <v>382.46</v>
      </c>
    </row>
    <row r="819" spans="1:12" x14ac:dyDescent="0.25">
      <c r="A819" s="9" t="s">
        <v>818</v>
      </c>
      <c r="B819" s="2" t="str">
        <f>VLOOKUP(A819,[1]Sheet!B$3:G$2921,2,0)</f>
        <v>Труби металопластиковi, PE-Xа RAUTITAN
flex із зшитого поліетилену з киснезахисним
шаром, Ду 16х2,2 мм</v>
      </c>
      <c r="C819" s="3" t="str">
        <f>VLOOKUP(A819,[1]Sheet!B$3:G$2921,3,0)</f>
        <v>м</v>
      </c>
      <c r="D819" s="4">
        <v>238.23500000000001</v>
      </c>
      <c r="E819" s="5" t="e">
        <f>VLOOKUP(A819,N$3:S$1271,4,FALSE)</f>
        <v>#N/A</v>
      </c>
      <c r="F819" s="6">
        <f t="shared" si="48"/>
        <v>238.23500000000001</v>
      </c>
      <c r="G819" s="7">
        <f>VLOOKUP(A819,[1]Sheet!B$3:G$2921,5,0)</f>
        <v>88.5</v>
      </c>
      <c r="H819" s="5" t="e">
        <f>VLOOKUP(A819,N$3:S$1271,5,FALSE)</f>
        <v>#N/A</v>
      </c>
      <c r="I819" s="6">
        <f t="shared" si="49"/>
        <v>88.5</v>
      </c>
      <c r="J819" s="7">
        <f>VLOOKUP(A819,[1]Sheet!B$3:G$2921,6,0)</f>
        <v>1193.42</v>
      </c>
      <c r="K819" s="8" t="e">
        <f t="shared" si="50"/>
        <v>#N/A</v>
      </c>
      <c r="L819" s="6">
        <f t="shared" si="51"/>
        <v>1193.42</v>
      </c>
    </row>
    <row r="820" spans="1:12" x14ac:dyDescent="0.25">
      <c r="A820" s="9" t="s">
        <v>819</v>
      </c>
      <c r="B820" s="2" t="str">
        <f>VLOOKUP(A820,[1]Sheet!B$3:G$2921,2,0)</f>
        <v>Труби металопластиковi, PE-Xа RAUTITAN
flex із зшитого поліетилену з киснезахисним
шаром, Ду 20х2,8 мм</v>
      </c>
      <c r="C820" s="3" t="str">
        <f>VLOOKUP(A820,[1]Sheet!B$3:G$2921,3,0)</f>
        <v>м</v>
      </c>
      <c r="D820" s="4">
        <v>150.13299999999998</v>
      </c>
      <c r="E820" s="5" t="e">
        <f>VLOOKUP(A820,N$3:S$1271,4,FALSE)</f>
        <v>#N/A</v>
      </c>
      <c r="F820" s="6">
        <f t="shared" si="48"/>
        <v>150.13299999999998</v>
      </c>
      <c r="G820" s="7">
        <f>VLOOKUP(A820,[1]Sheet!B$3:G$2921,5,0)</f>
        <v>96.76</v>
      </c>
      <c r="H820" s="5" t="e">
        <f>VLOOKUP(A820,N$3:S$1271,5,FALSE)</f>
        <v>#N/A</v>
      </c>
      <c r="I820" s="6">
        <f t="shared" si="49"/>
        <v>96.76</v>
      </c>
      <c r="J820" s="7">
        <f>VLOOKUP(A820,[1]Sheet!B$3:G$2921,6,0)</f>
        <v>6524.04</v>
      </c>
      <c r="K820" s="8" t="e">
        <f t="shared" si="50"/>
        <v>#N/A</v>
      </c>
      <c r="L820" s="6">
        <f t="shared" si="51"/>
        <v>6524.04</v>
      </c>
    </row>
    <row r="821" spans="1:12" x14ac:dyDescent="0.25">
      <c r="A821" s="9" t="s">
        <v>820</v>
      </c>
      <c r="B821" s="2" t="str">
        <f>VLOOKUP(A821,[1]Sheet!B$3:G$2921,2,0)</f>
        <v>Труби металопластиковi, PE-Xа RAUTITAN
flex із зшитого поліетилену з киснезахисним
шаром, Ду 25х3,5 мм "REHAU"</v>
      </c>
      <c r="C821" s="3" t="str">
        <f>VLOOKUP(A821,[1]Sheet!B$3:G$2921,3,0)</f>
        <v>м</v>
      </c>
      <c r="D821" s="4">
        <v>155.143</v>
      </c>
      <c r="E821" s="5" t="e">
        <f>VLOOKUP(A821,N$3:S$1271,4,FALSE)</f>
        <v>#N/A</v>
      </c>
      <c r="F821" s="6">
        <f t="shared" si="48"/>
        <v>155.143</v>
      </c>
      <c r="G821" s="7">
        <f>VLOOKUP(A821,[1]Sheet!B$3:G$2921,5,0)</f>
        <v>154.63</v>
      </c>
      <c r="H821" s="5" t="e">
        <f>VLOOKUP(A821,N$3:S$1271,5,FALSE)</f>
        <v>#N/A</v>
      </c>
      <c r="I821" s="6">
        <f t="shared" si="49"/>
        <v>154.63</v>
      </c>
      <c r="J821" s="7">
        <f>VLOOKUP(A821,[1]Sheet!B$3:G$2921,6,0)</f>
        <v>17238.150000000001</v>
      </c>
      <c r="K821" s="8" t="e">
        <f t="shared" si="50"/>
        <v>#N/A</v>
      </c>
      <c r="L821" s="6">
        <f t="shared" si="51"/>
        <v>17238.150000000001</v>
      </c>
    </row>
    <row r="822" spans="1:12" x14ac:dyDescent="0.25">
      <c r="A822" s="9" t="s">
        <v>821</v>
      </c>
      <c r="B822" s="2" t="str">
        <f>VLOOKUP(A822,[1]Sheet!B$3:G$2921,2,0)</f>
        <v>Труби металопластиковi, PE-Xа RAUTITAN
flex із зшитого поліетилену з киснезахисним
шаром, Ду 32х4,4 мм</v>
      </c>
      <c r="C822" s="3" t="str">
        <f>VLOOKUP(A822,[1]Sheet!B$3:G$2921,3,0)</f>
        <v>м</v>
      </c>
      <c r="D822" s="4">
        <v>59.094000000000001</v>
      </c>
      <c r="E822" s="5" t="e">
        <f>VLOOKUP(A822,N$3:S$1271,4,FALSE)</f>
        <v>#N/A</v>
      </c>
      <c r="F822" s="6">
        <f t="shared" si="48"/>
        <v>59.094000000000001</v>
      </c>
      <c r="G822" s="7">
        <f>VLOOKUP(A822,[1]Sheet!B$3:G$2921,5,0)</f>
        <v>232.13</v>
      </c>
      <c r="H822" s="5" t="e">
        <f>VLOOKUP(A822,N$3:S$1271,5,FALSE)</f>
        <v>#N/A</v>
      </c>
      <c r="I822" s="6">
        <f t="shared" si="49"/>
        <v>232.13</v>
      </c>
      <c r="J822" s="7">
        <f>VLOOKUP(A822,[1]Sheet!B$3:G$2921,6,0)</f>
        <v>653.21</v>
      </c>
      <c r="K822" s="8" t="e">
        <f t="shared" si="50"/>
        <v>#N/A</v>
      </c>
      <c r="L822" s="6">
        <f t="shared" si="51"/>
        <v>653.21</v>
      </c>
    </row>
    <row r="823" spans="1:12" x14ac:dyDescent="0.25">
      <c r="A823" s="9" t="s">
        <v>822</v>
      </c>
      <c r="B823" s="2" t="str">
        <f>VLOOKUP(A823,[1]Sheet!B$3:G$2921,2,0)</f>
        <v>Труби металопластиковi, PE-Xа RAUTITAN
flex із зшитого поліетилену з киснезахисним
шаром, Ду 40х5,5 мм</v>
      </c>
      <c r="C823" s="3" t="str">
        <f>VLOOKUP(A823,[1]Sheet!B$3:G$2921,3,0)</f>
        <v>м</v>
      </c>
      <c r="D823" s="4">
        <v>278.125</v>
      </c>
      <c r="E823" s="5" t="e">
        <f>VLOOKUP(A823,N$3:S$1271,4,FALSE)</f>
        <v>#N/A</v>
      </c>
      <c r="F823" s="6">
        <f t="shared" si="48"/>
        <v>278.125</v>
      </c>
      <c r="G823" s="7">
        <f>VLOOKUP(A823,[1]Sheet!B$3:G$2921,5,0)</f>
        <v>356.34</v>
      </c>
      <c r="H823" s="5" t="e">
        <f>VLOOKUP(A823,N$3:S$1271,5,FALSE)</f>
        <v>#N/A</v>
      </c>
      <c r="I823" s="6">
        <f t="shared" si="49"/>
        <v>356.34</v>
      </c>
      <c r="J823" s="7">
        <f>VLOOKUP(A823,[1]Sheet!B$3:G$2921,6,0)</f>
        <v>35058.51</v>
      </c>
      <c r="K823" s="8" t="e">
        <f t="shared" si="50"/>
        <v>#N/A</v>
      </c>
      <c r="L823" s="6">
        <f t="shared" si="51"/>
        <v>35058.51</v>
      </c>
    </row>
    <row r="824" spans="1:12" x14ac:dyDescent="0.25">
      <c r="A824" s="9" t="s">
        <v>823</v>
      </c>
      <c r="B824" s="2" t="str">
        <f>VLOOKUP(A824,[1]Sheet!B$3:G$2921,2,0)</f>
        <v>Труби сталевi електрозварнi прямошовнi iз
сталi марки 20, зовнiшнiй дiаметр 273 мм,
товщина стiнки 6 мм</v>
      </c>
      <c r="C824" s="3" t="str">
        <f>VLOOKUP(A824,[1]Sheet!B$3:G$2921,3,0)</f>
        <v>м</v>
      </c>
      <c r="D824" s="4">
        <v>0.25</v>
      </c>
      <c r="E824" s="5" t="e">
        <f>VLOOKUP(A824,N$3:S$1271,4,FALSE)</f>
        <v>#N/A</v>
      </c>
      <c r="F824" s="6">
        <f t="shared" si="48"/>
        <v>0.25</v>
      </c>
      <c r="G824" s="7">
        <f>VLOOKUP(A824,[1]Sheet!B$3:G$2921,5,0)</f>
        <v>1939.16</v>
      </c>
      <c r="H824" s="5" t="e">
        <f>VLOOKUP(A824,N$3:S$1271,5,FALSE)</f>
        <v>#N/A</v>
      </c>
      <c r="I824" s="6">
        <f t="shared" si="49"/>
        <v>1939.16</v>
      </c>
      <c r="J824" s="7">
        <f>VLOOKUP(A824,[1]Sheet!B$3:G$2921,6,0)</f>
        <v>484.79</v>
      </c>
      <c r="K824" s="8" t="e">
        <f t="shared" si="50"/>
        <v>#N/A</v>
      </c>
      <c r="L824" s="6">
        <f t="shared" si="51"/>
        <v>484.79</v>
      </c>
    </row>
    <row r="825" spans="1:12" x14ac:dyDescent="0.25">
      <c r="A825" s="9" t="s">
        <v>824</v>
      </c>
      <c r="B825" s="2" t="str">
        <f>VLOOKUP(A825,[1]Sheet!B$3:G$2921,2,0)</f>
        <v>Труби сталевi електрозварнi прямошовнi iз
сталi марки 20, зовнiшнiй дiаметр 325 мм,
товщина стiнки 5 мм (для гільз)</v>
      </c>
      <c r="C825" s="3" t="str">
        <f>VLOOKUP(A825,[1]Sheet!B$3:G$2921,3,0)</f>
        <v>м</v>
      </c>
      <c r="D825" s="4">
        <v>0.25</v>
      </c>
      <c r="E825" s="5" t="e">
        <f>VLOOKUP(A825,N$3:S$1271,4,FALSE)</f>
        <v>#N/A</v>
      </c>
      <c r="F825" s="6">
        <f t="shared" si="48"/>
        <v>0.25</v>
      </c>
      <c r="G825" s="7">
        <f>VLOOKUP(A825,[1]Sheet!B$3:G$2921,5,0)</f>
        <v>1613.43</v>
      </c>
      <c r="H825" s="5" t="e">
        <f>VLOOKUP(A825,N$3:S$1271,5,FALSE)</f>
        <v>#N/A</v>
      </c>
      <c r="I825" s="6">
        <f t="shared" si="49"/>
        <v>1613.43</v>
      </c>
      <c r="J825" s="7">
        <f>VLOOKUP(A825,[1]Sheet!B$3:G$2921,6,0)</f>
        <v>403.36</v>
      </c>
      <c r="K825" s="8" t="e">
        <f t="shared" si="50"/>
        <v>#N/A</v>
      </c>
      <c r="L825" s="6">
        <f t="shared" si="51"/>
        <v>403.36</v>
      </c>
    </row>
    <row r="826" spans="1:12" x14ac:dyDescent="0.25">
      <c r="A826" s="9" t="s">
        <v>825</v>
      </c>
      <c r="B826" s="2" t="str">
        <f>VLOOKUP(A826,[1]Sheet!B$3:G$2921,2,0)</f>
        <v>Труби сталевi електрозварнi прямошовнi iз
сталi марки 20, зовнiшнiй дiаметр 325 мм,
товщина стiнки 7 мм</v>
      </c>
      <c r="C826" s="3" t="str">
        <f>VLOOKUP(A826,[1]Sheet!B$3:G$2921,3,0)</f>
        <v>м</v>
      </c>
      <c r="D826" s="4">
        <v>7.7308000000000003</v>
      </c>
      <c r="E826" s="5" t="e">
        <f>VLOOKUP(A826,N$3:S$1271,4,FALSE)</f>
        <v>#N/A</v>
      </c>
      <c r="F826" s="6">
        <f t="shared" si="48"/>
        <v>7.7308000000000003</v>
      </c>
      <c r="G826" s="7">
        <f>VLOOKUP(A826,[1]Sheet!B$3:G$2921,5,0)</f>
        <v>2701.46</v>
      </c>
      <c r="H826" s="5" t="e">
        <f>VLOOKUP(A826,N$3:S$1271,5,FALSE)</f>
        <v>#N/A</v>
      </c>
      <c r="I826" s="6">
        <f t="shared" si="49"/>
        <v>2701.46</v>
      </c>
      <c r="J826" s="7">
        <f>VLOOKUP(A826,[1]Sheet!B$3:G$2921,6,0)</f>
        <v>20884.45</v>
      </c>
      <c r="K826" s="8" t="e">
        <f t="shared" si="50"/>
        <v>#N/A</v>
      </c>
      <c r="L826" s="6">
        <f t="shared" si="51"/>
        <v>20884.45</v>
      </c>
    </row>
    <row r="827" spans="1:12" x14ac:dyDescent="0.25">
      <c r="A827" s="9" t="s">
        <v>826</v>
      </c>
      <c r="B827" s="2" t="str">
        <f>VLOOKUP(A827,[1]Sheet!B$3:G$2921,2,0)</f>
        <v>Хрестики для плитки</v>
      </c>
      <c r="C827" s="3" t="str">
        <f>VLOOKUP(A827,[1]Sheet!B$3:G$2921,3,0)</f>
        <v>100шт</v>
      </c>
      <c r="D827" s="4">
        <v>137.11999999999998</v>
      </c>
      <c r="E827" s="5" t="e">
        <f>VLOOKUP(A827,N$3:S$1271,4,FALSE)</f>
        <v>#N/A</v>
      </c>
      <c r="F827" s="6">
        <f t="shared" si="48"/>
        <v>137.11999999999998</v>
      </c>
      <c r="G827" s="7">
        <f>VLOOKUP(A827,[1]Sheet!B$3:G$2921,5,0)</f>
        <v>9.5399999999999991</v>
      </c>
      <c r="H827" s="5" t="e">
        <f>VLOOKUP(A827,N$3:S$1271,5,FALSE)</f>
        <v>#N/A</v>
      </c>
      <c r="I827" s="6">
        <f t="shared" si="49"/>
        <v>9.5399999999999991</v>
      </c>
      <c r="J827" s="7">
        <f>VLOOKUP(A827,[1]Sheet!B$3:G$2921,6,0)</f>
        <v>416.99</v>
      </c>
      <c r="K827" s="8" t="e">
        <f t="shared" si="50"/>
        <v>#N/A</v>
      </c>
      <c r="L827" s="6">
        <f t="shared" si="51"/>
        <v>416.99</v>
      </c>
    </row>
    <row r="828" spans="1:12" x14ac:dyDescent="0.25">
      <c r="A828" s="9" t="s">
        <v>827</v>
      </c>
      <c r="B828" s="2" t="str">
        <f>VLOOKUP(A828,[1]Sheet!B$3:G$2921,2,0)</f>
        <v>Труби сталевi електрозварнi прямошовнi iз
сталi марки 20, зовнiшнiй дiаметр 377 мм,
товщина стiнки 6 мм</v>
      </c>
      <c r="C828" s="3" t="str">
        <f>VLOOKUP(A828,[1]Sheet!B$3:G$2921,3,0)</f>
        <v>м</v>
      </c>
      <c r="D828" s="4">
        <v>0.25</v>
      </c>
      <c r="E828" s="5" t="e">
        <f>VLOOKUP(A828,N$3:S$1271,4,FALSE)</f>
        <v>#N/A</v>
      </c>
      <c r="F828" s="6">
        <f t="shared" si="48"/>
        <v>0.25</v>
      </c>
      <c r="G828" s="7">
        <f>VLOOKUP(A828,[1]Sheet!B$3:G$2921,5,0)</f>
        <v>2732.63</v>
      </c>
      <c r="H828" s="5" t="e">
        <f>VLOOKUP(A828,N$3:S$1271,5,FALSE)</f>
        <v>#N/A</v>
      </c>
      <c r="I828" s="6">
        <f t="shared" si="49"/>
        <v>2732.63</v>
      </c>
      <c r="J828" s="7">
        <f>VLOOKUP(A828,[1]Sheet!B$3:G$2921,6,0)</f>
        <v>683.16</v>
      </c>
      <c r="K828" s="8" t="e">
        <f t="shared" si="50"/>
        <v>#N/A</v>
      </c>
      <c r="L828" s="6">
        <f t="shared" si="51"/>
        <v>683.16</v>
      </c>
    </row>
    <row r="829" spans="1:12" x14ac:dyDescent="0.25">
      <c r="A829" s="9" t="s">
        <v>828</v>
      </c>
      <c r="B829" s="2" t="str">
        <f>VLOOKUP(A829,[1]Sheet!B$3:G$2921,2,0)</f>
        <v>Опора для кріплення труби 16,2х2,6, що
проходять по підлозі з подальшим їх
зашиванням</v>
      </c>
      <c r="C829" s="3" t="str">
        <f>VLOOKUP(A829,[1]Sheet!B$3:G$2921,3,0)</f>
        <v>шт</v>
      </c>
      <c r="D829" s="4">
        <v>184</v>
      </c>
      <c r="E829" s="5" t="e">
        <f>VLOOKUP(A829,N$3:S$1271,4,FALSE)</f>
        <v>#N/A</v>
      </c>
      <c r="F829" s="6">
        <f t="shared" si="48"/>
        <v>184</v>
      </c>
      <c r="G829" s="7">
        <f>VLOOKUP(A829,[1]Sheet!B$3:G$2921,5,0)</f>
        <v>0.68999999999999984</v>
      </c>
      <c r="H829" s="5" t="e">
        <f>VLOOKUP(A829,N$3:S$1271,5,FALSE)</f>
        <v>#N/A</v>
      </c>
      <c r="I829" s="6">
        <f t="shared" si="49"/>
        <v>0.68999999999999984</v>
      </c>
      <c r="J829" s="7">
        <f>VLOOKUP(A829,[1]Sheet!B$3:G$2921,6,0)</f>
        <v>62.1</v>
      </c>
      <c r="K829" s="8" t="e">
        <f t="shared" si="50"/>
        <v>#N/A</v>
      </c>
      <c r="L829" s="6">
        <f t="shared" si="51"/>
        <v>62.1</v>
      </c>
    </row>
    <row r="830" spans="1:12" x14ac:dyDescent="0.25">
      <c r="A830" s="9" t="s">
        <v>829</v>
      </c>
      <c r="B830" s="2" t="str">
        <f>VLOOKUP(A830,[1]Sheet!B$3:G$2921,2,0)</f>
        <v>Болт М8х75 (з гайкою і шайбою)</v>
      </c>
      <c r="C830" s="3" t="str">
        <f>VLOOKUP(A830,[1]Sheet!B$3:G$2921,3,0)</f>
        <v>шт</v>
      </c>
      <c r="D830" s="4">
        <v>124</v>
      </c>
      <c r="E830" s="5" t="e">
        <f>VLOOKUP(A830,N$3:S$1271,4,FALSE)</f>
        <v>#N/A</v>
      </c>
      <c r="F830" s="6">
        <f t="shared" si="48"/>
        <v>124</v>
      </c>
      <c r="G830" s="7">
        <f>VLOOKUP(A830,[1]Sheet!B$3:G$2921,5,0)</f>
        <v>5.7</v>
      </c>
      <c r="H830" s="5" t="e">
        <f>VLOOKUP(A830,N$3:S$1271,5,FALSE)</f>
        <v>#N/A</v>
      </c>
      <c r="I830" s="6">
        <f t="shared" si="49"/>
        <v>5.7</v>
      </c>
      <c r="J830" s="7">
        <f>VLOOKUP(A830,[1]Sheet!B$3:G$2921,6,0)</f>
        <v>347.7</v>
      </c>
      <c r="K830" s="8" t="e">
        <f t="shared" si="50"/>
        <v>#N/A</v>
      </c>
      <c r="L830" s="6">
        <f t="shared" si="51"/>
        <v>347.7</v>
      </c>
    </row>
    <row r="831" spans="1:12" x14ac:dyDescent="0.25">
      <c r="A831" s="9" t="s">
        <v>830</v>
      </c>
      <c r="B831" s="2" t="str">
        <f>VLOOKUP(A831,[1]Sheet!B$3:G$2921,2,0)</f>
        <v>Болт М12х50 METALVIS 5М6Х250-2</v>
      </c>
      <c r="C831" s="3" t="str">
        <f>VLOOKUP(A831,[1]Sheet!B$3:G$2921,3,0)</f>
        <v>шт</v>
      </c>
      <c r="D831" s="4">
        <v>978</v>
      </c>
      <c r="E831" s="5" t="e">
        <f>VLOOKUP(A831,N$3:S$1271,4,FALSE)</f>
        <v>#N/A</v>
      </c>
      <c r="F831" s="6">
        <f t="shared" si="48"/>
        <v>978</v>
      </c>
      <c r="G831" s="7">
        <f>VLOOKUP(A831,[1]Sheet!B$3:G$2921,5,0)</f>
        <v>5.7</v>
      </c>
      <c r="H831" s="5" t="e">
        <f>VLOOKUP(A831,N$3:S$1271,5,FALSE)</f>
        <v>#N/A</v>
      </c>
      <c r="I831" s="6">
        <f t="shared" si="49"/>
        <v>5.7</v>
      </c>
      <c r="J831" s="7">
        <f>VLOOKUP(A831,[1]Sheet!B$3:G$2921,6,0)</f>
        <v>159.6</v>
      </c>
      <c r="K831" s="8" t="e">
        <f t="shared" si="50"/>
        <v>#N/A</v>
      </c>
      <c r="L831" s="6">
        <f t="shared" si="51"/>
        <v>159.6</v>
      </c>
    </row>
    <row r="832" spans="1:12" x14ac:dyDescent="0.25">
      <c r="A832" s="9" t="s">
        <v>831</v>
      </c>
      <c r="B832" s="2" t="str">
        <f>VLOOKUP(A832,[1]Sheet!B$3:G$2921,2,0)</f>
        <v>Болт М16х50 METALVIS 5М6Х650-2</v>
      </c>
      <c r="C832" s="3" t="str">
        <f>VLOOKUP(A832,[1]Sheet!B$3:G$2921,3,0)</f>
        <v>шт</v>
      </c>
      <c r="D832" s="4">
        <v>4</v>
      </c>
      <c r="E832" s="5" t="e">
        <f>VLOOKUP(A832,N$3:S$1271,4,FALSE)</f>
        <v>#N/A</v>
      </c>
      <c r="F832" s="6">
        <f t="shared" si="48"/>
        <v>4</v>
      </c>
      <c r="G832" s="7">
        <f>VLOOKUP(A832,[1]Sheet!B$3:G$2921,5,0)</f>
        <v>8.94</v>
      </c>
      <c r="H832" s="5" t="e">
        <f>VLOOKUP(A832,N$3:S$1271,5,FALSE)</f>
        <v>#N/A</v>
      </c>
      <c r="I832" s="6">
        <f t="shared" si="49"/>
        <v>8.94</v>
      </c>
      <c r="J832" s="7">
        <f>VLOOKUP(A832,[1]Sheet!B$3:G$2921,6,0)</f>
        <v>35.76</v>
      </c>
      <c r="K832" s="8" t="e">
        <f t="shared" si="50"/>
        <v>#N/A</v>
      </c>
      <c r="L832" s="6">
        <f t="shared" si="51"/>
        <v>35.76</v>
      </c>
    </row>
    <row r="833" spans="1:12" x14ac:dyDescent="0.25">
      <c r="A833" s="9" t="s">
        <v>832</v>
      </c>
      <c r="B833" s="2" t="str">
        <f>VLOOKUP(A833,[1]Sheet!B$3:G$2921,2,0)</f>
        <v>Болт М10</v>
      </c>
      <c r="C833" s="3" t="str">
        <f>VLOOKUP(A833,[1]Sheet!B$3:G$2921,3,0)</f>
        <v>шт</v>
      </c>
      <c r="D833" s="4">
        <v>86</v>
      </c>
      <c r="E833" s="5" t="e">
        <f>VLOOKUP(A833,N$3:S$1271,4,FALSE)</f>
        <v>#N/A</v>
      </c>
      <c r="F833" s="6">
        <f t="shared" si="48"/>
        <v>86</v>
      </c>
      <c r="G833" s="7">
        <f>VLOOKUP(A833,[1]Sheet!B$3:G$2921,5,0)</f>
        <v>6.48</v>
      </c>
      <c r="H833" s="5" t="e">
        <f>VLOOKUP(A833,N$3:S$1271,5,FALSE)</f>
        <v>#N/A</v>
      </c>
      <c r="I833" s="6">
        <f t="shared" si="49"/>
        <v>6.48</v>
      </c>
      <c r="J833" s="7">
        <f>VLOOKUP(A833,[1]Sheet!B$3:G$2921,6,0)</f>
        <v>557.28</v>
      </c>
      <c r="K833" s="8" t="e">
        <f t="shared" si="50"/>
        <v>#N/A</v>
      </c>
      <c r="L833" s="6">
        <f t="shared" si="51"/>
        <v>557.28</v>
      </c>
    </row>
    <row r="834" spans="1:12" x14ac:dyDescent="0.25">
      <c r="A834" s="9" t="s">
        <v>833</v>
      </c>
      <c r="B834" s="2" t="str">
        <f>VLOOKUP(A834,[1]Sheet!B$3:G$2921,2,0)</f>
        <v>Труба гнучка гофрована з самозатухающого
ПВХ Ду=20 мм</v>
      </c>
      <c r="C834" s="3" t="str">
        <f>VLOOKUP(A834,[1]Sheet!B$3:G$2921,3,0)</f>
        <v>м</v>
      </c>
      <c r="D834" s="4">
        <v>111.18</v>
      </c>
      <c r="E834" s="5" t="e">
        <f>VLOOKUP(A834,N$3:S$1271,4,FALSE)</f>
        <v>#N/A</v>
      </c>
      <c r="F834" s="6">
        <f t="shared" ref="F834:F897" si="52">IFERROR(D834-E834,D834)</f>
        <v>111.18</v>
      </c>
      <c r="G834" s="7">
        <f>VLOOKUP(A834,[1]Sheet!B$3:G$2921,5,0)</f>
        <v>8.75</v>
      </c>
      <c r="H834" s="5" t="e">
        <f>VLOOKUP(A834,N$3:S$1271,5,FALSE)</f>
        <v>#N/A</v>
      </c>
      <c r="I834" s="6">
        <f t="shared" ref="I834:I897" si="53">IFERROR(G834-H834,G834)</f>
        <v>8.75</v>
      </c>
      <c r="J834" s="7">
        <f>VLOOKUP(A834,[1]Sheet!B$3:G$2921,6,0)</f>
        <v>972.83</v>
      </c>
      <c r="K834" s="8" t="e">
        <f t="shared" ref="K834:K897" si="54">VLOOKUP(A834,N$3:S$1271,6,FALSE)</f>
        <v>#N/A</v>
      </c>
      <c r="L834" s="6">
        <f t="shared" ref="L834:L897" si="55">IFERROR(J834-K834,J834)</f>
        <v>972.83</v>
      </c>
    </row>
    <row r="835" spans="1:12" x14ac:dyDescent="0.25">
      <c r="A835" s="9" t="s">
        <v>834</v>
      </c>
      <c r="B835" s="2" t="str">
        <f>VLOOKUP(A835,[1]Sheet!B$3:G$2921,2,0)</f>
        <v>Труба гнучка гофрована з самозатухающого
ПВХ Ду=25 мм</v>
      </c>
      <c r="C835" s="3" t="str">
        <f>VLOOKUP(A835,[1]Sheet!B$3:G$2921,3,0)</f>
        <v>м</v>
      </c>
      <c r="D835" s="4">
        <v>634.44000000000005</v>
      </c>
      <c r="E835" s="5" t="e">
        <f>VLOOKUP(A835,N$3:S$1271,4,FALSE)</f>
        <v>#N/A</v>
      </c>
      <c r="F835" s="6">
        <f t="shared" si="52"/>
        <v>634.44000000000005</v>
      </c>
      <c r="G835" s="7">
        <f>VLOOKUP(A835,[1]Sheet!B$3:G$2921,5,0)</f>
        <v>19.829999999999998</v>
      </c>
      <c r="H835" s="5" t="e">
        <f>VLOOKUP(A835,N$3:S$1271,5,FALSE)</f>
        <v>#N/A</v>
      </c>
      <c r="I835" s="6">
        <f t="shared" si="53"/>
        <v>19.829999999999998</v>
      </c>
      <c r="J835" s="7">
        <f>VLOOKUP(A835,[1]Sheet!B$3:G$2921,6,0)</f>
        <v>12580.95</v>
      </c>
      <c r="K835" s="8" t="e">
        <f t="shared" si="54"/>
        <v>#N/A</v>
      </c>
      <c r="L835" s="6">
        <f t="shared" si="55"/>
        <v>12580.95</v>
      </c>
    </row>
    <row r="836" spans="1:12" x14ac:dyDescent="0.25">
      <c r="A836" s="9" t="s">
        <v>835</v>
      </c>
      <c r="B836" s="2" t="str">
        <f>VLOOKUP(A836,[1]Sheet!B$3:G$2921,2,0)</f>
        <v>Труба гнучка гофрована з самозатухающого
ПВХ Ду=32 мм</v>
      </c>
      <c r="C836" s="3" t="str">
        <f>VLOOKUP(A836,[1]Sheet!B$3:G$2921,3,0)</f>
        <v>м</v>
      </c>
      <c r="D836" s="4">
        <v>8.16</v>
      </c>
      <c r="E836" s="5" t="e">
        <f>VLOOKUP(A836,N$3:S$1271,4,FALSE)</f>
        <v>#N/A</v>
      </c>
      <c r="F836" s="6">
        <f t="shared" si="52"/>
        <v>8.16</v>
      </c>
      <c r="G836" s="7">
        <f>VLOOKUP(A836,[1]Sheet!B$3:G$2921,5,0)</f>
        <v>22.59</v>
      </c>
      <c r="H836" s="5" t="e">
        <f>VLOOKUP(A836,N$3:S$1271,5,FALSE)</f>
        <v>#N/A</v>
      </c>
      <c r="I836" s="6">
        <f t="shared" si="53"/>
        <v>22.59</v>
      </c>
      <c r="J836" s="7">
        <f>VLOOKUP(A836,[1]Sheet!B$3:G$2921,6,0)</f>
        <v>184.33</v>
      </c>
      <c r="K836" s="8" t="e">
        <f t="shared" si="54"/>
        <v>#N/A</v>
      </c>
      <c r="L836" s="6">
        <f t="shared" si="55"/>
        <v>184.33</v>
      </c>
    </row>
    <row r="837" spans="1:12" x14ac:dyDescent="0.25">
      <c r="A837" s="9" t="s">
        <v>836</v>
      </c>
      <c r="B837" s="2" t="str">
        <f>VLOOKUP(A837,[1]Sheet!B$3:G$2921,2,0)</f>
        <v>Труба гнучка гофрована з самозатухающого
ПВХ Ду=50 мм</v>
      </c>
      <c r="C837" s="3" t="str">
        <f>VLOOKUP(A837,[1]Sheet!B$3:G$2921,3,0)</f>
        <v>м</v>
      </c>
      <c r="D837" s="4">
        <v>219.3</v>
      </c>
      <c r="E837" s="5" t="e">
        <f>VLOOKUP(A837,N$3:S$1271,4,FALSE)</f>
        <v>#N/A</v>
      </c>
      <c r="F837" s="6">
        <f t="shared" si="52"/>
        <v>219.3</v>
      </c>
      <c r="G837" s="7">
        <f>VLOOKUP(A837,[1]Sheet!B$3:G$2921,5,0)</f>
        <v>27.86</v>
      </c>
      <c r="H837" s="5" t="e">
        <f>VLOOKUP(A837,N$3:S$1271,5,FALSE)</f>
        <v>#N/A</v>
      </c>
      <c r="I837" s="6">
        <f t="shared" si="53"/>
        <v>27.86</v>
      </c>
      <c r="J837" s="7">
        <f>VLOOKUP(A837,[1]Sheet!B$3:G$2921,6,0)</f>
        <v>6109.7</v>
      </c>
      <c r="K837" s="8" t="e">
        <f t="shared" si="54"/>
        <v>#N/A</v>
      </c>
      <c r="L837" s="6">
        <f t="shared" si="55"/>
        <v>6109.7</v>
      </c>
    </row>
    <row r="838" spans="1:12" x14ac:dyDescent="0.25">
      <c r="A838" s="9" t="s">
        <v>837</v>
      </c>
      <c r="B838" s="2" t="str">
        <f>VLOOKUP(A838,[1]Sheet!B$3:G$2921,2,0)</f>
        <v>Труба гнучка гофрована з самозатухающого
ПВХ Ду=63 мм</v>
      </c>
      <c r="C838" s="3" t="str">
        <f>VLOOKUP(A838,[1]Sheet!B$3:G$2921,3,0)</f>
        <v>м</v>
      </c>
      <c r="D838" s="4">
        <v>4.08</v>
      </c>
      <c r="E838" s="5" t="e">
        <f>VLOOKUP(A838,N$3:S$1271,4,FALSE)</f>
        <v>#N/A</v>
      </c>
      <c r="F838" s="6">
        <f t="shared" si="52"/>
        <v>4.08</v>
      </c>
      <c r="G838" s="7">
        <f>VLOOKUP(A838,[1]Sheet!B$3:G$2921,5,0)</f>
        <v>35.78</v>
      </c>
      <c r="H838" s="5" t="e">
        <f>VLOOKUP(A838,N$3:S$1271,5,FALSE)</f>
        <v>#N/A</v>
      </c>
      <c r="I838" s="6">
        <f t="shared" si="53"/>
        <v>35.78</v>
      </c>
      <c r="J838" s="7">
        <f>VLOOKUP(A838,[1]Sheet!B$3:G$2921,6,0)</f>
        <v>145.97999999999999</v>
      </c>
      <c r="K838" s="8" t="e">
        <f t="shared" si="54"/>
        <v>#N/A</v>
      </c>
      <c r="L838" s="6">
        <f t="shared" si="55"/>
        <v>145.97999999999999</v>
      </c>
    </row>
    <row r="839" spans="1:12" x14ac:dyDescent="0.25">
      <c r="A839" s="9" t="s">
        <v>838</v>
      </c>
      <c r="B839" s="2" t="str">
        <f>VLOOKUP(A839,[1]Sheet!B$3:G$2921,2,0)</f>
        <v>Кульовий  кран з муфтовими закінченнями
Ру до 1МПа  дiам. 63 мм VEEIV063E</v>
      </c>
      <c r="C839" s="3" t="str">
        <f>VLOOKUP(A839,[1]Sheet!B$3:G$2921,3,0)</f>
        <v>шт</v>
      </c>
      <c r="D839" s="4">
        <v>1</v>
      </c>
      <c r="E839" s="5" t="e">
        <f>VLOOKUP(A839,N$3:S$1271,4,FALSE)</f>
        <v>#N/A</v>
      </c>
      <c r="F839" s="6">
        <f t="shared" si="52"/>
        <v>1</v>
      </c>
      <c r="G839" s="7">
        <f>VLOOKUP(A839,[1]Sheet!B$3:G$2921,5,0)</f>
        <v>900.71</v>
      </c>
      <c r="H839" s="5" t="e">
        <f>VLOOKUP(A839,N$3:S$1271,5,FALSE)</f>
        <v>#N/A</v>
      </c>
      <c r="I839" s="6">
        <f t="shared" si="53"/>
        <v>900.71</v>
      </c>
      <c r="J839" s="7">
        <f>VLOOKUP(A839,[1]Sheet!B$3:G$2921,6,0)</f>
        <v>900.71</v>
      </c>
      <c r="K839" s="8" t="e">
        <f t="shared" si="54"/>
        <v>#N/A</v>
      </c>
      <c r="L839" s="6">
        <f t="shared" si="55"/>
        <v>900.71</v>
      </c>
    </row>
    <row r="840" spans="1:12" x14ac:dyDescent="0.25">
      <c r="A840" s="9" t="s">
        <v>839</v>
      </c>
      <c r="B840" s="2" t="str">
        <f>VLOOKUP(A840,[1]Sheet!B$3:G$2921,2,0)</f>
        <v>Прохідний колектор</v>
      </c>
      <c r="C840" s="3" t="str">
        <f>VLOOKUP(A840,[1]Sheet!B$3:G$2921,3,0)</f>
        <v>шт</v>
      </c>
      <c r="D840" s="4">
        <v>12</v>
      </c>
      <c r="E840" s="5" t="e">
        <f>VLOOKUP(A840,N$3:S$1271,4,FALSE)</f>
        <v>#N/A</v>
      </c>
      <c r="F840" s="6">
        <f t="shared" si="52"/>
        <v>12</v>
      </c>
      <c r="G840" s="7">
        <f>VLOOKUP(A840,[1]Sheet!B$3:G$2921,5,0)</f>
        <v>1912.41</v>
      </c>
      <c r="H840" s="5" t="e">
        <f>VLOOKUP(A840,N$3:S$1271,5,FALSE)</f>
        <v>#N/A</v>
      </c>
      <c r="I840" s="6">
        <f t="shared" si="53"/>
        <v>1912.41</v>
      </c>
      <c r="J840" s="7">
        <f>VLOOKUP(A840,[1]Sheet!B$3:G$2921,6,0)</f>
        <v>19124.099999999999</v>
      </c>
      <c r="K840" s="8" t="e">
        <f t="shared" si="54"/>
        <v>#N/A</v>
      </c>
      <c r="L840" s="6">
        <f t="shared" si="55"/>
        <v>19124.099999999999</v>
      </c>
    </row>
    <row r="841" spans="1:12" x14ac:dyDescent="0.25">
      <c r="A841" s="9" t="s">
        <v>840</v>
      </c>
      <c r="B841" s="2" t="str">
        <f>VLOOKUP(A841,[1]Sheet!B$3:G$2921,2,0)</f>
        <v>Труба каналізаційна полівінілхлоридна для
внутрішньоі каналізаціі Dy50 "Wavin"</v>
      </c>
      <c r="C841" s="3" t="str">
        <f>VLOOKUP(A841,[1]Sheet!B$3:G$2921,3,0)</f>
        <v>м</v>
      </c>
      <c r="D841" s="4">
        <v>18.962</v>
      </c>
      <c r="E841" s="5" t="e">
        <f>VLOOKUP(A841,N$3:S$1271,4,FALSE)</f>
        <v>#N/A</v>
      </c>
      <c r="F841" s="6">
        <f t="shared" si="52"/>
        <v>18.962</v>
      </c>
      <c r="G841" s="7">
        <f>VLOOKUP(A841,[1]Sheet!B$3:G$2921,5,0)</f>
        <v>95.85</v>
      </c>
      <c r="H841" s="5" t="e">
        <f>VLOOKUP(A841,N$3:S$1271,5,FALSE)</f>
        <v>#N/A</v>
      </c>
      <c r="I841" s="6">
        <f t="shared" si="53"/>
        <v>95.85</v>
      </c>
      <c r="J841" s="7">
        <f>VLOOKUP(A841,[1]Sheet!B$3:G$2921,6,0)</f>
        <v>1817.51</v>
      </c>
      <c r="K841" s="8" t="e">
        <f t="shared" si="54"/>
        <v>#N/A</v>
      </c>
      <c r="L841" s="6">
        <f t="shared" si="55"/>
        <v>1817.51</v>
      </c>
    </row>
    <row r="842" spans="1:12" x14ac:dyDescent="0.25">
      <c r="A842" s="9" t="s">
        <v>841</v>
      </c>
      <c r="B842" s="2" t="str">
        <f>VLOOKUP(A842,[1]Sheet!B$3:G$2921,2,0)</f>
        <v>Труба каналізаційна полівінілхлоридна для
внутрішньоі каналізаціі Dy110 "Wavin"</v>
      </c>
      <c r="C842" s="3" t="str">
        <f>VLOOKUP(A842,[1]Sheet!B$3:G$2921,3,0)</f>
        <v>м</v>
      </c>
      <c r="D842" s="4">
        <v>152.69399999999999</v>
      </c>
      <c r="E842" s="5" t="e">
        <f>VLOOKUP(A842,N$3:S$1271,4,FALSE)</f>
        <v>#N/A</v>
      </c>
      <c r="F842" s="6">
        <f t="shared" si="52"/>
        <v>152.69399999999999</v>
      </c>
      <c r="G842" s="7">
        <f>VLOOKUP(A842,[1]Sheet!B$3:G$2921,5,0)</f>
        <v>291.24</v>
      </c>
      <c r="H842" s="5" t="e">
        <f>VLOOKUP(A842,N$3:S$1271,5,FALSE)</f>
        <v>#N/A</v>
      </c>
      <c r="I842" s="6">
        <f t="shared" si="53"/>
        <v>291.24</v>
      </c>
      <c r="J842" s="7">
        <f>VLOOKUP(A842,[1]Sheet!B$3:G$2921,6,0)</f>
        <v>29065.75</v>
      </c>
      <c r="K842" s="8" t="e">
        <f t="shared" si="54"/>
        <v>#N/A</v>
      </c>
      <c r="L842" s="6">
        <f t="shared" si="55"/>
        <v>29065.75</v>
      </c>
    </row>
    <row r="843" spans="1:12" x14ac:dyDescent="0.25">
      <c r="A843" s="9" t="s">
        <v>842</v>
      </c>
      <c r="B843" s="2" t="str">
        <f>VLOOKUP(A843,[1]Sheet!B$3:G$2921,2,0)</f>
        <v>Відвід 45град. Dy 50 мм Wavin</v>
      </c>
      <c r="C843" s="3" t="str">
        <f>VLOOKUP(A843,[1]Sheet!B$3:G$2921,3,0)</f>
        <v>шт</v>
      </c>
      <c r="D843" s="4">
        <v>7</v>
      </c>
      <c r="E843" s="5" t="e">
        <f>VLOOKUP(A843,N$3:S$1271,4,FALSE)</f>
        <v>#N/A</v>
      </c>
      <c r="F843" s="6">
        <f t="shared" si="52"/>
        <v>7</v>
      </c>
      <c r="G843" s="7">
        <f>VLOOKUP(A843,[1]Sheet!B$3:G$2921,5,0)</f>
        <v>34.68</v>
      </c>
      <c r="H843" s="5" t="e">
        <f>VLOOKUP(A843,N$3:S$1271,5,FALSE)</f>
        <v>#N/A</v>
      </c>
      <c r="I843" s="6">
        <f t="shared" si="53"/>
        <v>34.68</v>
      </c>
      <c r="J843" s="7">
        <f>VLOOKUP(A843,[1]Sheet!B$3:G$2921,6,0)</f>
        <v>242.76</v>
      </c>
      <c r="K843" s="8" t="e">
        <f t="shared" si="54"/>
        <v>#N/A</v>
      </c>
      <c r="L843" s="6">
        <f t="shared" si="55"/>
        <v>242.76</v>
      </c>
    </row>
    <row r="844" spans="1:12" x14ac:dyDescent="0.25">
      <c r="A844" s="9" t="s">
        <v>843</v>
      </c>
      <c r="B844" s="2" t="str">
        <f>VLOOKUP(A844,[1]Sheet!B$3:G$2921,2,0)</f>
        <v>Відвід 45град. Dy 110 мм Wavin</v>
      </c>
      <c r="C844" s="3" t="str">
        <f>VLOOKUP(A844,[1]Sheet!B$3:G$2921,3,0)</f>
        <v>шт</v>
      </c>
      <c r="D844" s="4">
        <v>60</v>
      </c>
      <c r="E844" s="5" t="e">
        <f>VLOOKUP(A844,N$3:S$1271,4,FALSE)</f>
        <v>#N/A</v>
      </c>
      <c r="F844" s="6">
        <f t="shared" si="52"/>
        <v>60</v>
      </c>
      <c r="G844" s="7">
        <f>VLOOKUP(A844,[1]Sheet!B$3:G$2921,5,0)</f>
        <v>107.61</v>
      </c>
      <c r="H844" s="5" t="e">
        <f>VLOOKUP(A844,N$3:S$1271,5,FALSE)</f>
        <v>#N/A</v>
      </c>
      <c r="I844" s="6">
        <f t="shared" si="53"/>
        <v>107.61</v>
      </c>
      <c r="J844" s="7">
        <f>VLOOKUP(A844,[1]Sheet!B$3:G$2921,6,0)</f>
        <v>2582.64</v>
      </c>
      <c r="K844" s="8" t="e">
        <f t="shared" si="54"/>
        <v>#N/A</v>
      </c>
      <c r="L844" s="6">
        <f t="shared" si="55"/>
        <v>2582.64</v>
      </c>
    </row>
    <row r="845" spans="1:12" x14ac:dyDescent="0.25">
      <c r="A845" s="9" t="s">
        <v>844</v>
      </c>
      <c r="B845" s="2" t="str">
        <f>VLOOKUP(A845,[1]Sheet!B$3:G$2921,2,0)</f>
        <v>Відвід 87'30 град. Dy 50 мм Wavin</v>
      </c>
      <c r="C845" s="3" t="str">
        <f>VLOOKUP(A845,[1]Sheet!B$3:G$2921,3,0)</f>
        <v>шт</v>
      </c>
      <c r="D845" s="4">
        <v>8</v>
      </c>
      <c r="E845" s="5" t="e">
        <f>VLOOKUP(A845,N$3:S$1271,4,FALSE)</f>
        <v>#N/A</v>
      </c>
      <c r="F845" s="6">
        <f t="shared" si="52"/>
        <v>8</v>
      </c>
      <c r="G845" s="7">
        <f>VLOOKUP(A845,[1]Sheet!B$3:G$2921,5,0)</f>
        <v>46.19</v>
      </c>
      <c r="H845" s="5" t="e">
        <f>VLOOKUP(A845,N$3:S$1271,5,FALSE)</f>
        <v>#N/A</v>
      </c>
      <c r="I845" s="6">
        <f t="shared" si="53"/>
        <v>46.19</v>
      </c>
      <c r="J845" s="7">
        <f>VLOOKUP(A845,[1]Sheet!B$3:G$2921,6,0)</f>
        <v>369.52</v>
      </c>
      <c r="K845" s="8" t="e">
        <f t="shared" si="54"/>
        <v>#N/A</v>
      </c>
      <c r="L845" s="6">
        <f t="shared" si="55"/>
        <v>369.52</v>
      </c>
    </row>
    <row r="846" spans="1:12" x14ac:dyDescent="0.25">
      <c r="A846" s="9" t="s">
        <v>845</v>
      </c>
      <c r="B846" s="2" t="str">
        <f>VLOOKUP(A846,[1]Sheet!B$3:G$2921,2,0)</f>
        <v>Відвід 22'30 град.Dy110 мм Wavin</v>
      </c>
      <c r="C846" s="3" t="str">
        <f>VLOOKUP(A846,[1]Sheet!B$3:G$2921,3,0)</f>
        <v>шт</v>
      </c>
      <c r="D846" s="4">
        <v>10</v>
      </c>
      <c r="E846" s="5" t="e">
        <f>VLOOKUP(A846,N$3:S$1271,4,FALSE)</f>
        <v>#N/A</v>
      </c>
      <c r="F846" s="6">
        <f t="shared" si="52"/>
        <v>10</v>
      </c>
      <c r="G846" s="7">
        <f>VLOOKUP(A846,[1]Sheet!B$3:G$2921,5,0)</f>
        <v>97.01</v>
      </c>
      <c r="H846" s="5" t="e">
        <f>VLOOKUP(A846,N$3:S$1271,5,FALSE)</f>
        <v>#N/A</v>
      </c>
      <c r="I846" s="6">
        <f t="shared" si="53"/>
        <v>97.01</v>
      </c>
      <c r="J846" s="7">
        <f>VLOOKUP(A846,[1]Sheet!B$3:G$2921,6,0)</f>
        <v>388.04</v>
      </c>
      <c r="K846" s="8" t="e">
        <f t="shared" si="54"/>
        <v>#N/A</v>
      </c>
      <c r="L846" s="6">
        <f t="shared" si="55"/>
        <v>388.04</v>
      </c>
    </row>
    <row r="847" spans="1:12" x14ac:dyDescent="0.25">
      <c r="A847" s="9" t="s">
        <v>846</v>
      </c>
      <c r="B847" s="2" t="str">
        <f>VLOOKUP(A847,[1]Sheet!B$3:G$2921,2,0)</f>
        <v>Трiйник 45град. Dy110/Dy50 Wavin</v>
      </c>
      <c r="C847" s="3" t="str">
        <f>VLOOKUP(A847,[1]Sheet!B$3:G$2921,3,0)</f>
        <v>шт</v>
      </c>
      <c r="D847" s="4">
        <v>1</v>
      </c>
      <c r="E847" s="5" t="e">
        <f>VLOOKUP(A847,N$3:S$1271,4,FALSE)</f>
        <v>#N/A</v>
      </c>
      <c r="F847" s="6">
        <f t="shared" si="52"/>
        <v>1</v>
      </c>
      <c r="G847" s="7">
        <f>VLOOKUP(A847,[1]Sheet!B$3:G$2921,5,0)</f>
        <v>133.97</v>
      </c>
      <c r="H847" s="5" t="e">
        <f>VLOOKUP(A847,N$3:S$1271,5,FALSE)</f>
        <v>#N/A</v>
      </c>
      <c r="I847" s="6">
        <f t="shared" si="53"/>
        <v>133.97</v>
      </c>
      <c r="J847" s="7">
        <f>VLOOKUP(A847,[1]Sheet!B$3:G$2921,6,0)</f>
        <v>133.97</v>
      </c>
      <c r="K847" s="8" t="e">
        <f t="shared" si="54"/>
        <v>#N/A</v>
      </c>
      <c r="L847" s="6">
        <f t="shared" si="55"/>
        <v>133.97</v>
      </c>
    </row>
    <row r="848" spans="1:12" x14ac:dyDescent="0.25">
      <c r="A848" s="9" t="s">
        <v>847</v>
      </c>
      <c r="B848" s="2" t="str">
        <f>VLOOKUP(A848,[1]Sheet!B$3:G$2921,2,0)</f>
        <v>Трiйник 45град. Dy110/Dy110 Wavin</v>
      </c>
      <c r="C848" s="3" t="str">
        <f>VLOOKUP(A848,[1]Sheet!B$3:G$2921,3,0)</f>
        <v>шт</v>
      </c>
      <c r="D848" s="4">
        <v>13</v>
      </c>
      <c r="E848" s="5" t="e">
        <f>VLOOKUP(A848,N$3:S$1271,4,FALSE)</f>
        <v>#N/A</v>
      </c>
      <c r="F848" s="6">
        <f t="shared" si="52"/>
        <v>13</v>
      </c>
      <c r="G848" s="7">
        <f>VLOOKUP(A848,[1]Sheet!B$3:G$2921,5,0)</f>
        <v>191.72</v>
      </c>
      <c r="H848" s="5" t="e">
        <f>VLOOKUP(A848,N$3:S$1271,5,FALSE)</f>
        <v>#N/A</v>
      </c>
      <c r="I848" s="6">
        <f t="shared" si="53"/>
        <v>191.72</v>
      </c>
      <c r="J848" s="7">
        <f>VLOOKUP(A848,[1]Sheet!B$3:G$2921,6,0)</f>
        <v>2492.36</v>
      </c>
      <c r="K848" s="8" t="e">
        <f t="shared" si="54"/>
        <v>#N/A</v>
      </c>
      <c r="L848" s="6">
        <f t="shared" si="55"/>
        <v>2492.36</v>
      </c>
    </row>
    <row r="849" spans="1:12" x14ac:dyDescent="0.25">
      <c r="A849" s="9" t="s">
        <v>848</v>
      </c>
      <c r="B849" s="2" t="str">
        <f>VLOOKUP(A849,[1]Sheet!B$3:G$2921,2,0)</f>
        <v>Трiйник 87'30 град. Dy110/Dy50 Wavin</v>
      </c>
      <c r="C849" s="3" t="str">
        <f>VLOOKUP(A849,[1]Sheet!B$3:G$2921,3,0)</f>
        <v>шт</v>
      </c>
      <c r="D849" s="4">
        <v>3</v>
      </c>
      <c r="E849" s="5" t="e">
        <f>VLOOKUP(A849,N$3:S$1271,4,FALSE)</f>
        <v>#N/A</v>
      </c>
      <c r="F849" s="6">
        <f t="shared" si="52"/>
        <v>3</v>
      </c>
      <c r="G849" s="7">
        <f>VLOOKUP(A849,[1]Sheet!B$3:G$2921,5,0)</f>
        <v>133.86000000000001</v>
      </c>
      <c r="H849" s="5" t="e">
        <f>VLOOKUP(A849,N$3:S$1271,5,FALSE)</f>
        <v>#N/A</v>
      </c>
      <c r="I849" s="6">
        <f t="shared" si="53"/>
        <v>133.86000000000001</v>
      </c>
      <c r="J849" s="7">
        <f>VLOOKUP(A849,[1]Sheet!B$3:G$2921,6,0)</f>
        <v>267.72000000000003</v>
      </c>
      <c r="K849" s="8" t="e">
        <f t="shared" si="54"/>
        <v>#N/A</v>
      </c>
      <c r="L849" s="6">
        <f t="shared" si="55"/>
        <v>267.72000000000003</v>
      </c>
    </row>
    <row r="850" spans="1:12" x14ac:dyDescent="0.25">
      <c r="A850" s="9" t="s">
        <v>849</v>
      </c>
      <c r="B850" s="2" t="str">
        <f>VLOOKUP(A850,[1]Sheet!B$3:G$2921,2,0)</f>
        <v>Трiйник 87'30 град. Dy110/Dy110 Wavin</v>
      </c>
      <c r="C850" s="3" t="str">
        <f>VLOOKUP(A850,[1]Sheet!B$3:G$2921,3,0)</f>
        <v>шт</v>
      </c>
      <c r="D850" s="4">
        <v>25</v>
      </c>
      <c r="E850" s="5" t="e">
        <f>VLOOKUP(A850,N$3:S$1271,4,FALSE)</f>
        <v>#N/A</v>
      </c>
      <c r="F850" s="6">
        <f t="shared" si="52"/>
        <v>25</v>
      </c>
      <c r="G850" s="7">
        <f>VLOOKUP(A850,[1]Sheet!B$3:G$2921,5,0)</f>
        <v>196.83</v>
      </c>
      <c r="H850" s="5" t="e">
        <f>VLOOKUP(A850,N$3:S$1271,5,FALSE)</f>
        <v>#N/A</v>
      </c>
      <c r="I850" s="6">
        <f t="shared" si="53"/>
        <v>196.83</v>
      </c>
      <c r="J850" s="7">
        <f>VLOOKUP(A850,[1]Sheet!B$3:G$2921,6,0)</f>
        <v>2952.45</v>
      </c>
      <c r="K850" s="8" t="e">
        <f t="shared" si="54"/>
        <v>#N/A</v>
      </c>
      <c r="L850" s="6">
        <f t="shared" si="55"/>
        <v>2952.45</v>
      </c>
    </row>
    <row r="851" spans="1:12" x14ac:dyDescent="0.25">
      <c r="A851" s="9" t="s">
        <v>850</v>
      </c>
      <c r="B851" s="2" t="str">
        <f>VLOOKUP(A851,[1]Sheet!B$3:G$2921,2,0)</f>
        <v>Хрестовина одноплоскісна 67_30
110/110/110 Wavin</v>
      </c>
      <c r="C851" s="3" t="str">
        <f>VLOOKUP(A851,[1]Sheet!B$3:G$2921,3,0)</f>
        <v>шт</v>
      </c>
      <c r="D851" s="4">
        <v>2</v>
      </c>
      <c r="E851" s="5" t="e">
        <f>VLOOKUP(A851,N$3:S$1271,4,FALSE)</f>
        <v>#N/A</v>
      </c>
      <c r="F851" s="6">
        <f t="shared" si="52"/>
        <v>2</v>
      </c>
      <c r="G851" s="7">
        <f>VLOOKUP(A851,[1]Sheet!B$3:G$2921,5,0)</f>
        <v>309.47000000000003</v>
      </c>
      <c r="H851" s="5" t="e">
        <f>VLOOKUP(A851,N$3:S$1271,5,FALSE)</f>
        <v>#N/A</v>
      </c>
      <c r="I851" s="6">
        <f t="shared" si="53"/>
        <v>309.47000000000003</v>
      </c>
      <c r="J851" s="7">
        <f>VLOOKUP(A851,[1]Sheet!B$3:G$2921,6,0)</f>
        <v>618.94000000000005</v>
      </c>
      <c r="K851" s="8" t="e">
        <f t="shared" si="54"/>
        <v>#N/A</v>
      </c>
      <c r="L851" s="6">
        <f t="shared" si="55"/>
        <v>618.94000000000005</v>
      </c>
    </row>
    <row r="852" spans="1:12" x14ac:dyDescent="0.25">
      <c r="A852" s="9" t="s">
        <v>851</v>
      </c>
      <c r="B852" s="2" t="str">
        <f>VLOOKUP(A852,[1]Sheet!B$3:G$2921,2,0)</f>
        <v>Перехiд Dy110/Dy50 Wavin</v>
      </c>
      <c r="C852" s="3" t="str">
        <f>VLOOKUP(A852,[1]Sheet!B$3:G$2921,3,0)</f>
        <v>шт</v>
      </c>
      <c r="D852" s="4">
        <v>8</v>
      </c>
      <c r="E852" s="5" t="e">
        <f>VLOOKUP(A852,N$3:S$1271,4,FALSE)</f>
        <v>#N/A</v>
      </c>
      <c r="F852" s="6">
        <f t="shared" si="52"/>
        <v>8</v>
      </c>
      <c r="G852" s="7">
        <f>VLOOKUP(A852,[1]Sheet!B$3:G$2921,5,0)</f>
        <v>69.33</v>
      </c>
      <c r="H852" s="5" t="e">
        <f>VLOOKUP(A852,N$3:S$1271,5,FALSE)</f>
        <v>#N/A</v>
      </c>
      <c r="I852" s="6">
        <f t="shared" si="53"/>
        <v>69.33</v>
      </c>
      <c r="J852" s="7">
        <f>VLOOKUP(A852,[1]Sheet!B$3:G$2921,6,0)</f>
        <v>485.31</v>
      </c>
      <c r="K852" s="8" t="e">
        <f t="shared" si="54"/>
        <v>#N/A</v>
      </c>
      <c r="L852" s="6">
        <f t="shared" si="55"/>
        <v>485.31</v>
      </c>
    </row>
    <row r="853" spans="1:12" x14ac:dyDescent="0.25">
      <c r="A853" s="9" t="s">
        <v>852</v>
      </c>
      <c r="B853" s="2" t="str">
        <f>VLOOKUP(A853,[1]Sheet!B$3:G$2921,2,0)</f>
        <v>Ревiзiя Dy 110 Wavin</v>
      </c>
      <c r="C853" s="3" t="str">
        <f>VLOOKUP(A853,[1]Sheet!B$3:G$2921,3,0)</f>
        <v>шт</v>
      </c>
      <c r="D853" s="4">
        <v>14</v>
      </c>
      <c r="E853" s="5" t="e">
        <f>VLOOKUP(A853,N$3:S$1271,4,FALSE)</f>
        <v>#N/A</v>
      </c>
      <c r="F853" s="6">
        <f t="shared" si="52"/>
        <v>14</v>
      </c>
      <c r="G853" s="7">
        <f>VLOOKUP(A853,[1]Sheet!B$3:G$2921,5,0)</f>
        <v>240.55</v>
      </c>
      <c r="H853" s="5" t="e">
        <f>VLOOKUP(A853,N$3:S$1271,5,FALSE)</f>
        <v>#N/A</v>
      </c>
      <c r="I853" s="6">
        <f t="shared" si="53"/>
        <v>240.55</v>
      </c>
      <c r="J853" s="7">
        <f>VLOOKUP(A853,[1]Sheet!B$3:G$2921,6,0)</f>
        <v>1924.4</v>
      </c>
      <c r="K853" s="8" t="e">
        <f t="shared" si="54"/>
        <v>#N/A</v>
      </c>
      <c r="L853" s="6">
        <f t="shared" si="55"/>
        <v>1924.4</v>
      </c>
    </row>
    <row r="854" spans="1:12" x14ac:dyDescent="0.25">
      <c r="A854" s="9" t="s">
        <v>853</v>
      </c>
      <c r="B854" s="2" t="str">
        <f>VLOOKUP(A854,[1]Sheet!B$3:G$2921,2,0)</f>
        <v>Заглушка iз ПВХ дiам. 110 мм Wavin</v>
      </c>
      <c r="C854" s="3" t="str">
        <f>VLOOKUP(A854,[1]Sheet!B$3:G$2921,3,0)</f>
        <v>шт</v>
      </c>
      <c r="D854" s="4">
        <v>10</v>
      </c>
      <c r="E854" s="5" t="e">
        <f>VLOOKUP(A854,N$3:S$1271,4,FALSE)</f>
        <v>#N/A</v>
      </c>
      <c r="F854" s="6">
        <f t="shared" si="52"/>
        <v>10</v>
      </c>
      <c r="G854" s="7">
        <f>VLOOKUP(A854,[1]Sheet!B$3:G$2921,5,0)</f>
        <v>48.54</v>
      </c>
      <c r="H854" s="5" t="e">
        <f>VLOOKUP(A854,N$3:S$1271,5,FALSE)</f>
        <v>#N/A</v>
      </c>
      <c r="I854" s="6">
        <f t="shared" si="53"/>
        <v>48.54</v>
      </c>
      <c r="J854" s="7">
        <f>VLOOKUP(A854,[1]Sheet!B$3:G$2921,6,0)</f>
        <v>388.32</v>
      </c>
      <c r="K854" s="8" t="e">
        <f t="shared" si="54"/>
        <v>#N/A</v>
      </c>
      <c r="L854" s="6">
        <f t="shared" si="55"/>
        <v>388.32</v>
      </c>
    </row>
    <row r="855" spans="1:12" x14ac:dyDescent="0.25">
      <c r="A855" s="9" t="s">
        <v>854</v>
      </c>
      <c r="B855" s="2" t="str">
        <f>VLOOKUP(A855,[1]Sheet!B$3:G$2921,2,0)</f>
        <v>Трап до каналiзацiйних труб iз
полiпропiлену дiам. 50 мм</v>
      </c>
      <c r="C855" s="3" t="str">
        <f>VLOOKUP(A855,[1]Sheet!B$3:G$2921,3,0)</f>
        <v>шт</v>
      </c>
      <c r="D855" s="4">
        <v>2</v>
      </c>
      <c r="E855" s="5" t="e">
        <f>VLOOKUP(A855,N$3:S$1271,4,FALSE)</f>
        <v>#N/A</v>
      </c>
      <c r="F855" s="6">
        <f t="shared" si="52"/>
        <v>2</v>
      </c>
      <c r="G855" s="7">
        <f>VLOOKUP(A855,[1]Sheet!B$3:G$2921,5,0)</f>
        <v>116.04</v>
      </c>
      <c r="H855" s="5" t="e">
        <f>VLOOKUP(A855,N$3:S$1271,5,FALSE)</f>
        <v>#N/A</v>
      </c>
      <c r="I855" s="6">
        <f t="shared" si="53"/>
        <v>116.04</v>
      </c>
      <c r="J855" s="7">
        <f>VLOOKUP(A855,[1]Sheet!B$3:G$2921,6,0)</f>
        <v>232.08</v>
      </c>
      <c r="K855" s="8" t="e">
        <f t="shared" si="54"/>
        <v>#N/A</v>
      </c>
      <c r="L855" s="6">
        <f t="shared" si="55"/>
        <v>232.08</v>
      </c>
    </row>
    <row r="856" spans="1:12" x14ac:dyDescent="0.25">
      <c r="A856" s="9" t="s">
        <v>855</v>
      </c>
      <c r="B856" s="2" t="str">
        <f>VLOOKUP(A856,[1]Sheet!B$3:G$2921,2,0)</f>
        <v>Трап до каналiзацiйних труб iз
полiпропiлену дiам. 110 мм</v>
      </c>
      <c r="C856" s="3" t="str">
        <f>VLOOKUP(A856,[1]Sheet!B$3:G$2921,3,0)</f>
        <v>шт</v>
      </c>
      <c r="D856" s="4">
        <v>6</v>
      </c>
      <c r="E856" s="5" t="e">
        <f>VLOOKUP(A856,N$3:S$1271,4,FALSE)</f>
        <v>#N/A</v>
      </c>
      <c r="F856" s="6">
        <f t="shared" si="52"/>
        <v>6</v>
      </c>
      <c r="G856" s="7">
        <f>VLOOKUP(A856,[1]Sheet!B$3:G$2921,5,0)</f>
        <v>217.62</v>
      </c>
      <c r="H856" s="5" t="e">
        <f>VLOOKUP(A856,N$3:S$1271,5,FALSE)</f>
        <v>#N/A</v>
      </c>
      <c r="I856" s="6">
        <f t="shared" si="53"/>
        <v>217.62</v>
      </c>
      <c r="J856" s="7">
        <f>VLOOKUP(A856,[1]Sheet!B$3:G$2921,6,0)</f>
        <v>1088.0999999999999</v>
      </c>
      <c r="K856" s="8" t="e">
        <f t="shared" si="54"/>
        <v>#N/A</v>
      </c>
      <c r="L856" s="6">
        <f t="shared" si="55"/>
        <v>1088.0999999999999</v>
      </c>
    </row>
    <row r="857" spans="1:12" x14ac:dyDescent="0.25">
      <c r="A857" s="9" t="s">
        <v>856</v>
      </c>
      <c r="B857" s="2" t="str">
        <f>VLOOKUP(A857,[1]Sheet!B$3:G$2921,2,0)</f>
        <v>Каналізаційний затвор (зворотний клапан)
дiам. 50 мм</v>
      </c>
      <c r="C857" s="3" t="str">
        <f>VLOOKUP(A857,[1]Sheet!B$3:G$2921,3,0)</f>
        <v>шт</v>
      </c>
      <c r="D857" s="4">
        <v>2</v>
      </c>
      <c r="E857" s="5" t="e">
        <f>VLOOKUP(A857,N$3:S$1271,4,FALSE)</f>
        <v>#N/A</v>
      </c>
      <c r="F857" s="6">
        <f t="shared" si="52"/>
        <v>2</v>
      </c>
      <c r="G857" s="7">
        <f>VLOOKUP(A857,[1]Sheet!B$3:G$2921,5,0)</f>
        <v>797.81</v>
      </c>
      <c r="H857" s="5" t="e">
        <f>VLOOKUP(A857,N$3:S$1271,5,FALSE)</f>
        <v>#N/A</v>
      </c>
      <c r="I857" s="6">
        <f t="shared" si="53"/>
        <v>797.81</v>
      </c>
      <c r="J857" s="7">
        <f>VLOOKUP(A857,[1]Sheet!B$3:G$2921,6,0)</f>
        <v>797.81</v>
      </c>
      <c r="K857" s="8" t="e">
        <f t="shared" si="54"/>
        <v>#N/A</v>
      </c>
      <c r="L857" s="6">
        <f t="shared" si="55"/>
        <v>797.81</v>
      </c>
    </row>
    <row r="858" spans="1:12" x14ac:dyDescent="0.25">
      <c r="A858" s="9" t="s">
        <v>857</v>
      </c>
      <c r="B858" s="2" t="str">
        <f>VLOOKUP(A858,[1]Sheet!B$3:G$2921,2,0)</f>
        <v>Клапан повітряний «Maxi Vent» 110 Wavin</v>
      </c>
      <c r="C858" s="3" t="str">
        <f>VLOOKUP(A858,[1]Sheet!B$3:G$2921,3,0)</f>
        <v>шт</v>
      </c>
      <c r="D858" s="4">
        <v>6</v>
      </c>
      <c r="E858" s="5" t="e">
        <f>VLOOKUP(A858,N$3:S$1271,4,FALSE)</f>
        <v>#N/A</v>
      </c>
      <c r="F858" s="6">
        <f t="shared" si="52"/>
        <v>6</v>
      </c>
      <c r="G858" s="7">
        <f>VLOOKUP(A858,[1]Sheet!B$3:G$2921,5,0)</f>
        <v>2835.99</v>
      </c>
      <c r="H858" s="5" t="e">
        <f>VLOOKUP(A858,N$3:S$1271,5,FALSE)</f>
        <v>#N/A</v>
      </c>
      <c r="I858" s="6">
        <f t="shared" si="53"/>
        <v>2835.99</v>
      </c>
      <c r="J858" s="7">
        <f>VLOOKUP(A858,[1]Sheet!B$3:G$2921,6,0)</f>
        <v>17015.939999999999</v>
      </c>
      <c r="K858" s="8" t="e">
        <f t="shared" si="54"/>
        <v>#N/A</v>
      </c>
      <c r="L858" s="6">
        <f t="shared" si="55"/>
        <v>17015.939999999999</v>
      </c>
    </row>
    <row r="859" spans="1:12" x14ac:dyDescent="0.25">
      <c r="A859" s="9" t="s">
        <v>858</v>
      </c>
      <c r="B859" s="2" t="str">
        <f>VLOOKUP(A859,[1]Sheet!B$3:G$2921,2,0)</f>
        <v>Клапан зворотнiй Д=110 мм ПВХ з
раструбом</v>
      </c>
      <c r="C859" s="3" t="str">
        <f>VLOOKUP(A859,[1]Sheet!B$3:G$2921,3,0)</f>
        <v>шт</v>
      </c>
      <c r="D859" s="4">
        <v>1</v>
      </c>
      <c r="E859" s="5" t="e">
        <f>VLOOKUP(A859,N$3:S$1271,4,FALSE)</f>
        <v>#N/A</v>
      </c>
      <c r="F859" s="6">
        <f t="shared" si="52"/>
        <v>1</v>
      </c>
      <c r="G859" s="7">
        <f>VLOOKUP(A859,[1]Sheet!B$3:G$2921,5,0)</f>
        <v>407.1</v>
      </c>
      <c r="H859" s="5" t="e">
        <f>VLOOKUP(A859,N$3:S$1271,5,FALSE)</f>
        <v>#N/A</v>
      </c>
      <c r="I859" s="6">
        <f t="shared" si="53"/>
        <v>407.1</v>
      </c>
      <c r="J859" s="7">
        <f>VLOOKUP(A859,[1]Sheet!B$3:G$2921,6,0)</f>
        <v>407.1</v>
      </c>
      <c r="K859" s="8" t="e">
        <f t="shared" si="54"/>
        <v>#N/A</v>
      </c>
      <c r="L859" s="6">
        <f t="shared" si="55"/>
        <v>407.1</v>
      </c>
    </row>
    <row r="860" spans="1:12" x14ac:dyDescent="0.25">
      <c r="A860" s="9" t="s">
        <v>859</v>
      </c>
      <c r="B860" s="2" t="str">
        <f>VLOOKUP(A860,[1]Sheet!B$3:G$2921,2,0)</f>
        <v>Труби сталевi безшовнi гарячедеформованi
iз сталi марки 15, 20, 25, зовнiшнiй дiаметр
219 мм, товщина стiнки 6 мм</v>
      </c>
      <c r="C860" s="3" t="str">
        <f>VLOOKUP(A860,[1]Sheet!B$3:G$2921,3,0)</f>
        <v>м</v>
      </c>
      <c r="D860" s="4">
        <v>0.40400000000000003</v>
      </c>
      <c r="E860" s="5" t="e">
        <f>VLOOKUP(A860,N$3:S$1271,4,FALSE)</f>
        <v>#N/A</v>
      </c>
      <c r="F860" s="6">
        <f t="shared" si="52"/>
        <v>0.40400000000000003</v>
      </c>
      <c r="G860" s="7">
        <f>VLOOKUP(A860,[1]Sheet!B$3:G$2921,5,0)</f>
        <v>1218.3599999999999</v>
      </c>
      <c r="H860" s="5" t="e">
        <f>VLOOKUP(A860,N$3:S$1271,5,FALSE)</f>
        <v>#N/A</v>
      </c>
      <c r="I860" s="6">
        <f t="shared" si="53"/>
        <v>1218.3599999999999</v>
      </c>
      <c r="J860" s="7">
        <f>VLOOKUP(A860,[1]Sheet!B$3:G$2921,6,0)</f>
        <v>492.22</v>
      </c>
      <c r="K860" s="8" t="e">
        <f t="shared" si="54"/>
        <v>#N/A</v>
      </c>
      <c r="L860" s="6">
        <f t="shared" si="55"/>
        <v>492.22</v>
      </c>
    </row>
    <row r="861" spans="1:12" x14ac:dyDescent="0.25">
      <c r="A861" s="9" t="s">
        <v>860</v>
      </c>
      <c r="B861" s="2" t="str">
        <f>VLOOKUP(A861,[1]Sheet!B$3:G$2921,2,0)</f>
        <v>Труба каналізаційна чавунна, дiаметр 100
мм</v>
      </c>
      <c r="C861" s="3" t="str">
        <f>VLOOKUP(A861,[1]Sheet!B$3:G$2921,3,0)</f>
        <v>м</v>
      </c>
      <c r="D861" s="4">
        <v>1.5</v>
      </c>
      <c r="E861" s="5" t="e">
        <f>VLOOKUP(A861,N$3:S$1271,4,FALSE)</f>
        <v>#N/A</v>
      </c>
      <c r="F861" s="6">
        <f t="shared" si="52"/>
        <v>1.5</v>
      </c>
      <c r="G861" s="7">
        <f>VLOOKUP(A861,[1]Sheet!B$3:G$2921,5,0)</f>
        <v>526.74</v>
      </c>
      <c r="H861" s="5" t="e">
        <f>VLOOKUP(A861,N$3:S$1271,5,FALSE)</f>
        <v>#N/A</v>
      </c>
      <c r="I861" s="6">
        <f t="shared" si="53"/>
        <v>526.74</v>
      </c>
      <c r="J861" s="7">
        <f>VLOOKUP(A861,[1]Sheet!B$3:G$2921,6,0)</f>
        <v>790.11</v>
      </c>
      <c r="K861" s="8" t="e">
        <f t="shared" si="54"/>
        <v>#N/A</v>
      </c>
      <c r="L861" s="6">
        <f t="shared" si="55"/>
        <v>790.11</v>
      </c>
    </row>
    <row r="862" spans="1:12" x14ac:dyDescent="0.25">
      <c r="A862" s="9" t="s">
        <v>861</v>
      </c>
      <c r="B862" s="2" t="str">
        <f>VLOOKUP(A862,[1]Sheet!B$3:G$2921,2,0)</f>
        <v>Люк полімер-піщаний тип "С" с ЗУ</v>
      </c>
      <c r="C862" s="3" t="str">
        <f>VLOOKUP(A862,[1]Sheet!B$3:G$2921,3,0)</f>
        <v>шт</v>
      </c>
      <c r="D862" s="4">
        <v>3</v>
      </c>
      <c r="E862" s="5" t="e">
        <f>VLOOKUP(A862,N$3:S$1271,4,FALSE)</f>
        <v>#N/A</v>
      </c>
      <c r="F862" s="6">
        <f t="shared" si="52"/>
        <v>3</v>
      </c>
      <c r="G862" s="7">
        <f>VLOOKUP(A862,[1]Sheet!B$3:G$2921,5,0)</f>
        <v>1841.74</v>
      </c>
      <c r="H862" s="5" t="e">
        <f>VLOOKUP(A862,N$3:S$1271,5,FALSE)</f>
        <v>#N/A</v>
      </c>
      <c r="I862" s="6">
        <f t="shared" si="53"/>
        <v>1841.74</v>
      </c>
      <c r="J862" s="7">
        <f>VLOOKUP(A862,[1]Sheet!B$3:G$2921,6,0)</f>
        <v>1841.74</v>
      </c>
      <c r="K862" s="8" t="e">
        <f t="shared" si="54"/>
        <v>#N/A</v>
      </c>
      <c r="L862" s="6">
        <f t="shared" si="55"/>
        <v>1841.74</v>
      </c>
    </row>
    <row r="863" spans="1:12" x14ac:dyDescent="0.25">
      <c r="A863" s="9" t="s">
        <v>862</v>
      </c>
      <c r="B863" s="2" t="str">
        <f>VLOOKUP(A863,[1]Sheet!B$3:G$2921,2,0)</f>
        <v>Люк чавунний для колодязiв важкий</v>
      </c>
      <c r="C863" s="3" t="str">
        <f>VLOOKUP(A863,[1]Sheet!B$3:G$2921,3,0)</f>
        <v>шт</v>
      </c>
      <c r="D863" s="4">
        <v>2</v>
      </c>
      <c r="E863" s="5" t="e">
        <f>VLOOKUP(A863,N$3:S$1271,4,FALSE)</f>
        <v>#N/A</v>
      </c>
      <c r="F863" s="6">
        <f t="shared" si="52"/>
        <v>2</v>
      </c>
      <c r="G863" s="7">
        <f>VLOOKUP(A863,[1]Sheet!B$3:G$2921,5,0)</f>
        <v>3053.66</v>
      </c>
      <c r="H863" s="5" t="e">
        <f>VLOOKUP(A863,N$3:S$1271,5,FALSE)</f>
        <v>#N/A</v>
      </c>
      <c r="I863" s="6">
        <f t="shared" si="53"/>
        <v>3053.66</v>
      </c>
      <c r="J863" s="7">
        <f>VLOOKUP(A863,[1]Sheet!B$3:G$2921,6,0)</f>
        <v>3053.66</v>
      </c>
      <c r="K863" s="8" t="e">
        <f t="shared" si="54"/>
        <v>#N/A</v>
      </c>
      <c r="L863" s="6">
        <f t="shared" si="55"/>
        <v>3053.66</v>
      </c>
    </row>
    <row r="864" spans="1:12" x14ac:dyDescent="0.25">
      <c r="A864" s="9" t="s">
        <v>863</v>
      </c>
      <c r="B864" s="2" t="str">
        <f>VLOOKUP(A864,[1]Sheet!B$3:G$2921,2,0)</f>
        <v>Відбірний пристрій тиску 1,6-225У</v>
      </c>
      <c r="C864" s="3" t="str">
        <f>VLOOKUP(A864,[1]Sheet!B$3:G$2921,3,0)</f>
        <v>шт</v>
      </c>
      <c r="D864" s="4">
        <v>9</v>
      </c>
      <c r="E864" s="5" t="e">
        <f>VLOOKUP(A864,N$3:S$1271,4,FALSE)</f>
        <v>#N/A</v>
      </c>
      <c r="F864" s="6">
        <f t="shared" si="52"/>
        <v>9</v>
      </c>
      <c r="G864" s="7">
        <f>VLOOKUP(A864,[1]Sheet!B$3:G$2921,5,0)</f>
        <v>213.73</v>
      </c>
      <c r="H864" s="5" t="e">
        <f>VLOOKUP(A864,N$3:S$1271,5,FALSE)</f>
        <v>#N/A</v>
      </c>
      <c r="I864" s="6">
        <f t="shared" si="53"/>
        <v>213.73</v>
      </c>
      <c r="J864" s="7">
        <f>VLOOKUP(A864,[1]Sheet!B$3:G$2921,6,0)</f>
        <v>1282.3800000000001</v>
      </c>
      <c r="K864" s="8" t="e">
        <f t="shared" si="54"/>
        <v>#N/A</v>
      </c>
      <c r="L864" s="6">
        <f t="shared" si="55"/>
        <v>1282.3800000000001</v>
      </c>
    </row>
    <row r="865" spans="1:12" x14ac:dyDescent="0.25">
      <c r="A865" s="9" t="s">
        <v>864</v>
      </c>
      <c r="B865" s="2" t="str">
        <f>VLOOKUP(A865,[1]Sheet!B$3:G$2921,2,0)</f>
        <v>Відвод 90_ дiам. 50 мм ( GIV110)</v>
      </c>
      <c r="C865" s="3" t="str">
        <f>VLOOKUP(A865,[1]Sheet!B$3:G$2921,3,0)</f>
        <v>шт</v>
      </c>
      <c r="D865" s="4">
        <v>14</v>
      </c>
      <c r="E865" s="5" t="e">
        <f>VLOOKUP(A865,N$3:S$1271,4,FALSE)</f>
        <v>#N/A</v>
      </c>
      <c r="F865" s="6">
        <f t="shared" si="52"/>
        <v>14</v>
      </c>
      <c r="G865" s="7">
        <f>VLOOKUP(A865,[1]Sheet!B$3:G$2921,5,0)</f>
        <v>63.43</v>
      </c>
      <c r="H865" s="5" t="e">
        <f>VLOOKUP(A865,N$3:S$1271,5,FALSE)</f>
        <v>#N/A</v>
      </c>
      <c r="I865" s="6">
        <f t="shared" si="53"/>
        <v>63.43</v>
      </c>
      <c r="J865" s="7">
        <f>VLOOKUP(A865,[1]Sheet!B$3:G$2921,6,0)</f>
        <v>634.29999999999995</v>
      </c>
      <c r="K865" s="8" t="e">
        <f t="shared" si="54"/>
        <v>#N/A</v>
      </c>
      <c r="L865" s="6">
        <f t="shared" si="55"/>
        <v>634.29999999999995</v>
      </c>
    </row>
    <row r="866" spans="1:12" x14ac:dyDescent="0.25">
      <c r="A866" s="9" t="s">
        <v>865</v>
      </c>
      <c r="B866" s="2" t="str">
        <f>VLOOKUP(A866,[1]Sheet!B$3:G$2921,2,0)</f>
        <v>Відвод 90_ дiам. 110 мм (GIV110)</v>
      </c>
      <c r="C866" s="3" t="str">
        <f>VLOOKUP(A866,[1]Sheet!B$3:G$2921,3,0)</f>
        <v>шт</v>
      </c>
      <c r="D866" s="4">
        <v>6</v>
      </c>
      <c r="E866" s="5" t="e">
        <f>VLOOKUP(A866,N$3:S$1271,4,FALSE)</f>
        <v>#N/A</v>
      </c>
      <c r="F866" s="6">
        <f t="shared" si="52"/>
        <v>6</v>
      </c>
      <c r="G866" s="7">
        <f>VLOOKUP(A866,[1]Sheet!B$3:G$2921,5,0)</f>
        <v>513.29999999999995</v>
      </c>
      <c r="H866" s="5" t="e">
        <f>VLOOKUP(A866,N$3:S$1271,5,FALSE)</f>
        <v>#N/A</v>
      </c>
      <c r="I866" s="6">
        <f t="shared" si="53"/>
        <v>513.29999999999995</v>
      </c>
      <c r="J866" s="7">
        <f>VLOOKUP(A866,[1]Sheet!B$3:G$2921,6,0)</f>
        <v>3079.8</v>
      </c>
      <c r="K866" s="8" t="e">
        <f t="shared" si="54"/>
        <v>#N/A</v>
      </c>
      <c r="L866" s="6">
        <f t="shared" si="55"/>
        <v>3079.8</v>
      </c>
    </row>
    <row r="867" spans="1:12" x14ac:dyDescent="0.25">
      <c r="A867" s="9" t="s">
        <v>866</v>
      </c>
      <c r="B867" s="2" t="str">
        <f>VLOOKUP(A867,[1]Sheet!B$3:G$2921,2,0)</f>
        <v>Відвод 45_ дiам. 110 мм / HIV110</v>
      </c>
      <c r="C867" s="3" t="str">
        <f>VLOOKUP(A867,[1]Sheet!B$3:G$2921,3,0)</f>
        <v>шт</v>
      </c>
      <c r="D867" s="4">
        <v>3</v>
      </c>
      <c r="E867" s="5" t="e">
        <f>VLOOKUP(A867,N$3:S$1271,4,FALSE)</f>
        <v>#N/A</v>
      </c>
      <c r="F867" s="6">
        <f t="shared" si="52"/>
        <v>3</v>
      </c>
      <c r="G867" s="7">
        <f>VLOOKUP(A867,[1]Sheet!B$3:G$2921,5,0)</f>
        <v>582.91999999999996</v>
      </c>
      <c r="H867" s="5" t="e">
        <f>VLOOKUP(A867,N$3:S$1271,5,FALSE)</f>
        <v>#N/A</v>
      </c>
      <c r="I867" s="6">
        <f t="shared" si="53"/>
        <v>582.91999999999996</v>
      </c>
      <c r="J867" s="7">
        <f>VLOOKUP(A867,[1]Sheet!B$3:G$2921,6,0)</f>
        <v>1748.76</v>
      </c>
      <c r="K867" s="8" t="e">
        <f t="shared" si="54"/>
        <v>#N/A</v>
      </c>
      <c r="L867" s="6">
        <f t="shared" si="55"/>
        <v>1748.76</v>
      </c>
    </row>
    <row r="868" spans="1:12" x14ac:dyDescent="0.25">
      <c r="A868" s="9" t="s">
        <v>867</v>
      </c>
      <c r="B868" s="2" t="str">
        <f>VLOOKUP(A868,[1]Sheet!B$3:G$2921,2,0)</f>
        <v>Відвід 90_ зварний ПЕ100, SDR17, Ру до
1МПа, Д=225мм</v>
      </c>
      <c r="C868" s="3" t="str">
        <f>VLOOKUP(A868,[1]Sheet!B$3:G$2921,3,0)</f>
        <v>шт</v>
      </c>
      <c r="D868" s="4">
        <v>2</v>
      </c>
      <c r="E868" s="5" t="e">
        <f>VLOOKUP(A868,N$3:S$1271,4,FALSE)</f>
        <v>#N/A</v>
      </c>
      <c r="F868" s="6">
        <f t="shared" si="52"/>
        <v>2</v>
      </c>
      <c r="G868" s="7">
        <f>VLOOKUP(A868,[1]Sheet!B$3:G$2921,5,0)</f>
        <v>4019.81</v>
      </c>
      <c r="H868" s="5" t="e">
        <f>VLOOKUP(A868,N$3:S$1271,5,FALSE)</f>
        <v>#N/A</v>
      </c>
      <c r="I868" s="6">
        <f t="shared" si="53"/>
        <v>4019.81</v>
      </c>
      <c r="J868" s="7">
        <f>VLOOKUP(A868,[1]Sheet!B$3:G$2921,6,0)</f>
        <v>4019.81</v>
      </c>
      <c r="K868" s="8" t="e">
        <f t="shared" si="54"/>
        <v>#N/A</v>
      </c>
      <c r="L868" s="6">
        <f t="shared" si="55"/>
        <v>4019.81</v>
      </c>
    </row>
    <row r="869" spans="1:12" x14ac:dyDescent="0.25">
      <c r="A869" s="9" t="s">
        <v>868</v>
      </c>
      <c r="B869" s="2" t="str">
        <f>VLOOKUP(A869,[1]Sheet!B$3:G$2921,2,0)</f>
        <v>Відвід 45_ зварний ПЕ100 SDR17, Ру до
1МПа, Д=225мм</v>
      </c>
      <c r="C869" s="3" t="str">
        <f>VLOOKUP(A869,[1]Sheet!B$3:G$2921,3,0)</f>
        <v>шт</v>
      </c>
      <c r="D869" s="4">
        <v>14</v>
      </c>
      <c r="E869" s="5" t="e">
        <f>VLOOKUP(A869,N$3:S$1271,4,FALSE)</f>
        <v>#N/A</v>
      </c>
      <c r="F869" s="6">
        <f t="shared" si="52"/>
        <v>14</v>
      </c>
      <c r="G869" s="7">
        <f>VLOOKUP(A869,[1]Sheet!B$3:G$2921,5,0)</f>
        <v>4019.81</v>
      </c>
      <c r="H869" s="5" t="e">
        <f>VLOOKUP(A869,N$3:S$1271,5,FALSE)</f>
        <v>#N/A</v>
      </c>
      <c r="I869" s="6">
        <f t="shared" si="53"/>
        <v>4019.81</v>
      </c>
      <c r="J869" s="7">
        <f>VLOOKUP(A869,[1]Sheet!B$3:G$2921,6,0)</f>
        <v>28138.67</v>
      </c>
      <c r="K869" s="8" t="e">
        <f t="shared" si="54"/>
        <v>#N/A</v>
      </c>
      <c r="L869" s="6">
        <f t="shared" si="55"/>
        <v>28138.67</v>
      </c>
    </row>
    <row r="870" spans="1:12" x14ac:dyDescent="0.25">
      <c r="A870" s="9" t="s">
        <v>869</v>
      </c>
      <c r="B870" s="2" t="str">
        <f>VLOOKUP(A870,[1]Sheet!B$3:G$2921,2,0)</f>
        <v>Утеплювач  "Termolife"  тип "ТЛ
Eколайт"товщина 50мм</v>
      </c>
      <c r="C870" s="3" t="str">
        <f>VLOOKUP(A870,[1]Sheet!B$3:G$2921,3,0)</f>
        <v>м2</v>
      </c>
      <c r="D870" s="4">
        <v>14.484</v>
      </c>
      <c r="E870" s="5" t="e">
        <f>VLOOKUP(A870,N$3:S$1271,4,FALSE)</f>
        <v>#N/A</v>
      </c>
      <c r="F870" s="6">
        <f t="shared" si="52"/>
        <v>14.484</v>
      </c>
      <c r="G870" s="7">
        <f>VLOOKUP(A870,[1]Sheet!B$3:G$2921,5,0)</f>
        <v>135.38999999999999</v>
      </c>
      <c r="H870" s="5" t="e">
        <f>VLOOKUP(A870,N$3:S$1271,5,FALSE)</f>
        <v>#N/A</v>
      </c>
      <c r="I870" s="6">
        <f t="shared" si="53"/>
        <v>135.38999999999999</v>
      </c>
      <c r="J870" s="7">
        <f>VLOOKUP(A870,[1]Sheet!B$3:G$2921,6,0)</f>
        <v>1960.99</v>
      </c>
      <c r="K870" s="8" t="e">
        <f t="shared" si="54"/>
        <v>#N/A</v>
      </c>
      <c r="L870" s="6">
        <f t="shared" si="55"/>
        <v>1960.99</v>
      </c>
    </row>
    <row r="871" spans="1:12" x14ac:dyDescent="0.25">
      <c r="A871" s="9" t="s">
        <v>870</v>
      </c>
      <c r="B871" s="2" t="str">
        <f>VLOOKUP(A871,[1]Sheet!B$3:G$2921,2,0)</f>
        <v>Система "Брандізол" (картон ТК-4 + клей ТК-
4)</v>
      </c>
      <c r="C871" s="3" t="str">
        <f>VLOOKUP(A871,[1]Sheet!B$3:G$2921,3,0)</f>
        <v>м2</v>
      </c>
      <c r="D871" s="4">
        <v>66.5</v>
      </c>
      <c r="E871" s="5" t="e">
        <f>VLOOKUP(A871,N$3:S$1271,4,FALSE)</f>
        <v>#N/A</v>
      </c>
      <c r="F871" s="6">
        <f t="shared" si="52"/>
        <v>66.5</v>
      </c>
      <c r="G871" s="7">
        <f>VLOOKUP(A871,[1]Sheet!B$3:G$2921,5,0)</f>
        <v>309.81</v>
      </c>
      <c r="H871" s="5" t="e">
        <f>VLOOKUP(A871,N$3:S$1271,5,FALSE)</f>
        <v>#N/A</v>
      </c>
      <c r="I871" s="6">
        <f t="shared" si="53"/>
        <v>309.81</v>
      </c>
      <c r="J871" s="7">
        <f>VLOOKUP(A871,[1]Sheet!B$3:G$2921,6,0)</f>
        <v>20602.37</v>
      </c>
      <c r="K871" s="8" t="e">
        <f t="shared" si="54"/>
        <v>#N/A</v>
      </c>
      <c r="L871" s="6">
        <f t="shared" si="55"/>
        <v>20602.37</v>
      </c>
    </row>
    <row r="872" spans="1:12" x14ac:dyDescent="0.25">
      <c r="A872" s="9" t="s">
        <v>871</v>
      </c>
      <c r="B872" s="2" t="str">
        <f>VLOOKUP(A872,[1]Sheet!B$3:G$2921,2,0)</f>
        <v>Напівциліндри теплоізоляційні з
базальтового волокна товщиною 30мм
Д=38мм</v>
      </c>
      <c r="C872" s="3" t="str">
        <f>VLOOKUP(A872,[1]Sheet!B$3:G$2921,3,0)</f>
        <v>м</v>
      </c>
      <c r="D872" s="4">
        <v>11.5</v>
      </c>
      <c r="E872" s="5" t="e">
        <f>VLOOKUP(A872,N$3:S$1271,4,FALSE)</f>
        <v>#N/A</v>
      </c>
      <c r="F872" s="6">
        <f t="shared" si="52"/>
        <v>11.5</v>
      </c>
      <c r="G872" s="7">
        <f>VLOOKUP(A872,[1]Sheet!B$3:G$2921,5,0)</f>
        <v>60.61</v>
      </c>
      <c r="H872" s="5" t="e">
        <f>VLOOKUP(A872,N$3:S$1271,5,FALSE)</f>
        <v>#N/A</v>
      </c>
      <c r="I872" s="6">
        <f t="shared" si="53"/>
        <v>60.61</v>
      </c>
      <c r="J872" s="7">
        <f>VLOOKUP(A872,[1]Sheet!B$3:G$2921,6,0)</f>
        <v>212.14</v>
      </c>
      <c r="K872" s="8" t="e">
        <f t="shared" si="54"/>
        <v>#N/A</v>
      </c>
      <c r="L872" s="6">
        <f t="shared" si="55"/>
        <v>212.14</v>
      </c>
    </row>
    <row r="873" spans="1:12" x14ac:dyDescent="0.25">
      <c r="A873" s="9" t="s">
        <v>872</v>
      </c>
      <c r="B873" s="2" t="str">
        <f>VLOOKUP(A873,[1]Sheet!B$3:G$2921,2,0)</f>
        <v>Напівциліндри теплоізоляційні з
базальтового волокна товщиною 30мм Д=20
мм</v>
      </c>
      <c r="C873" s="3" t="str">
        <f>VLOOKUP(A873,[1]Sheet!B$3:G$2921,3,0)</f>
        <v>м</v>
      </c>
      <c r="D873" s="4">
        <v>12</v>
      </c>
      <c r="E873" s="5" t="e">
        <f>VLOOKUP(A873,N$3:S$1271,4,FALSE)</f>
        <v>#N/A</v>
      </c>
      <c r="F873" s="6">
        <f t="shared" si="52"/>
        <v>12</v>
      </c>
      <c r="G873" s="7">
        <f>VLOOKUP(A873,[1]Sheet!B$3:G$2921,5,0)</f>
        <v>47.86</v>
      </c>
      <c r="H873" s="5" t="e">
        <f>VLOOKUP(A873,N$3:S$1271,5,FALSE)</f>
        <v>#N/A</v>
      </c>
      <c r="I873" s="6">
        <f t="shared" si="53"/>
        <v>47.86</v>
      </c>
      <c r="J873" s="7">
        <f>VLOOKUP(A873,[1]Sheet!B$3:G$2921,6,0)</f>
        <v>95.72</v>
      </c>
      <c r="K873" s="8" t="e">
        <f t="shared" si="54"/>
        <v>#N/A</v>
      </c>
      <c r="L873" s="6">
        <f t="shared" si="55"/>
        <v>95.72</v>
      </c>
    </row>
    <row r="874" spans="1:12" x14ac:dyDescent="0.25">
      <c r="A874" s="9" t="s">
        <v>873</v>
      </c>
      <c r="B874" s="2" t="str">
        <f>VLOOKUP(A874,[1]Sheet!B$3:G$2921,2,0)</f>
        <v>Мінвата фольгована, товщ. 40мм</v>
      </c>
      <c r="C874" s="3" t="str">
        <f>VLOOKUP(A874,[1]Sheet!B$3:G$2921,3,0)</f>
        <v>м3</v>
      </c>
      <c r="D874" s="4">
        <v>8.9600000000000009</v>
      </c>
      <c r="E874" s="5" t="e">
        <f>VLOOKUP(A874,N$3:S$1271,4,FALSE)</f>
        <v>#N/A</v>
      </c>
      <c r="F874" s="6">
        <f t="shared" si="52"/>
        <v>8.9600000000000009</v>
      </c>
      <c r="G874" s="7">
        <f>VLOOKUP(A874,[1]Sheet!B$3:G$2921,5,0)</f>
        <v>1422.71</v>
      </c>
      <c r="H874" s="5" t="e">
        <f>VLOOKUP(A874,N$3:S$1271,5,FALSE)</f>
        <v>#N/A</v>
      </c>
      <c r="I874" s="6">
        <f t="shared" si="53"/>
        <v>1422.71</v>
      </c>
      <c r="J874" s="7">
        <f>VLOOKUP(A874,[1]Sheet!B$3:G$2921,6,0)</f>
        <v>782.49</v>
      </c>
      <c r="K874" s="8" t="e">
        <f t="shared" si="54"/>
        <v>#N/A</v>
      </c>
      <c r="L874" s="6">
        <f t="shared" si="55"/>
        <v>782.49</v>
      </c>
    </row>
    <row r="875" spans="1:12" x14ac:dyDescent="0.25">
      <c r="A875" s="9" t="s">
        <v>874</v>
      </c>
      <c r="B875" s="2" t="str">
        <f>VLOOKUP(A875,[1]Sheet!B$3:G$2921,2,0)</f>
        <v>Напівциліндри теплоізоляційні з
базальтового волокна товщиною 30мм
Д=76мм</v>
      </c>
      <c r="C875" s="3" t="str">
        <f>VLOOKUP(A875,[1]Sheet!B$3:G$2921,3,0)</f>
        <v>м</v>
      </c>
      <c r="D875" s="4">
        <v>129.5</v>
      </c>
      <c r="E875" s="5" t="e">
        <f>VLOOKUP(A875,N$3:S$1271,4,FALSE)</f>
        <v>#N/A</v>
      </c>
      <c r="F875" s="6">
        <f t="shared" si="52"/>
        <v>129.5</v>
      </c>
      <c r="G875" s="7">
        <f>VLOOKUP(A875,[1]Sheet!B$3:G$2921,5,0)</f>
        <v>92.43</v>
      </c>
      <c r="H875" s="5" t="e">
        <f>VLOOKUP(A875,N$3:S$1271,5,FALSE)</f>
        <v>#N/A</v>
      </c>
      <c r="I875" s="6">
        <f t="shared" si="53"/>
        <v>92.43</v>
      </c>
      <c r="J875" s="7">
        <f>VLOOKUP(A875,[1]Sheet!B$3:G$2921,6,0)</f>
        <v>1294.02</v>
      </c>
      <c r="K875" s="8" t="e">
        <f t="shared" si="54"/>
        <v>#N/A</v>
      </c>
      <c r="L875" s="6">
        <f t="shared" si="55"/>
        <v>1294.02</v>
      </c>
    </row>
    <row r="876" spans="1:12" x14ac:dyDescent="0.25">
      <c r="A876" s="9" t="s">
        <v>875</v>
      </c>
      <c r="B876" s="2" t="str">
        <f>VLOOKUP(A876,[1]Sheet!B$3:G$2921,2,0)</f>
        <v>Синтетичний каучук марки K-FLEX ST,
товщ. 19 мм, діам. 16х2,2</v>
      </c>
      <c r="C876" s="3" t="str">
        <f>VLOOKUP(A876,[1]Sheet!B$3:G$2921,3,0)</f>
        <v>м</v>
      </c>
      <c r="D876" s="4">
        <v>626.28</v>
      </c>
      <c r="E876" s="5" t="e">
        <f>VLOOKUP(A876,N$3:S$1271,4,FALSE)</f>
        <v>#N/A</v>
      </c>
      <c r="F876" s="6">
        <f t="shared" si="52"/>
        <v>626.28</v>
      </c>
      <c r="G876" s="7">
        <f>VLOOKUP(A876,[1]Sheet!B$3:G$2921,5,0)</f>
        <v>81.92</v>
      </c>
      <c r="H876" s="5" t="e">
        <f>VLOOKUP(A876,N$3:S$1271,5,FALSE)</f>
        <v>#N/A</v>
      </c>
      <c r="I876" s="6">
        <f t="shared" si="53"/>
        <v>81.92</v>
      </c>
      <c r="J876" s="7">
        <f>VLOOKUP(A876,[1]Sheet!B$3:G$2921,6,0)</f>
        <v>1253.3800000000001</v>
      </c>
      <c r="K876" s="8" t="e">
        <f t="shared" si="54"/>
        <v>#N/A</v>
      </c>
      <c r="L876" s="6">
        <f t="shared" si="55"/>
        <v>1253.3800000000001</v>
      </c>
    </row>
    <row r="877" spans="1:12" x14ac:dyDescent="0.25">
      <c r="A877" s="9" t="s">
        <v>876</v>
      </c>
      <c r="B877" s="2" t="str">
        <f>VLOOKUP(A877,[1]Sheet!B$3:G$2921,2,0)</f>
        <v>Ізоляція "Нобасил", товщ. 20мм</v>
      </c>
      <c r="C877" s="3" t="str">
        <f>VLOOKUP(A877,[1]Sheet!B$3:G$2921,3,0)</f>
        <v>м2</v>
      </c>
      <c r="D877" s="4">
        <v>510</v>
      </c>
      <c r="E877" s="5" t="e">
        <f>VLOOKUP(A877,N$3:S$1271,4,FALSE)</f>
        <v>#N/A</v>
      </c>
      <c r="F877" s="6">
        <f t="shared" si="52"/>
        <v>510</v>
      </c>
      <c r="G877" s="7">
        <f>VLOOKUP(A877,[1]Sheet!B$3:G$2921,5,0)</f>
        <v>61.52</v>
      </c>
      <c r="H877" s="5" t="e">
        <f>VLOOKUP(A877,N$3:S$1271,5,FALSE)</f>
        <v>#N/A</v>
      </c>
      <c r="I877" s="6">
        <f t="shared" si="53"/>
        <v>61.52</v>
      </c>
      <c r="J877" s="7">
        <f>VLOOKUP(A877,[1]Sheet!B$3:G$2921,6,0)</f>
        <v>18456</v>
      </c>
      <c r="K877" s="8" t="e">
        <f t="shared" si="54"/>
        <v>#N/A</v>
      </c>
      <c r="L877" s="6">
        <f t="shared" si="55"/>
        <v>18456</v>
      </c>
    </row>
    <row r="878" spans="1:12" x14ac:dyDescent="0.25">
      <c r="A878" s="9" t="s">
        <v>877</v>
      </c>
      <c r="B878" s="2" t="str">
        <f>VLOOKUP(A878,[1]Sheet!B$3:G$2921,2,0)</f>
        <v>Мати мiнераловатнi прошивнi в обкладках з
металевої сітки</v>
      </c>
      <c r="C878" s="3" t="str">
        <f>VLOOKUP(A878,[1]Sheet!B$3:G$2921,3,0)</f>
        <v>м3</v>
      </c>
      <c r="D878" s="4">
        <v>0.28800000000000003</v>
      </c>
      <c r="E878" s="5" t="e">
        <f>VLOOKUP(A878,N$3:S$1271,4,FALSE)</f>
        <v>#N/A</v>
      </c>
      <c r="F878" s="6">
        <f t="shared" si="52"/>
        <v>0.28800000000000003</v>
      </c>
      <c r="G878" s="7">
        <f>VLOOKUP(A878,[1]Sheet!B$3:G$2921,5,0)</f>
        <v>3714.59</v>
      </c>
      <c r="H878" s="5" t="e">
        <f>VLOOKUP(A878,N$3:S$1271,5,FALSE)</f>
        <v>#N/A</v>
      </c>
      <c r="I878" s="6">
        <f t="shared" si="53"/>
        <v>3714.59</v>
      </c>
      <c r="J878" s="7">
        <f>VLOOKUP(A878,[1]Sheet!B$3:G$2921,6,0)</f>
        <v>445.75</v>
      </c>
      <c r="K878" s="8" t="e">
        <f t="shared" si="54"/>
        <v>#N/A</v>
      </c>
      <c r="L878" s="6">
        <f t="shared" si="55"/>
        <v>445.75</v>
      </c>
    </row>
    <row r="879" spans="1:12" x14ac:dyDescent="0.25">
      <c r="A879" s="9" t="s">
        <v>878</v>
      </c>
      <c r="B879" s="2" t="str">
        <f>VLOOKUP(A879,[1]Sheet!B$3:G$2921,2,0)</f>
        <v>Мiнераловатни плити TERMOLIFE TЛ ЕКО
Фасад 50мм</v>
      </c>
      <c r="C879" s="3" t="str">
        <f>VLOOKUP(A879,[1]Sheet!B$3:G$2921,3,0)</f>
        <v>м3</v>
      </c>
      <c r="D879" s="4">
        <v>3.5309999999999997</v>
      </c>
      <c r="E879" s="5" t="e">
        <f>VLOOKUP(A879,N$3:S$1271,4,FALSE)</f>
        <v>#N/A</v>
      </c>
      <c r="F879" s="6">
        <f t="shared" si="52"/>
        <v>3.5309999999999997</v>
      </c>
      <c r="G879" s="7">
        <f>VLOOKUP(A879,[1]Sheet!B$3:G$2921,5,0)</f>
        <v>2880.52</v>
      </c>
      <c r="H879" s="5" t="e">
        <f>VLOOKUP(A879,N$3:S$1271,5,FALSE)</f>
        <v>#N/A</v>
      </c>
      <c r="I879" s="6">
        <f t="shared" si="53"/>
        <v>2880.52</v>
      </c>
      <c r="J879" s="7">
        <f>VLOOKUP(A879,[1]Sheet!B$3:G$2921,6,0)</f>
        <v>10140.290000000001</v>
      </c>
      <c r="K879" s="8" t="e">
        <f t="shared" si="54"/>
        <v>#N/A</v>
      </c>
      <c r="L879" s="6">
        <f t="shared" si="55"/>
        <v>10140.290000000001</v>
      </c>
    </row>
    <row r="880" spans="1:12" x14ac:dyDescent="0.25">
      <c r="A880" s="9" t="s">
        <v>879</v>
      </c>
      <c r="B880" s="2" t="str">
        <f>VLOOKUP(A880,[1]Sheet!B$3:G$2921,2,0)</f>
        <v>Плити "TERMOLIFE" тип "ТЛ КРОВЛЯ Н"
товщ. 100мм</v>
      </c>
      <c r="C880" s="3" t="str">
        <f>VLOOKUP(A880,[1]Sheet!B$3:G$2921,3,0)</f>
        <v>м3</v>
      </c>
      <c r="D880" s="4">
        <v>138.53097500000001</v>
      </c>
      <c r="E880" s="5" t="e">
        <f>VLOOKUP(A880,N$3:S$1271,4,FALSE)</f>
        <v>#N/A</v>
      </c>
      <c r="F880" s="6">
        <f t="shared" si="52"/>
        <v>138.53097500000001</v>
      </c>
      <c r="G880" s="7">
        <f>VLOOKUP(A880,[1]Sheet!B$3:G$2921,5,0)</f>
        <v>2216.4299999999998</v>
      </c>
      <c r="H880" s="5" t="e">
        <f>VLOOKUP(A880,N$3:S$1271,5,FALSE)</f>
        <v>#N/A</v>
      </c>
      <c r="I880" s="6">
        <f t="shared" si="53"/>
        <v>2216.4299999999998</v>
      </c>
      <c r="J880" s="7">
        <f>VLOOKUP(A880,[1]Sheet!B$3:G$2921,6,0)</f>
        <v>323615.74</v>
      </c>
      <c r="K880" s="8" t="e">
        <f t="shared" si="54"/>
        <v>#N/A</v>
      </c>
      <c r="L880" s="6">
        <f t="shared" si="55"/>
        <v>323615.74</v>
      </c>
    </row>
    <row r="881" spans="1:12" x14ac:dyDescent="0.25">
      <c r="A881" s="9" t="s">
        <v>880</v>
      </c>
      <c r="B881" s="2" t="str">
        <f>VLOOKUP(A881,[1]Sheet!B$3:G$2921,2,0)</f>
        <v>Плити "TERMOLIFE" тип "ТЛ КРОВЛЯ В"
товщ. 50мм</v>
      </c>
      <c r="C881" s="3" t="str">
        <f>VLOOKUP(A881,[1]Sheet!B$3:G$2921,3,0)</f>
        <v>м3</v>
      </c>
      <c r="D881" s="4">
        <v>77.422775000000016</v>
      </c>
      <c r="E881" s="5" t="e">
        <f>VLOOKUP(A881,N$3:S$1271,4,FALSE)</f>
        <v>#N/A</v>
      </c>
      <c r="F881" s="6">
        <f t="shared" si="52"/>
        <v>77.422775000000016</v>
      </c>
      <c r="G881" s="7">
        <f>VLOOKUP(A881,[1]Sheet!B$3:G$2921,5,0)</f>
        <v>1770.54</v>
      </c>
      <c r="H881" s="5" t="e">
        <f>VLOOKUP(A881,N$3:S$1271,5,FALSE)</f>
        <v>#N/A</v>
      </c>
      <c r="I881" s="6">
        <f t="shared" si="53"/>
        <v>1770.54</v>
      </c>
      <c r="J881" s="7">
        <f>VLOOKUP(A881,[1]Sheet!B$3:G$2921,6,0)</f>
        <v>129256.19</v>
      </c>
      <c r="K881" s="8" t="e">
        <f t="shared" si="54"/>
        <v>#N/A</v>
      </c>
      <c r="L881" s="6">
        <f t="shared" si="55"/>
        <v>129256.19</v>
      </c>
    </row>
    <row r="882" spans="1:12" x14ac:dyDescent="0.25">
      <c r="A882" s="9" t="s">
        <v>881</v>
      </c>
      <c r="B882" s="2" t="str">
        <f>VLOOKUP(A882,[1]Sheet!B$3:G$2921,2,0)</f>
        <v>Плити тип "ТЛ Еко Лайт" товщ. 50мм
"TERMOLIFE"</v>
      </c>
      <c r="C882" s="3" t="str">
        <f>VLOOKUP(A882,[1]Sheet!B$3:G$2921,3,0)</f>
        <v>м3</v>
      </c>
      <c r="D882" s="4">
        <v>54.224350000000001</v>
      </c>
      <c r="E882" s="5" t="e">
        <f>VLOOKUP(A882,N$3:S$1271,4,FALSE)</f>
        <v>#N/A</v>
      </c>
      <c r="F882" s="6">
        <f t="shared" si="52"/>
        <v>54.224350000000001</v>
      </c>
      <c r="G882" s="7">
        <f>VLOOKUP(A882,[1]Sheet!B$3:G$2921,5,0)</f>
        <v>796.61</v>
      </c>
      <c r="H882" s="5" t="e">
        <f>VLOOKUP(A882,N$3:S$1271,5,FALSE)</f>
        <v>#N/A</v>
      </c>
      <c r="I882" s="6">
        <f t="shared" si="53"/>
        <v>796.61</v>
      </c>
      <c r="J882" s="7">
        <f>VLOOKUP(A882,[1]Sheet!B$3:G$2921,6,0)</f>
        <v>23331.15</v>
      </c>
      <c r="K882" s="8" t="e">
        <f t="shared" si="54"/>
        <v>#N/A</v>
      </c>
      <c r="L882" s="6">
        <f t="shared" si="55"/>
        <v>23331.15</v>
      </c>
    </row>
    <row r="883" spans="1:12" x14ac:dyDescent="0.25">
      <c r="A883" s="9" t="s">
        <v>882</v>
      </c>
      <c r="B883" s="2" t="str">
        <f>VLOOKUP(A883,[1]Sheet!B$3:G$2921,2,0)</f>
        <v>Утеплювач "ТЛ ВЕНТ Фасад" товщ. 100мм
"TERMOLIFE"</v>
      </c>
      <c r="C883" s="3" t="str">
        <f>VLOOKUP(A883,[1]Sheet!B$3:G$2921,3,0)</f>
        <v>м2</v>
      </c>
      <c r="D883" s="4">
        <v>17.3</v>
      </c>
      <c r="E883" s="5" t="e">
        <f>VLOOKUP(A883,N$3:S$1271,4,FALSE)</f>
        <v>#N/A</v>
      </c>
      <c r="F883" s="6">
        <f t="shared" si="52"/>
        <v>17.3</v>
      </c>
      <c r="G883" s="7">
        <f>VLOOKUP(A883,[1]Sheet!B$3:G$2921,5,0)</f>
        <v>190.49</v>
      </c>
      <c r="H883" s="5" t="e">
        <f>VLOOKUP(A883,N$3:S$1271,5,FALSE)</f>
        <v>#N/A</v>
      </c>
      <c r="I883" s="6">
        <f t="shared" si="53"/>
        <v>190.49</v>
      </c>
      <c r="J883" s="7">
        <f>VLOOKUP(A883,[1]Sheet!B$3:G$2921,6,0)</f>
        <v>3295.48</v>
      </c>
      <c r="K883" s="8" t="e">
        <f t="shared" si="54"/>
        <v>#N/A</v>
      </c>
      <c r="L883" s="6">
        <f t="shared" si="55"/>
        <v>3295.48</v>
      </c>
    </row>
    <row r="884" spans="1:12" x14ac:dyDescent="0.25">
      <c r="A884" s="9" t="s">
        <v>883</v>
      </c>
      <c r="B884" s="2" t="str">
        <f>VLOOKUP(A884,[1]Sheet!B$3:G$2921,2,0)</f>
        <v>Утеплювач "ТЛ ВЕНТ Фасад" товщ. 120мм
"TERMOLIFE"</v>
      </c>
      <c r="C884" s="3" t="str">
        <f>VLOOKUP(A884,[1]Sheet!B$3:G$2921,3,0)</f>
        <v>м2</v>
      </c>
      <c r="D884" s="4">
        <v>364.8</v>
      </c>
      <c r="E884" s="5" t="e">
        <f>VLOOKUP(A884,N$3:S$1271,4,FALSE)</f>
        <v>#N/A</v>
      </c>
      <c r="F884" s="6">
        <f t="shared" si="52"/>
        <v>364.8</v>
      </c>
      <c r="G884" s="7">
        <f>VLOOKUP(A884,[1]Sheet!B$3:G$2921,5,0)</f>
        <v>228.57</v>
      </c>
      <c r="H884" s="5" t="e">
        <f>VLOOKUP(A884,N$3:S$1271,5,FALSE)</f>
        <v>#N/A</v>
      </c>
      <c r="I884" s="6">
        <f t="shared" si="53"/>
        <v>228.57</v>
      </c>
      <c r="J884" s="7">
        <f>VLOOKUP(A884,[1]Sheet!B$3:G$2921,6,0)</f>
        <v>57782.5</v>
      </c>
      <c r="K884" s="8" t="e">
        <f t="shared" si="54"/>
        <v>#N/A</v>
      </c>
      <c r="L884" s="6">
        <f t="shared" si="55"/>
        <v>57782.5</v>
      </c>
    </row>
    <row r="885" spans="1:12" x14ac:dyDescent="0.25">
      <c r="A885" s="9" t="s">
        <v>884</v>
      </c>
      <c r="B885" s="2" t="str">
        <f>VLOOKUP(A885,[1]Sheet!B$3:G$2921,2,0)</f>
        <v>Утеплювач "ТЛ ВЕНТ Фасад" товщ. 150мм
"TERMOLIFE"</v>
      </c>
      <c r="C885" s="3" t="str">
        <f>VLOOKUP(A885,[1]Sheet!B$3:G$2921,3,0)</f>
        <v>м2</v>
      </c>
      <c r="D885" s="4">
        <v>462.9</v>
      </c>
      <c r="E885" s="5" t="e">
        <f>VLOOKUP(A885,N$3:S$1271,4,FALSE)</f>
        <v>#N/A</v>
      </c>
      <c r="F885" s="6">
        <f t="shared" si="52"/>
        <v>462.9</v>
      </c>
      <c r="G885" s="7">
        <f>VLOOKUP(A885,[1]Sheet!B$3:G$2921,5,0)</f>
        <v>285.72000000000003</v>
      </c>
      <c r="H885" s="5" t="e">
        <f>VLOOKUP(A885,N$3:S$1271,5,FALSE)</f>
        <v>#N/A</v>
      </c>
      <c r="I885" s="6">
        <f t="shared" si="53"/>
        <v>285.72000000000003</v>
      </c>
      <c r="J885" s="7">
        <f>VLOOKUP(A885,[1]Sheet!B$3:G$2921,6,0)</f>
        <v>132259.79</v>
      </c>
      <c r="K885" s="8" t="e">
        <f t="shared" si="54"/>
        <v>#N/A</v>
      </c>
      <c r="L885" s="6">
        <f t="shared" si="55"/>
        <v>132259.79</v>
      </c>
    </row>
    <row r="886" spans="1:12" x14ac:dyDescent="0.25">
      <c r="A886" s="9" t="s">
        <v>885</v>
      </c>
      <c r="B886" s="2" t="str">
        <f>VLOOKUP(A886,[1]Sheet!B$3:G$2921,2,0)</f>
        <v>Плити теплоiзоляцiйнi з екструзійного
пінополістиролу "XPS CARBON PROF 300
RF" "ТехноНІКОЛЬ" б=80мм</v>
      </c>
      <c r="C886" s="3" t="str">
        <f>VLOOKUP(A886,[1]Sheet!B$3:G$2921,3,0)</f>
        <v>м3</v>
      </c>
      <c r="D886" s="4">
        <v>17.043614999999999</v>
      </c>
      <c r="E886" s="5" t="e">
        <f>VLOOKUP(A886,N$3:S$1271,4,FALSE)</f>
        <v>#N/A</v>
      </c>
      <c r="F886" s="6">
        <f t="shared" si="52"/>
        <v>17.043614999999999</v>
      </c>
      <c r="G886" s="7">
        <f>VLOOKUP(A886,[1]Sheet!B$3:G$2921,5,0)</f>
        <v>2822.31</v>
      </c>
      <c r="H886" s="5" t="e">
        <f>VLOOKUP(A886,N$3:S$1271,5,FALSE)</f>
        <v>#N/A</v>
      </c>
      <c r="I886" s="6">
        <f t="shared" si="53"/>
        <v>2822.31</v>
      </c>
      <c r="J886" s="7">
        <f>VLOOKUP(A886,[1]Sheet!B$3:G$2921,6,0)</f>
        <v>140781.51999999999</v>
      </c>
      <c r="K886" s="8" t="e">
        <f t="shared" si="54"/>
        <v>#N/A</v>
      </c>
      <c r="L886" s="6">
        <f t="shared" si="55"/>
        <v>140781.51999999999</v>
      </c>
    </row>
    <row r="887" spans="1:12" x14ac:dyDescent="0.25">
      <c r="A887" s="9" t="s">
        <v>886</v>
      </c>
      <c r="B887" s="2" t="str">
        <f>VLOOKUP(A887,[1]Sheet!B$3:G$2921,2,0)</f>
        <v>Ізоляція із вспіненого поліетилену K-FLEX
PE 9х22</v>
      </c>
      <c r="C887" s="3" t="str">
        <f>VLOOKUP(A887,[1]Sheet!B$3:G$2921,3,0)</f>
        <v>м</v>
      </c>
      <c r="D887" s="4">
        <v>375.36</v>
      </c>
      <c r="E887" s="5" t="e">
        <f>VLOOKUP(A887,N$3:S$1271,4,FALSE)</f>
        <v>#N/A</v>
      </c>
      <c r="F887" s="6">
        <f t="shared" si="52"/>
        <v>375.36</v>
      </c>
      <c r="G887" s="7">
        <f>VLOOKUP(A887,[1]Sheet!B$3:G$2921,5,0)</f>
        <v>23.22</v>
      </c>
      <c r="H887" s="5" t="e">
        <f>VLOOKUP(A887,N$3:S$1271,5,FALSE)</f>
        <v>#N/A</v>
      </c>
      <c r="I887" s="6">
        <f t="shared" si="53"/>
        <v>23.22</v>
      </c>
      <c r="J887" s="7">
        <f>VLOOKUP(A887,[1]Sheet!B$3:G$2921,6,0)</f>
        <v>1302.6400000000001</v>
      </c>
      <c r="K887" s="8" t="e">
        <f t="shared" si="54"/>
        <v>#N/A</v>
      </c>
      <c r="L887" s="6">
        <f t="shared" si="55"/>
        <v>1302.6400000000001</v>
      </c>
    </row>
    <row r="888" spans="1:12" x14ac:dyDescent="0.25">
      <c r="A888" s="9" t="s">
        <v>887</v>
      </c>
      <c r="B888" s="2" t="str">
        <f>VLOOKUP(A888,[1]Sheet!B$3:G$2921,2,0)</f>
        <v>Прокладки біконіт під буртів Д-110</v>
      </c>
      <c r="C888" s="3" t="str">
        <f>VLOOKUP(A888,[1]Sheet!B$3:G$2921,3,0)</f>
        <v>шт</v>
      </c>
      <c r="D888" s="4">
        <v>2</v>
      </c>
      <c r="E888" s="5" t="e">
        <f>VLOOKUP(A888,N$3:S$1271,4,FALSE)</f>
        <v>#N/A</v>
      </c>
      <c r="F888" s="6">
        <f t="shared" si="52"/>
        <v>2</v>
      </c>
      <c r="G888" s="7">
        <f>VLOOKUP(A888,[1]Sheet!B$3:G$2921,5,0)</f>
        <v>124.29</v>
      </c>
      <c r="H888" s="5" t="e">
        <f>VLOOKUP(A888,N$3:S$1271,5,FALSE)</f>
        <v>#N/A</v>
      </c>
      <c r="I888" s="6">
        <f t="shared" si="53"/>
        <v>124.29</v>
      </c>
      <c r="J888" s="7">
        <f>VLOOKUP(A888,[1]Sheet!B$3:G$2921,6,0)</f>
        <v>248.58</v>
      </c>
      <c r="K888" s="8" t="e">
        <f t="shared" si="54"/>
        <v>#N/A</v>
      </c>
      <c r="L888" s="6">
        <f t="shared" si="55"/>
        <v>248.58</v>
      </c>
    </row>
    <row r="889" spans="1:12" x14ac:dyDescent="0.25">
      <c r="A889" s="9" t="s">
        <v>888</v>
      </c>
      <c r="B889" s="2" t="str">
        <f>VLOOKUP(A889,[1]Sheet!B$3:G$2921,2,0)</f>
        <v>Блок віконний металопластиковий (ВК-1)
ВГрП ОСП 18-9 1 КВ-ПВ Д</v>
      </c>
      <c r="C889" s="3" t="str">
        <f>VLOOKUP(A889,[1]Sheet!B$3:G$2921,3,0)</f>
        <v>шт</v>
      </c>
      <c r="D889" s="4">
        <v>3</v>
      </c>
      <c r="E889" s="5" t="e">
        <f>VLOOKUP(A889,N$3:S$1271,4,FALSE)</f>
        <v>#N/A</v>
      </c>
      <c r="F889" s="6">
        <f t="shared" si="52"/>
        <v>3</v>
      </c>
      <c r="G889" s="7">
        <f>VLOOKUP(A889,[1]Sheet!B$3:G$2921,5,0)</f>
        <v>4118.71</v>
      </c>
      <c r="H889" s="5" t="e">
        <f>VLOOKUP(A889,N$3:S$1271,5,FALSE)</f>
        <v>#N/A</v>
      </c>
      <c r="I889" s="6">
        <f t="shared" si="53"/>
        <v>4118.71</v>
      </c>
      <c r="J889" s="7">
        <f>VLOOKUP(A889,[1]Sheet!B$3:G$2921,6,0)</f>
        <v>12356.13</v>
      </c>
      <c r="K889" s="8" t="e">
        <f t="shared" si="54"/>
        <v>#N/A</v>
      </c>
      <c r="L889" s="6">
        <f t="shared" si="55"/>
        <v>12356.13</v>
      </c>
    </row>
    <row r="890" spans="1:12" x14ac:dyDescent="0.25">
      <c r="A890" s="9" t="s">
        <v>889</v>
      </c>
      <c r="B890" s="2" t="str">
        <f>VLOOKUP(A890,[1]Sheet!B$3:G$2921,2,0)</f>
        <v>Блок віконний металопластиковий (ВК-2)
ВГрП ОСП 18-15 2 КВ-ПВ Д</v>
      </c>
      <c r="C890" s="3" t="str">
        <f>VLOOKUP(A890,[1]Sheet!B$3:G$2921,3,0)</f>
        <v>шт</v>
      </c>
      <c r="D890" s="4">
        <v>9</v>
      </c>
      <c r="E890" s="5" t="e">
        <f>VLOOKUP(A890,N$3:S$1271,4,FALSE)</f>
        <v>#N/A</v>
      </c>
      <c r="F890" s="6">
        <f t="shared" si="52"/>
        <v>9</v>
      </c>
      <c r="G890" s="7">
        <f>VLOOKUP(A890,[1]Sheet!B$3:G$2921,5,0)</f>
        <v>6863.69</v>
      </c>
      <c r="H890" s="5" t="e">
        <f>VLOOKUP(A890,N$3:S$1271,5,FALSE)</f>
        <v>#N/A</v>
      </c>
      <c r="I890" s="6">
        <f t="shared" si="53"/>
        <v>6863.69</v>
      </c>
      <c r="J890" s="7">
        <f>VLOOKUP(A890,[1]Sheet!B$3:G$2921,6,0)</f>
        <v>61773.21</v>
      </c>
      <c r="K890" s="8" t="e">
        <f t="shared" si="54"/>
        <v>#N/A</v>
      </c>
      <c r="L890" s="6">
        <f t="shared" si="55"/>
        <v>61773.21</v>
      </c>
    </row>
    <row r="891" spans="1:12" x14ac:dyDescent="0.25">
      <c r="A891" s="9" t="s">
        <v>890</v>
      </c>
      <c r="B891" s="2" t="str">
        <f>VLOOKUP(A891,[1]Sheet!B$3:G$2921,2,0)</f>
        <v>Блок віконний металопластиковий (ВК-3)
ВГрП ОСП 9-25 2 КВ-ПВ Д</v>
      </c>
      <c r="C891" s="3" t="str">
        <f>VLOOKUP(A891,[1]Sheet!B$3:G$2921,3,0)</f>
        <v>шт</v>
      </c>
      <c r="D891" s="4">
        <v>2</v>
      </c>
      <c r="E891" s="5" t="e">
        <f>VLOOKUP(A891,N$3:S$1271,4,FALSE)</f>
        <v>#N/A</v>
      </c>
      <c r="F891" s="6">
        <f t="shared" si="52"/>
        <v>2</v>
      </c>
      <c r="G891" s="7">
        <f>VLOOKUP(A891,[1]Sheet!B$3:G$2921,5,0)</f>
        <v>5720.8</v>
      </c>
      <c r="H891" s="5" t="e">
        <f>VLOOKUP(A891,N$3:S$1271,5,FALSE)</f>
        <v>#N/A</v>
      </c>
      <c r="I891" s="6">
        <f t="shared" si="53"/>
        <v>5720.8</v>
      </c>
      <c r="J891" s="7">
        <f>VLOOKUP(A891,[1]Sheet!B$3:G$2921,6,0)</f>
        <v>11441.6</v>
      </c>
      <c r="K891" s="8" t="e">
        <f t="shared" si="54"/>
        <v>#N/A</v>
      </c>
      <c r="L891" s="6">
        <f t="shared" si="55"/>
        <v>11441.6</v>
      </c>
    </row>
    <row r="892" spans="1:12" x14ac:dyDescent="0.25">
      <c r="A892" s="9" t="s">
        <v>891</v>
      </c>
      <c r="B892" s="2" t="str">
        <f>VLOOKUP(A892,[1]Sheet!B$3:G$2921,2,0)</f>
        <v>Блок віконний металопластиковий (ВК-4)
ВГрП ОСП 9-25 2 К Г Д</v>
      </c>
      <c r="C892" s="3" t="str">
        <f>VLOOKUP(A892,[1]Sheet!B$3:G$2921,3,0)</f>
        <v>шт</v>
      </c>
      <c r="D892" s="4">
        <v>1</v>
      </c>
      <c r="E892" s="5" t="e">
        <f>VLOOKUP(A892,N$3:S$1271,4,FALSE)</f>
        <v>#N/A</v>
      </c>
      <c r="F892" s="6">
        <f t="shared" si="52"/>
        <v>1</v>
      </c>
      <c r="G892" s="7">
        <f>VLOOKUP(A892,[1]Sheet!B$3:G$2921,5,0)</f>
        <v>5720.8</v>
      </c>
      <c r="H892" s="5" t="e">
        <f>VLOOKUP(A892,N$3:S$1271,5,FALSE)</f>
        <v>#N/A</v>
      </c>
      <c r="I892" s="6">
        <f t="shared" si="53"/>
        <v>5720.8</v>
      </c>
      <c r="J892" s="7">
        <f>VLOOKUP(A892,[1]Sheet!B$3:G$2921,6,0)</f>
        <v>5720.8</v>
      </c>
      <c r="K892" s="8" t="e">
        <f t="shared" si="54"/>
        <v>#N/A</v>
      </c>
      <c r="L892" s="6">
        <f t="shared" si="55"/>
        <v>5720.8</v>
      </c>
    </row>
    <row r="893" spans="1:12" x14ac:dyDescent="0.25">
      <c r="A893" s="9" t="s">
        <v>892</v>
      </c>
      <c r="B893" s="2" t="str">
        <f>VLOOKUP(A893,[1]Sheet!B$3:G$2921,2,0)</f>
        <v>Блок віконний металопластиковий (ВК-5)
ВГрП ОСП 9-26 2 КВ-ПВ Д</v>
      </c>
      <c r="C893" s="3" t="str">
        <f>VLOOKUP(A893,[1]Sheet!B$3:G$2921,3,0)</f>
        <v>шт</v>
      </c>
      <c r="D893" s="4">
        <v>4</v>
      </c>
      <c r="E893" s="5" t="e">
        <f>VLOOKUP(A893,N$3:S$1271,4,FALSE)</f>
        <v>#N/A</v>
      </c>
      <c r="F893" s="6">
        <f t="shared" si="52"/>
        <v>4</v>
      </c>
      <c r="G893" s="7">
        <f>VLOOKUP(A893,[1]Sheet!B$3:G$2921,5,0)</f>
        <v>5949.38</v>
      </c>
      <c r="H893" s="5" t="e">
        <f>VLOOKUP(A893,N$3:S$1271,5,FALSE)</f>
        <v>#N/A</v>
      </c>
      <c r="I893" s="6">
        <f t="shared" si="53"/>
        <v>5949.38</v>
      </c>
      <c r="J893" s="7">
        <f>VLOOKUP(A893,[1]Sheet!B$3:G$2921,6,0)</f>
        <v>23797.52</v>
      </c>
      <c r="K893" s="8" t="e">
        <f t="shared" si="54"/>
        <v>#N/A</v>
      </c>
      <c r="L893" s="6">
        <f t="shared" si="55"/>
        <v>23797.52</v>
      </c>
    </row>
    <row r="894" spans="1:12" x14ac:dyDescent="0.25">
      <c r="A894" s="9" t="s">
        <v>893</v>
      </c>
      <c r="B894" s="2" t="str">
        <f>VLOOKUP(A894,[1]Sheet!B$3:G$2921,2,0)</f>
        <v>Фрамуга металопластикова ВГрП ОСП 5-11
1Г</v>
      </c>
      <c r="C894" s="3" t="str">
        <f>VLOOKUP(A894,[1]Sheet!B$3:G$2921,3,0)</f>
        <v>шт</v>
      </c>
      <c r="D894" s="4">
        <v>1</v>
      </c>
      <c r="E894" s="5" t="e">
        <f>VLOOKUP(A894,N$3:S$1271,4,FALSE)</f>
        <v>#N/A</v>
      </c>
      <c r="F894" s="6">
        <f t="shared" si="52"/>
        <v>1</v>
      </c>
      <c r="G894" s="7">
        <f>VLOOKUP(A894,[1]Sheet!B$3:G$2921,5,0)</f>
        <v>1488.81</v>
      </c>
      <c r="H894" s="5" t="e">
        <f>VLOOKUP(A894,N$3:S$1271,5,FALSE)</f>
        <v>#N/A</v>
      </c>
      <c r="I894" s="6">
        <f t="shared" si="53"/>
        <v>1488.81</v>
      </c>
      <c r="J894" s="7">
        <f>VLOOKUP(A894,[1]Sheet!B$3:G$2921,6,0)</f>
        <v>1488.81</v>
      </c>
      <c r="K894" s="8" t="e">
        <f t="shared" si="54"/>
        <v>#N/A</v>
      </c>
      <c r="L894" s="6">
        <f t="shared" si="55"/>
        <v>1488.81</v>
      </c>
    </row>
    <row r="895" spans="1:12" x14ac:dyDescent="0.25">
      <c r="A895" s="9" t="s">
        <v>894</v>
      </c>
      <c r="B895" s="2" t="str">
        <f>VLOOKUP(A895,[1]Sheet!B$3:G$2921,2,0)</f>
        <v>Стійки панелей 60х60х2 L=2,6м з кріпленням</v>
      </c>
      <c r="C895" s="3" t="str">
        <f>VLOOKUP(A895,[1]Sheet!B$3:G$2921,3,0)</f>
        <v>шт</v>
      </c>
      <c r="D895" s="4">
        <v>13</v>
      </c>
      <c r="E895" s="5" t="e">
        <f>VLOOKUP(A895,N$3:S$1271,4,FALSE)</f>
        <v>#N/A</v>
      </c>
      <c r="F895" s="6">
        <f t="shared" si="52"/>
        <v>13</v>
      </c>
      <c r="G895" s="7">
        <f>VLOOKUP(A895,[1]Sheet!B$3:G$2921,5,0)</f>
        <v>412.1</v>
      </c>
      <c r="H895" s="5" t="e">
        <f>VLOOKUP(A895,N$3:S$1271,5,FALSE)</f>
        <v>#N/A</v>
      </c>
      <c r="I895" s="6">
        <f t="shared" si="53"/>
        <v>412.1</v>
      </c>
      <c r="J895" s="7">
        <f>VLOOKUP(A895,[1]Sheet!B$3:G$2921,6,0)</f>
        <v>2884.7</v>
      </c>
      <c r="K895" s="8" t="e">
        <f t="shared" si="54"/>
        <v>#N/A</v>
      </c>
      <c r="L895" s="6">
        <f t="shared" si="55"/>
        <v>2884.7</v>
      </c>
    </row>
    <row r="896" spans="1:12" x14ac:dyDescent="0.25">
      <c r="A896" s="9" t="s">
        <v>895</v>
      </c>
      <c r="B896" s="2" t="str">
        <f>VLOOKUP(A896,[1]Sheet!B$3:G$2921,2,0)</f>
        <v>Герметик силіконовий (280 мл)</v>
      </c>
      <c r="C896" s="3" t="str">
        <f>VLOOKUP(A896,[1]Sheet!B$3:G$2921,3,0)</f>
        <v>шт</v>
      </c>
      <c r="D896" s="4">
        <v>19.600000000000001</v>
      </c>
      <c r="E896" s="5" t="e">
        <f>VLOOKUP(A896,N$3:S$1271,4,FALSE)</f>
        <v>#N/A</v>
      </c>
      <c r="F896" s="6">
        <f t="shared" si="52"/>
        <v>19.600000000000001</v>
      </c>
      <c r="G896" s="7">
        <f>VLOOKUP(A896,[1]Sheet!B$3:G$2921,5,0)</f>
        <v>82.34</v>
      </c>
      <c r="H896" s="5" t="e">
        <f>VLOOKUP(A896,N$3:S$1271,5,FALSE)</f>
        <v>#N/A</v>
      </c>
      <c r="I896" s="6">
        <f t="shared" si="53"/>
        <v>82.34</v>
      </c>
      <c r="J896" s="7">
        <f>VLOOKUP(A896,[1]Sheet!B$3:G$2921,6,0)</f>
        <v>1613.86</v>
      </c>
      <c r="K896" s="8" t="e">
        <f t="shared" si="54"/>
        <v>#N/A</v>
      </c>
      <c r="L896" s="6">
        <f t="shared" si="55"/>
        <v>1613.86</v>
      </c>
    </row>
    <row r="897" spans="1:12" x14ac:dyDescent="0.25">
      <c r="A897" s="9" t="s">
        <v>896</v>
      </c>
      <c r="B897" s="2" t="str">
        <f>VLOOKUP(A897,[1]Sheet!B$3:G$2921,2,0)</f>
        <v>Балки під обладнання</v>
      </c>
      <c r="C897" s="3" t="str">
        <f>VLOOKUP(A897,[1]Sheet!B$3:G$2921,3,0)</f>
        <v>т</v>
      </c>
      <c r="D897" s="4">
        <v>73.427999999999997</v>
      </c>
      <c r="E897" s="5" t="e">
        <f>VLOOKUP(A897,N$3:S$1271,4,FALSE)</f>
        <v>#N/A</v>
      </c>
      <c r="F897" s="6">
        <f t="shared" si="52"/>
        <v>73.427999999999997</v>
      </c>
      <c r="G897" s="7">
        <f>VLOOKUP(A897,[1]Sheet!B$3:G$2921,5,0)</f>
        <v>47003.54</v>
      </c>
      <c r="H897" s="5" t="e">
        <f>VLOOKUP(A897,N$3:S$1271,5,FALSE)</f>
        <v>#N/A</v>
      </c>
      <c r="I897" s="6">
        <f t="shared" si="53"/>
        <v>47003.54</v>
      </c>
      <c r="J897" s="7">
        <f>VLOOKUP(A897,[1]Sheet!B$3:G$2921,6,0)</f>
        <v>2632.2</v>
      </c>
      <c r="K897" s="8" t="e">
        <f t="shared" si="54"/>
        <v>#N/A</v>
      </c>
      <c r="L897" s="6">
        <f t="shared" si="55"/>
        <v>2632.2</v>
      </c>
    </row>
    <row r="898" spans="1:12" x14ac:dyDescent="0.25">
      <c r="A898" s="9" t="s">
        <v>897</v>
      </c>
      <c r="B898" s="2" t="str">
        <f>VLOOKUP(A898,[1]Sheet!B$3:G$2921,2,0)</f>
        <v>Вентиляційні стакани з листової сталі</v>
      </c>
      <c r="C898" s="3" t="str">
        <f>VLOOKUP(A898,[1]Sheet!B$3:G$2921,3,0)</f>
        <v>т</v>
      </c>
      <c r="D898" s="4">
        <v>0.1673</v>
      </c>
      <c r="E898" s="5" t="e">
        <f>VLOOKUP(A898,N$3:S$1271,4,FALSE)</f>
        <v>#N/A</v>
      </c>
      <c r="F898" s="6">
        <f t="shared" ref="F898:F961" si="56">IFERROR(D898-E898,D898)</f>
        <v>0.1673</v>
      </c>
      <c r="G898" s="7">
        <f>VLOOKUP(A898,[1]Sheet!B$3:G$2921,5,0)</f>
        <v>38762.35</v>
      </c>
      <c r="H898" s="5" t="e">
        <f>VLOOKUP(A898,N$3:S$1271,5,FALSE)</f>
        <v>#N/A</v>
      </c>
      <c r="I898" s="6">
        <f t="shared" ref="I898:I961" si="57">IFERROR(G898-H898,G898)</f>
        <v>38762.35</v>
      </c>
      <c r="J898" s="7">
        <f>VLOOKUP(A898,[1]Sheet!B$3:G$2921,6,0)</f>
        <v>6484.94</v>
      </c>
      <c r="K898" s="8" t="e">
        <f t="shared" ref="K898:K961" si="58">VLOOKUP(A898,N$3:S$1271,6,FALSE)</f>
        <v>#N/A</v>
      </c>
      <c r="L898" s="6">
        <f t="shared" ref="L898:L961" si="59">IFERROR(J898-K898,J898)</f>
        <v>6484.94</v>
      </c>
    </row>
    <row r="899" spans="1:12" x14ac:dyDescent="0.25">
      <c r="A899" s="9" t="s">
        <v>898</v>
      </c>
      <c r="B899" s="2" t="str">
        <f>VLOOKUP(A899,[1]Sheet!B$3:G$2921,2,0)</f>
        <v>Основнi несучi конструкцiї для будiвель
багатоповерхових, виробничого та
невиробничого призначення, висотою до
100 м: колони, опорнi плити, балки
перекриттiв пiд встановлення устаткування
та покриттiв, ферми покриттiв та
мiжповерхових перекриттiв, зв'язки,
фахверки стiн, при реконструкцiї будiвель</v>
      </c>
      <c r="C899" s="3" t="str">
        <f>VLOOKUP(A899,[1]Sheet!B$3:G$2921,3,0)</f>
        <v>т</v>
      </c>
      <c r="D899" s="4">
        <v>12.532</v>
      </c>
      <c r="E899" s="5" t="e">
        <f>VLOOKUP(A899,N$3:S$1271,4,FALSE)</f>
        <v>#N/A</v>
      </c>
      <c r="F899" s="6">
        <f t="shared" si="56"/>
        <v>12.532</v>
      </c>
      <c r="G899" s="7">
        <f>VLOOKUP(A899,[1]Sheet!B$3:G$2921,5,0)</f>
        <v>47003.54</v>
      </c>
      <c r="H899" s="5" t="e">
        <f>VLOOKUP(A899,N$3:S$1271,5,FALSE)</f>
        <v>#N/A</v>
      </c>
      <c r="I899" s="6">
        <f t="shared" si="57"/>
        <v>47003.54</v>
      </c>
      <c r="J899" s="7">
        <f>VLOOKUP(A899,[1]Sheet!B$3:G$2921,6,0)</f>
        <v>239041.2</v>
      </c>
      <c r="K899" s="8" t="e">
        <f t="shared" si="58"/>
        <v>#N/A</v>
      </c>
      <c r="L899" s="6">
        <f t="shared" si="59"/>
        <v>239041.2</v>
      </c>
    </row>
    <row r="900" spans="1:12" x14ac:dyDescent="0.25">
      <c r="A900" s="9" t="s">
        <v>899</v>
      </c>
      <c r="B900" s="2" t="str">
        <f>VLOOKUP(A900,[1]Sheet!B$3:G$2921,2,0)</f>
        <v>Косоури Кс1, Кс2</v>
      </c>
      <c r="C900" s="3" t="str">
        <f>VLOOKUP(A900,[1]Sheet!B$3:G$2921,3,0)</f>
        <v>т</v>
      </c>
      <c r="D900" s="4">
        <v>0.78550000000000009</v>
      </c>
      <c r="E900" s="5" t="e">
        <f>VLOOKUP(A900,N$3:S$1271,4,FALSE)</f>
        <v>#N/A</v>
      </c>
      <c r="F900" s="6">
        <f t="shared" si="56"/>
        <v>0.78550000000000009</v>
      </c>
      <c r="G900" s="7">
        <f>VLOOKUP(A900,[1]Sheet!B$3:G$2921,5,0)</f>
        <v>33033.089999999997</v>
      </c>
      <c r="H900" s="5" t="e">
        <f>VLOOKUP(A900,N$3:S$1271,5,FALSE)</f>
        <v>#N/A</v>
      </c>
      <c r="I900" s="6">
        <f t="shared" si="57"/>
        <v>33033.089999999997</v>
      </c>
      <c r="J900" s="7">
        <f>VLOOKUP(A900,[1]Sheet!B$3:G$2921,6,0)</f>
        <v>25947.49</v>
      </c>
      <c r="K900" s="8" t="e">
        <f t="shared" si="58"/>
        <v>#N/A</v>
      </c>
      <c r="L900" s="6">
        <f t="shared" si="59"/>
        <v>25947.49</v>
      </c>
    </row>
    <row r="901" spans="1:12" x14ac:dyDescent="0.25">
      <c r="A901" s="9" t="s">
        <v>900</v>
      </c>
      <c r="B901" s="2" t="str">
        <f>VLOOKUP(A901,[1]Sheet!B$3:G$2921,2,0)</f>
        <v>Огорожа сходів маршевих МВ 39.21-39.9 Р2,
площадок ПВ-16.9Р-2, погрунтовані та
пофарбовані</v>
      </c>
      <c r="C901" s="3" t="str">
        <f>VLOOKUP(A901,[1]Sheet!B$3:G$2921,3,0)</f>
        <v>т</v>
      </c>
      <c r="D901" s="4">
        <v>0.75926800000000005</v>
      </c>
      <c r="E901" s="5" t="e">
        <f>VLOOKUP(A901,N$3:S$1271,4,FALSE)</f>
        <v>#N/A</v>
      </c>
      <c r="F901" s="6">
        <f t="shared" si="56"/>
        <v>0.75926800000000005</v>
      </c>
      <c r="G901" s="7">
        <f>VLOOKUP(A901,[1]Sheet!B$3:G$2921,5,0)</f>
        <v>33033.089999999997</v>
      </c>
      <c r="H901" s="5" t="e">
        <f>VLOOKUP(A901,N$3:S$1271,5,FALSE)</f>
        <v>#N/A</v>
      </c>
      <c r="I901" s="6">
        <f t="shared" si="57"/>
        <v>33033.089999999997</v>
      </c>
      <c r="J901" s="7">
        <f>VLOOKUP(A901,[1]Sheet!B$3:G$2921,6,0)</f>
        <v>9136.56</v>
      </c>
      <c r="K901" s="8" t="e">
        <f t="shared" si="58"/>
        <v>#N/A</v>
      </c>
      <c r="L901" s="6">
        <f t="shared" si="59"/>
        <v>9136.56</v>
      </c>
    </row>
    <row r="902" spans="1:12" x14ac:dyDescent="0.25">
      <c r="A902" s="9" t="s">
        <v>901</v>
      </c>
      <c r="B902" s="2" t="str">
        <f>VLOOKUP(A902,[1]Sheet!B$3:G$2921,2,0)</f>
        <v>Хвіртка сітчаста 2000х1000 зі стійками та
замком</v>
      </c>
      <c r="C902" s="3" t="str">
        <f>VLOOKUP(A902,[1]Sheet!B$3:G$2921,3,0)</f>
        <v>шт</v>
      </c>
      <c r="D902" s="4">
        <v>1</v>
      </c>
      <c r="E902" s="5" t="e">
        <f>VLOOKUP(A902,N$3:S$1271,4,FALSE)</f>
        <v>#N/A</v>
      </c>
      <c r="F902" s="6">
        <f t="shared" si="56"/>
        <v>1</v>
      </c>
      <c r="G902" s="7">
        <f>VLOOKUP(A902,[1]Sheet!B$3:G$2921,5,0)</f>
        <v>6873.23</v>
      </c>
      <c r="H902" s="5" t="e">
        <f>VLOOKUP(A902,N$3:S$1271,5,FALSE)</f>
        <v>#N/A</v>
      </c>
      <c r="I902" s="6">
        <f t="shared" si="57"/>
        <v>6873.23</v>
      </c>
      <c r="J902" s="7">
        <f>VLOOKUP(A902,[1]Sheet!B$3:G$2921,6,0)</f>
        <v>6873.23</v>
      </c>
      <c r="K902" s="8" t="e">
        <f t="shared" si="58"/>
        <v>#N/A</v>
      </c>
      <c r="L902" s="6">
        <f t="shared" si="59"/>
        <v>6873.23</v>
      </c>
    </row>
    <row r="903" spans="1:12" x14ac:dyDescent="0.25">
      <c r="A903" s="9" t="s">
        <v>902</v>
      </c>
      <c r="B903" s="2" t="str">
        <f>VLOOKUP(A903,[1]Sheet!B$3:G$2921,2,0)</f>
        <v>Окремi конструктивнi елементи будiвель та
споруд [Стійки Ст 2 - Ст 10] з перевагою
гнутих профiлей,  середня маса
складальної одиницi до 0,1 т</v>
      </c>
      <c r="C903" s="3" t="str">
        <f>VLOOKUP(A903,[1]Sheet!B$3:G$2921,3,0)</f>
        <v>т</v>
      </c>
      <c r="D903" s="4">
        <v>0</v>
      </c>
      <c r="E903" s="5" t="e">
        <f>VLOOKUP(A903,N$3:S$1271,4,FALSE)</f>
        <v>#N/A</v>
      </c>
      <c r="F903" s="6">
        <f t="shared" si="56"/>
        <v>0</v>
      </c>
      <c r="G903" s="7">
        <f>VLOOKUP(A903,[1]Sheet!B$3:G$2921,5,0)</f>
        <v>88949.119999999995</v>
      </c>
      <c r="H903" s="5" t="e">
        <f>VLOOKUP(A903,N$3:S$1271,5,FALSE)</f>
        <v>#N/A</v>
      </c>
      <c r="I903" s="6">
        <f t="shared" si="57"/>
        <v>88949.119999999995</v>
      </c>
      <c r="J903" s="7">
        <f>VLOOKUP(A903,[1]Sheet!B$3:G$2921,6,0)</f>
        <v>27425.58</v>
      </c>
      <c r="K903" s="8" t="e">
        <f t="shared" si="58"/>
        <v>#N/A</v>
      </c>
      <c r="L903" s="6">
        <f t="shared" si="59"/>
        <v>27425.58</v>
      </c>
    </row>
    <row r="904" spans="1:12" x14ac:dyDescent="0.25">
      <c r="A904" s="9" t="s">
        <v>903</v>
      </c>
      <c r="B904" s="2" t="str">
        <f>VLOOKUP(A904,[1]Sheet!B$3:G$2921,2,0)</f>
        <v>Окремi конструктивнi елементи будiвель та
споруд [Стійка Ст 1] з перевагою гнутих
профiлей,  середня маса складальної
одиницi понад 0,1 до 0,5 т</v>
      </c>
      <c r="C904" s="3" t="str">
        <f>VLOOKUP(A904,[1]Sheet!B$3:G$2921,3,0)</f>
        <v>т</v>
      </c>
      <c r="D904" s="4">
        <v>0</v>
      </c>
      <c r="E904" s="5" t="e">
        <f>VLOOKUP(A904,N$3:S$1271,4,FALSE)</f>
        <v>#N/A</v>
      </c>
      <c r="F904" s="6">
        <f t="shared" si="56"/>
        <v>0</v>
      </c>
      <c r="G904" s="7">
        <f>VLOOKUP(A904,[1]Sheet!B$3:G$2921,5,0)</f>
        <v>83498.960000000006</v>
      </c>
      <c r="H904" s="5" t="e">
        <f>VLOOKUP(A904,N$3:S$1271,5,FALSE)</f>
        <v>#N/A</v>
      </c>
      <c r="I904" s="6">
        <f t="shared" si="57"/>
        <v>83498.960000000006</v>
      </c>
      <c r="J904" s="7">
        <f>VLOOKUP(A904,[1]Sheet!B$3:G$2921,6,0)</f>
        <v>10205.31</v>
      </c>
      <c r="K904" s="8" t="e">
        <f t="shared" si="58"/>
        <v>#N/A</v>
      </c>
      <c r="L904" s="6">
        <f t="shared" si="59"/>
        <v>10205.31</v>
      </c>
    </row>
    <row r="905" spans="1:12" x14ac:dyDescent="0.25">
      <c r="A905" s="9" t="s">
        <v>904</v>
      </c>
      <c r="B905" s="2" t="str">
        <f>VLOOKUP(A905,[1]Sheet!B$3:G$2921,2,0)</f>
        <v>Окремi конструктивнi елементи будiвель та
споруд [балкаи Б1, Б2] з перевагою гнутих
профiлей,  середня маса складальної
одиницi понад 0,5 т</v>
      </c>
      <c r="C905" s="3" t="str">
        <f>VLOOKUP(A905,[1]Sheet!B$3:G$2921,3,0)</f>
        <v>т</v>
      </c>
      <c r="D905" s="4">
        <v>0</v>
      </c>
      <c r="E905" s="5" t="e">
        <f>VLOOKUP(A905,N$3:S$1271,4,FALSE)</f>
        <v>#N/A</v>
      </c>
      <c r="F905" s="6">
        <f t="shared" si="56"/>
        <v>0</v>
      </c>
      <c r="G905" s="7">
        <f>VLOOKUP(A905,[1]Sheet!B$3:G$2921,5,0)</f>
        <v>81924.210000000006</v>
      </c>
      <c r="H905" s="5" t="e">
        <f>VLOOKUP(A905,N$3:S$1271,5,FALSE)</f>
        <v>#N/A</v>
      </c>
      <c r="I905" s="6">
        <f t="shared" si="57"/>
        <v>81924.210000000006</v>
      </c>
      <c r="J905" s="7">
        <f>VLOOKUP(A905,[1]Sheet!B$3:G$2921,6,0)</f>
        <v>147277.04999999999</v>
      </c>
      <c r="K905" s="8" t="e">
        <f t="shared" si="58"/>
        <v>#N/A</v>
      </c>
      <c r="L905" s="6">
        <f t="shared" si="59"/>
        <v>147277.04999999999</v>
      </c>
    </row>
    <row r="906" spans="1:12" x14ac:dyDescent="0.25">
      <c r="A906" s="9" t="s">
        <v>905</v>
      </c>
      <c r="B906" s="2" t="str">
        <f>VLOOKUP(A906,[1]Sheet!B$3:G$2921,2,0)</f>
        <v>Драбини металеві приставні</v>
      </c>
      <c r="C906" s="3" t="str">
        <f>VLOOKUP(A906,[1]Sheet!B$3:G$2921,3,0)</f>
        <v>т</v>
      </c>
      <c r="D906" s="4">
        <v>0.11346000000000001</v>
      </c>
      <c r="E906" s="5" t="e">
        <f>VLOOKUP(A906,N$3:S$1271,4,FALSE)</f>
        <v>#N/A</v>
      </c>
      <c r="F906" s="6">
        <f t="shared" si="56"/>
        <v>0.11346000000000001</v>
      </c>
      <c r="G906" s="7">
        <f>VLOOKUP(A906,[1]Sheet!B$3:G$2921,5,0)</f>
        <v>34598.75</v>
      </c>
      <c r="H906" s="5" t="e">
        <f>VLOOKUP(A906,N$3:S$1271,5,FALSE)</f>
        <v>#N/A</v>
      </c>
      <c r="I906" s="6">
        <f t="shared" si="57"/>
        <v>34598.75</v>
      </c>
      <c r="J906" s="7">
        <f>VLOOKUP(A906,[1]Sheet!B$3:G$2921,6,0)</f>
        <v>1012.36</v>
      </c>
      <c r="K906" s="8" t="e">
        <f t="shared" si="58"/>
        <v>#N/A</v>
      </c>
      <c r="L906" s="6">
        <f t="shared" si="59"/>
        <v>1012.36</v>
      </c>
    </row>
    <row r="907" spans="1:12" x14ac:dyDescent="0.25">
      <c r="A907" s="9" t="s">
        <v>906</v>
      </c>
      <c r="B907" s="2" t="str">
        <f>VLOOKUP(A907,[1]Sheet!B$3:G$2921,2,0)</f>
        <v>Металевi конструкцiї (швелер гнутий з
листовоі сталі товщ.4мм -3000х670х4 12шт.)</v>
      </c>
      <c r="C907" s="3" t="str">
        <f>VLOOKUP(A907,[1]Sheet!B$3:G$2921,3,0)</f>
        <v>т</v>
      </c>
      <c r="D907" s="4">
        <v>1.55758</v>
      </c>
      <c r="E907" s="5" t="e">
        <f>VLOOKUP(A907,N$3:S$1271,4,FALSE)</f>
        <v>#N/A</v>
      </c>
      <c r="F907" s="6">
        <f t="shared" si="56"/>
        <v>1.55758</v>
      </c>
      <c r="G907" s="7">
        <f>VLOOKUP(A907,[1]Sheet!B$3:G$2921,5,0)</f>
        <v>38537.33</v>
      </c>
      <c r="H907" s="5" t="e">
        <f>VLOOKUP(A907,N$3:S$1271,5,FALSE)</f>
        <v>#N/A</v>
      </c>
      <c r="I907" s="6">
        <f t="shared" si="57"/>
        <v>38537.33</v>
      </c>
      <c r="J907" s="7">
        <f>VLOOKUP(A907,[1]Sheet!B$3:G$2921,6,0)</f>
        <v>29185.09</v>
      </c>
      <c r="K907" s="8" t="e">
        <f t="shared" si="58"/>
        <v>#N/A</v>
      </c>
      <c r="L907" s="6">
        <f t="shared" si="59"/>
        <v>29185.09</v>
      </c>
    </row>
    <row r="908" spans="1:12" x14ac:dyDescent="0.25">
      <c r="A908" s="9" t="s">
        <v>907</v>
      </c>
      <c r="B908" s="2" t="str">
        <f>VLOOKUP(A908,[1]Sheet!B$3:G$2921,2,0)</f>
        <v>Двері металеві зовнішні ДЗСт ОдГ 21-10 По
К Бп П</v>
      </c>
      <c r="C908" s="3" t="str">
        <f>VLOOKUP(A908,[1]Sheet!B$3:G$2921,3,0)</f>
        <v>шт</v>
      </c>
      <c r="D908" s="4">
        <v>1</v>
      </c>
      <c r="E908" s="5" t="e">
        <f>VLOOKUP(A908,N$3:S$1271,4,FALSE)</f>
        <v>#N/A</v>
      </c>
      <c r="F908" s="6">
        <f t="shared" si="56"/>
        <v>1</v>
      </c>
      <c r="G908" s="7">
        <f>VLOOKUP(A908,[1]Sheet!B$3:G$2921,5,0)</f>
        <v>9861.44</v>
      </c>
      <c r="H908" s="5" t="e">
        <f>VLOOKUP(A908,N$3:S$1271,5,FALSE)</f>
        <v>#N/A</v>
      </c>
      <c r="I908" s="6">
        <f t="shared" si="57"/>
        <v>9861.44</v>
      </c>
      <c r="J908" s="7">
        <f>VLOOKUP(A908,[1]Sheet!B$3:G$2921,6,0)</f>
        <v>9861.44</v>
      </c>
      <c r="K908" s="8" t="e">
        <f t="shared" si="58"/>
        <v>#N/A</v>
      </c>
      <c r="L908" s="6">
        <f t="shared" si="59"/>
        <v>9861.44</v>
      </c>
    </row>
    <row r="909" spans="1:12" x14ac:dyDescent="0.25">
      <c r="A909" s="9" t="s">
        <v>908</v>
      </c>
      <c r="B909" s="2" t="str">
        <f>VLOOKUP(A909,[1]Sheet!B$3:G$2921,2,0)</f>
        <v>Двері металеві зовнішні ДЗСт ОдГ 21-9 По К
Бп Л</v>
      </c>
      <c r="C909" s="3" t="str">
        <f>VLOOKUP(A909,[1]Sheet!B$3:G$2921,3,0)</f>
        <v>шт</v>
      </c>
      <c r="D909" s="4">
        <v>1</v>
      </c>
      <c r="E909" s="5" t="e">
        <f>VLOOKUP(A909,N$3:S$1271,4,FALSE)</f>
        <v>#N/A</v>
      </c>
      <c r="F909" s="6">
        <f t="shared" si="56"/>
        <v>1</v>
      </c>
      <c r="G909" s="7">
        <f>VLOOKUP(A909,[1]Sheet!B$3:G$2921,5,0)</f>
        <v>8876.81</v>
      </c>
      <c r="H909" s="5" t="e">
        <f>VLOOKUP(A909,N$3:S$1271,5,FALSE)</f>
        <v>#N/A</v>
      </c>
      <c r="I909" s="6">
        <f t="shared" si="57"/>
        <v>8876.81</v>
      </c>
      <c r="J909" s="7">
        <f>VLOOKUP(A909,[1]Sheet!B$3:G$2921,6,0)</f>
        <v>8876.81</v>
      </c>
      <c r="K909" s="8" t="e">
        <f t="shared" si="58"/>
        <v>#N/A</v>
      </c>
      <c r="L909" s="6">
        <f t="shared" si="59"/>
        <v>8876.81</v>
      </c>
    </row>
    <row r="910" spans="1:12" x14ac:dyDescent="0.25">
      <c r="A910" s="9" t="s">
        <v>909</v>
      </c>
      <c r="B910" s="2" t="str">
        <f>VLOOKUP(A910,[1]Sheet!B$3:G$2921,2,0)</f>
        <v>Двері металеві зовнішні ДЗСт ОдГ 21-16 По
К Бп</v>
      </c>
      <c r="C910" s="3" t="str">
        <f>VLOOKUP(A910,[1]Sheet!B$3:G$2921,3,0)</f>
        <v>шт</v>
      </c>
      <c r="D910" s="4">
        <v>1</v>
      </c>
      <c r="E910" s="5" t="e">
        <f>VLOOKUP(A910,N$3:S$1271,4,FALSE)</f>
        <v>#N/A</v>
      </c>
      <c r="F910" s="6">
        <f t="shared" si="56"/>
        <v>1</v>
      </c>
      <c r="G910" s="7">
        <f>VLOOKUP(A910,[1]Sheet!B$3:G$2921,5,0)</f>
        <v>15773.6</v>
      </c>
      <c r="H910" s="5" t="e">
        <f>VLOOKUP(A910,N$3:S$1271,5,FALSE)</f>
        <v>#N/A</v>
      </c>
      <c r="I910" s="6">
        <f t="shared" si="57"/>
        <v>15773.6</v>
      </c>
      <c r="J910" s="7">
        <f>VLOOKUP(A910,[1]Sheet!B$3:G$2921,6,0)</f>
        <v>15773.6</v>
      </c>
      <c r="K910" s="8" t="e">
        <f t="shared" si="58"/>
        <v>#N/A</v>
      </c>
      <c r="L910" s="6">
        <f t="shared" si="59"/>
        <v>15773.6</v>
      </c>
    </row>
    <row r="911" spans="1:12" x14ac:dyDescent="0.25">
      <c r="A911" s="9" t="s">
        <v>910</v>
      </c>
      <c r="B911" s="2" t="str">
        <f>VLOOKUP(A911,[1]Sheet!B$3:G$2921,2,0)</f>
        <v>Двері однопільні металеві протипожежні
ДМП Е130 1 21-9 В4 П</v>
      </c>
      <c r="C911" s="3" t="str">
        <f>VLOOKUP(A911,[1]Sheet!B$3:G$2921,3,0)</f>
        <v>шт</v>
      </c>
      <c r="D911" s="4">
        <v>1</v>
      </c>
      <c r="E911" s="5" t="e">
        <f>VLOOKUP(A911,N$3:S$1271,4,FALSE)</f>
        <v>#N/A</v>
      </c>
      <c r="F911" s="6">
        <f t="shared" si="56"/>
        <v>1</v>
      </c>
      <c r="G911" s="7">
        <f>VLOOKUP(A911,[1]Sheet!B$3:G$2921,5,0)</f>
        <v>8465.32</v>
      </c>
      <c r="H911" s="5" t="e">
        <f>VLOOKUP(A911,N$3:S$1271,5,FALSE)</f>
        <v>#N/A</v>
      </c>
      <c r="I911" s="6">
        <f t="shared" si="57"/>
        <v>8465.32</v>
      </c>
      <c r="J911" s="7">
        <f>VLOOKUP(A911,[1]Sheet!B$3:G$2921,6,0)</f>
        <v>8465.32</v>
      </c>
      <c r="K911" s="8" t="e">
        <f t="shared" si="58"/>
        <v>#N/A</v>
      </c>
      <c r="L911" s="6">
        <f t="shared" si="59"/>
        <v>8465.32</v>
      </c>
    </row>
    <row r="912" spans="1:12" x14ac:dyDescent="0.25">
      <c r="A912" s="9" t="s">
        <v>911</v>
      </c>
      <c r="B912" s="2" t="str">
        <f>VLOOKUP(A912,[1]Sheet!B$3:G$2921,2,0)</f>
        <v>Двері однопільні металеві протипожежні
ДМП Е130 1 21-10 В4 П</v>
      </c>
      <c r="C912" s="3" t="str">
        <f>VLOOKUP(A912,[1]Sheet!B$3:G$2921,3,0)</f>
        <v>шт</v>
      </c>
      <c r="D912" s="4">
        <v>2</v>
      </c>
      <c r="E912" s="5" t="e">
        <f>VLOOKUP(A912,N$3:S$1271,4,FALSE)</f>
        <v>#N/A</v>
      </c>
      <c r="F912" s="6">
        <f t="shared" si="56"/>
        <v>2</v>
      </c>
      <c r="G912" s="7">
        <f>VLOOKUP(A912,[1]Sheet!B$3:G$2921,5,0)</f>
        <v>9039.84</v>
      </c>
      <c r="H912" s="5" t="e">
        <f>VLOOKUP(A912,N$3:S$1271,5,FALSE)</f>
        <v>#N/A</v>
      </c>
      <c r="I912" s="6">
        <f t="shared" si="57"/>
        <v>9039.84</v>
      </c>
      <c r="J912" s="7">
        <f>VLOOKUP(A912,[1]Sheet!B$3:G$2921,6,0)</f>
        <v>18079.68</v>
      </c>
      <c r="K912" s="8" t="e">
        <f t="shared" si="58"/>
        <v>#N/A</v>
      </c>
      <c r="L912" s="6">
        <f t="shared" si="59"/>
        <v>18079.68</v>
      </c>
    </row>
    <row r="913" spans="1:12" x14ac:dyDescent="0.25">
      <c r="A913" s="9" t="s">
        <v>912</v>
      </c>
      <c r="B913" s="2" t="str">
        <f>VLOOKUP(A913,[1]Sheet!B$3:G$2921,2,0)</f>
        <v>Двері металеві Д 1 21-11 П</v>
      </c>
      <c r="C913" s="3" t="str">
        <f>VLOOKUP(A913,[1]Sheet!B$3:G$2921,3,0)</f>
        <v>шт</v>
      </c>
      <c r="D913" s="4">
        <v>2</v>
      </c>
      <c r="E913" s="5" t="e">
        <f>VLOOKUP(A913,N$3:S$1271,4,FALSE)</f>
        <v>#N/A</v>
      </c>
      <c r="F913" s="6">
        <f t="shared" si="56"/>
        <v>2</v>
      </c>
      <c r="G913" s="7">
        <f>VLOOKUP(A913,[1]Sheet!B$3:G$2921,5,0)</f>
        <v>10846.09</v>
      </c>
      <c r="H913" s="5" t="e">
        <f>VLOOKUP(A913,N$3:S$1271,5,FALSE)</f>
        <v>#N/A</v>
      </c>
      <c r="I913" s="6">
        <f t="shared" si="57"/>
        <v>10846.09</v>
      </c>
      <c r="J913" s="7">
        <f>VLOOKUP(A913,[1]Sheet!B$3:G$2921,6,0)</f>
        <v>21692.18</v>
      </c>
      <c r="K913" s="8" t="e">
        <f t="shared" si="58"/>
        <v>#N/A</v>
      </c>
      <c r="L913" s="6">
        <f t="shared" si="59"/>
        <v>21692.18</v>
      </c>
    </row>
    <row r="914" spans="1:12" x14ac:dyDescent="0.25">
      <c r="A914" s="9" t="s">
        <v>913</v>
      </c>
      <c r="B914" s="2" t="str">
        <f>VLOOKUP(A914,[1]Sheet!B$3:G$2921,2,0)</f>
        <v>Двері металеві Д 1 21-9 П</v>
      </c>
      <c r="C914" s="3" t="str">
        <f>VLOOKUP(A914,[1]Sheet!B$3:G$2921,3,0)</f>
        <v>шт</v>
      </c>
      <c r="D914" s="4">
        <v>1</v>
      </c>
      <c r="E914" s="5" t="e">
        <f>VLOOKUP(A914,N$3:S$1271,4,FALSE)</f>
        <v>#N/A</v>
      </c>
      <c r="F914" s="6">
        <f t="shared" si="56"/>
        <v>1</v>
      </c>
      <c r="G914" s="7">
        <f>VLOOKUP(A914,[1]Sheet!B$3:G$2921,5,0)</f>
        <v>8876.81</v>
      </c>
      <c r="H914" s="5" t="e">
        <f>VLOOKUP(A914,N$3:S$1271,5,FALSE)</f>
        <v>#N/A</v>
      </c>
      <c r="I914" s="6">
        <f t="shared" si="57"/>
        <v>8876.81</v>
      </c>
      <c r="J914" s="7">
        <f>VLOOKUP(A914,[1]Sheet!B$3:G$2921,6,0)</f>
        <v>8876.81</v>
      </c>
      <c r="K914" s="8" t="e">
        <f t="shared" si="58"/>
        <v>#N/A</v>
      </c>
      <c r="L914" s="6">
        <f t="shared" si="59"/>
        <v>8876.81</v>
      </c>
    </row>
    <row r="915" spans="1:12" x14ac:dyDescent="0.25">
      <c r="A915" s="9" t="s">
        <v>914</v>
      </c>
      <c r="B915" s="2" t="str">
        <f>VLOOKUP(A915,[1]Sheet!B$3:G$2921,2,0)</f>
        <v>Металевi вироби</v>
      </c>
      <c r="C915" s="3" t="str">
        <f>VLOOKUP(A915,[1]Sheet!B$3:G$2921,3,0)</f>
        <v>т</v>
      </c>
      <c r="D915" s="4">
        <v>0.22943</v>
      </c>
      <c r="E915" s="5" t="e">
        <f>VLOOKUP(A915,N$3:S$1271,4,FALSE)</f>
        <v>#N/A</v>
      </c>
      <c r="F915" s="6">
        <f t="shared" si="56"/>
        <v>0.22943</v>
      </c>
      <c r="G915" s="7">
        <f>VLOOKUP(A915,[1]Sheet!B$3:G$2921,5,0)</f>
        <v>33035.82</v>
      </c>
      <c r="H915" s="5" t="e">
        <f>VLOOKUP(A915,N$3:S$1271,5,FALSE)</f>
        <v>#N/A</v>
      </c>
      <c r="I915" s="6">
        <f t="shared" si="57"/>
        <v>33035.82</v>
      </c>
      <c r="J915" s="7">
        <f>VLOOKUP(A915,[1]Sheet!B$3:G$2921,6,0)</f>
        <v>2334.9699999999998</v>
      </c>
      <c r="K915" s="8" t="e">
        <f t="shared" si="58"/>
        <v>#N/A</v>
      </c>
      <c r="L915" s="6">
        <f t="shared" si="59"/>
        <v>2334.9699999999998</v>
      </c>
    </row>
    <row r="916" spans="1:12" x14ac:dyDescent="0.25">
      <c r="A916" s="9" t="s">
        <v>915</v>
      </c>
      <c r="B916" s="2" t="str">
        <f>VLOOKUP(A916,[1]Sheet!B$3:G$2921,2,0)</f>
        <v>BIS підвіска-трапеція Vds "Walraven" арт.№
6785010</v>
      </c>
      <c r="C916" s="3" t="str">
        <f>VLOOKUP(A916,[1]Sheet!B$3:G$2921,3,0)</f>
        <v>шт</v>
      </c>
      <c r="D916" s="4">
        <v>329</v>
      </c>
      <c r="E916" s="5" t="e">
        <f>VLOOKUP(A916,N$3:S$1271,4,FALSE)</f>
        <v>#N/A</v>
      </c>
      <c r="F916" s="6">
        <f t="shared" si="56"/>
        <v>329</v>
      </c>
      <c r="G916" s="7">
        <f>VLOOKUP(A916,[1]Sheet!B$3:G$2921,5,0)</f>
        <v>28.51</v>
      </c>
      <c r="H916" s="5" t="e">
        <f>VLOOKUP(A916,N$3:S$1271,5,FALSE)</f>
        <v>#N/A</v>
      </c>
      <c r="I916" s="6">
        <f t="shared" si="57"/>
        <v>28.51</v>
      </c>
      <c r="J916" s="7">
        <f>VLOOKUP(A916,[1]Sheet!B$3:G$2921,6,0)</f>
        <v>9379.7900000000009</v>
      </c>
      <c r="K916" s="8" t="e">
        <f t="shared" si="58"/>
        <v>#N/A</v>
      </c>
      <c r="L916" s="6">
        <f t="shared" si="59"/>
        <v>9379.7900000000009</v>
      </c>
    </row>
    <row r="917" spans="1:12" x14ac:dyDescent="0.25">
      <c r="A917" s="9" t="s">
        <v>916</v>
      </c>
      <c r="B917" s="2" t="str">
        <f>VLOOKUP(A917,[1]Sheet!B$3:G$2921,2,0)</f>
        <v>Шпилька 10х2000 "Walraven" DIN 976-1 M10</v>
      </c>
      <c r="C917" s="3" t="str">
        <f>VLOOKUP(A917,[1]Sheet!B$3:G$2921,3,0)</f>
        <v>шт</v>
      </c>
      <c r="D917" s="4">
        <v>80</v>
      </c>
      <c r="E917" s="5" t="e">
        <f>VLOOKUP(A917,N$3:S$1271,4,FALSE)</f>
        <v>#N/A</v>
      </c>
      <c r="F917" s="6">
        <f t="shared" si="56"/>
        <v>80</v>
      </c>
      <c r="G917" s="7">
        <f>VLOOKUP(A917,[1]Sheet!B$3:G$2921,5,0)</f>
        <v>67.16</v>
      </c>
      <c r="H917" s="5" t="e">
        <f>VLOOKUP(A917,N$3:S$1271,5,FALSE)</f>
        <v>#N/A</v>
      </c>
      <c r="I917" s="6">
        <f t="shared" si="57"/>
        <v>67.16</v>
      </c>
      <c r="J917" s="7">
        <f>VLOOKUP(A917,[1]Sheet!B$3:G$2921,6,0)</f>
        <v>5372.8</v>
      </c>
      <c r="K917" s="8" t="e">
        <f t="shared" si="58"/>
        <v>#N/A</v>
      </c>
      <c r="L917" s="6">
        <f t="shared" si="59"/>
        <v>5372.8</v>
      </c>
    </row>
    <row r="918" spans="1:12" x14ac:dyDescent="0.25">
      <c r="A918" s="9" t="s">
        <v>917</v>
      </c>
      <c r="B918" s="2" t="str">
        <f>VLOOKUP(A918,[1]Sheet!B$3:G$2921,2,0)</f>
        <v>Шпилька 10х190 "Walraven" DIN 976-1 M10</v>
      </c>
      <c r="C918" s="3" t="str">
        <f>VLOOKUP(A918,[1]Sheet!B$3:G$2921,3,0)</f>
        <v>шт</v>
      </c>
      <c r="D918" s="4">
        <v>329</v>
      </c>
      <c r="E918" s="5" t="e">
        <f>VLOOKUP(A918,N$3:S$1271,4,FALSE)</f>
        <v>#N/A</v>
      </c>
      <c r="F918" s="6">
        <f t="shared" si="56"/>
        <v>329</v>
      </c>
      <c r="G918" s="7">
        <f>VLOOKUP(A918,[1]Sheet!B$3:G$2921,5,0)</f>
        <v>6.36</v>
      </c>
      <c r="H918" s="5" t="e">
        <f>VLOOKUP(A918,N$3:S$1271,5,FALSE)</f>
        <v>#N/A</v>
      </c>
      <c r="I918" s="6">
        <f t="shared" si="57"/>
        <v>6.36</v>
      </c>
      <c r="J918" s="7">
        <f>VLOOKUP(A918,[1]Sheet!B$3:G$2921,6,0)</f>
        <v>2092.44</v>
      </c>
      <c r="K918" s="8" t="e">
        <f t="shared" si="58"/>
        <v>#N/A</v>
      </c>
      <c r="L918" s="6">
        <f t="shared" si="59"/>
        <v>2092.44</v>
      </c>
    </row>
    <row r="919" spans="1:12" x14ac:dyDescent="0.25">
      <c r="A919" s="9" t="s">
        <v>918</v>
      </c>
      <c r="B919" s="2" t="str">
        <f>VLOOKUP(A919,[1]Sheet!B$3:G$2921,2,0)</f>
        <v>Гвинт з кільцем 10х200 (гвинт-гак О з
метричною різьбою)</v>
      </c>
      <c r="C919" s="3" t="str">
        <f>VLOOKUP(A919,[1]Sheet!B$3:G$2921,3,0)</f>
        <v>шт</v>
      </c>
      <c r="D919" s="4">
        <v>249</v>
      </c>
      <c r="E919" s="5" t="e">
        <f>VLOOKUP(A919,N$3:S$1271,4,FALSE)</f>
        <v>#N/A</v>
      </c>
      <c r="F919" s="6">
        <f t="shared" si="56"/>
        <v>249</v>
      </c>
      <c r="G919" s="7">
        <f>VLOOKUP(A919,[1]Sheet!B$3:G$2921,5,0)</f>
        <v>19.46</v>
      </c>
      <c r="H919" s="5" t="e">
        <f>VLOOKUP(A919,N$3:S$1271,5,FALSE)</f>
        <v>#N/A</v>
      </c>
      <c r="I919" s="6">
        <f t="shared" si="57"/>
        <v>19.46</v>
      </c>
      <c r="J919" s="7">
        <f>VLOOKUP(A919,[1]Sheet!B$3:G$2921,6,0)</f>
        <v>4845.54</v>
      </c>
      <c r="K919" s="8" t="e">
        <f t="shared" si="58"/>
        <v>#N/A</v>
      </c>
      <c r="L919" s="6">
        <f t="shared" si="59"/>
        <v>4845.54</v>
      </c>
    </row>
    <row r="920" spans="1:12" x14ac:dyDescent="0.25">
      <c r="A920" s="9" t="s">
        <v>919</v>
      </c>
      <c r="B920" s="2" t="str">
        <f>VLOOKUP(A920,[1]Sheet!B$3:G$2921,2,0)</f>
        <v>Панель тип "3D" з дроту 4мм, розмір комірки
60х200мм h=2,0м</v>
      </c>
      <c r="C920" s="3" t="str">
        <f>VLOOKUP(A920,[1]Sheet!B$3:G$2921,3,0)</f>
        <v>м</v>
      </c>
      <c r="D920" s="4">
        <v>11</v>
      </c>
      <c r="E920" s="5" t="e">
        <f>VLOOKUP(A920,N$3:S$1271,4,FALSE)</f>
        <v>#N/A</v>
      </c>
      <c r="F920" s="6">
        <f t="shared" si="56"/>
        <v>11</v>
      </c>
      <c r="G920" s="7">
        <f>VLOOKUP(A920,[1]Sheet!B$3:G$2921,5,0)</f>
        <v>492.48</v>
      </c>
      <c r="H920" s="5" t="e">
        <f>VLOOKUP(A920,N$3:S$1271,5,FALSE)</f>
        <v>#N/A</v>
      </c>
      <c r="I920" s="6">
        <f t="shared" si="57"/>
        <v>492.48</v>
      </c>
      <c r="J920" s="7">
        <f>VLOOKUP(A920,[1]Sheet!B$3:G$2921,6,0)</f>
        <v>5417.28</v>
      </c>
      <c r="K920" s="8" t="e">
        <f t="shared" si="58"/>
        <v>#N/A</v>
      </c>
      <c r="L920" s="6">
        <f t="shared" si="59"/>
        <v>5417.28</v>
      </c>
    </row>
    <row r="921" spans="1:12" x14ac:dyDescent="0.25">
      <c r="A921" s="9" t="s">
        <v>920</v>
      </c>
      <c r="B921" s="2" t="str">
        <f>VLOOKUP(A921,[1]Sheet!B$3:G$2921,2,0)</f>
        <v>Панель тип "3D" з дроту 4мм, розмір комірки
60х200мм h=4,0м</v>
      </c>
      <c r="C921" s="3" t="str">
        <f>VLOOKUP(A921,[1]Sheet!B$3:G$2921,3,0)</f>
        <v>м</v>
      </c>
      <c r="D921" s="4">
        <v>14</v>
      </c>
      <c r="E921" s="5" t="e">
        <f>VLOOKUP(A921,N$3:S$1271,4,FALSE)</f>
        <v>#N/A</v>
      </c>
      <c r="F921" s="6">
        <f t="shared" si="56"/>
        <v>14</v>
      </c>
      <c r="G921" s="7">
        <f>VLOOKUP(A921,[1]Sheet!B$3:G$2921,5,0)</f>
        <v>984.43</v>
      </c>
      <c r="H921" s="5" t="e">
        <f>VLOOKUP(A921,N$3:S$1271,5,FALSE)</f>
        <v>#N/A</v>
      </c>
      <c r="I921" s="6">
        <f t="shared" si="57"/>
        <v>984.43</v>
      </c>
      <c r="J921" s="7">
        <f>VLOOKUP(A921,[1]Sheet!B$3:G$2921,6,0)</f>
        <v>13782.02</v>
      </c>
      <c r="K921" s="8" t="e">
        <f t="shared" si="58"/>
        <v>#N/A</v>
      </c>
      <c r="L921" s="6">
        <f t="shared" si="59"/>
        <v>13782.02</v>
      </c>
    </row>
    <row r="922" spans="1:12" x14ac:dyDescent="0.25">
      <c r="A922" s="9" t="s">
        <v>921</v>
      </c>
      <c r="B922" s="2" t="str">
        <f>VLOOKUP(A922,[1]Sheet!B$3:G$2921,2,0)</f>
        <v>Кронштейн для кріплення опалювального
приладу L=165 мм</v>
      </c>
      <c r="C922" s="3" t="str">
        <f>VLOOKUP(A922,[1]Sheet!B$3:G$2921,3,0)</f>
        <v>шт</v>
      </c>
      <c r="D922" s="4">
        <v>28</v>
      </c>
      <c r="E922" s="5" t="e">
        <f>VLOOKUP(A922,N$3:S$1271,4,FALSE)</f>
        <v>#N/A</v>
      </c>
      <c r="F922" s="6">
        <f t="shared" si="56"/>
        <v>28</v>
      </c>
      <c r="G922" s="7">
        <f>VLOOKUP(A922,[1]Sheet!B$3:G$2921,5,0)</f>
        <v>23.67</v>
      </c>
      <c r="H922" s="5" t="e">
        <f>VLOOKUP(A922,N$3:S$1271,5,FALSE)</f>
        <v>#N/A</v>
      </c>
      <c r="I922" s="6">
        <f t="shared" si="57"/>
        <v>23.67</v>
      </c>
      <c r="J922" s="7">
        <f>VLOOKUP(A922,[1]Sheet!B$3:G$2921,6,0)</f>
        <v>662.76</v>
      </c>
      <c r="K922" s="8" t="e">
        <f t="shared" si="58"/>
        <v>#N/A</v>
      </c>
      <c r="L922" s="6">
        <f t="shared" si="59"/>
        <v>662.76</v>
      </c>
    </row>
    <row r="923" spans="1:12" x14ac:dyDescent="0.25">
      <c r="A923" s="9" t="s">
        <v>922</v>
      </c>
      <c r="B923" s="2" t="str">
        <f>VLOOKUP(A923,[1]Sheet!B$3:G$2921,2,0)</f>
        <v>Блоки двернi ДВЛ_ОдГ ВЛ 21-7 По К Бп П</v>
      </c>
      <c r="C923" s="3" t="str">
        <f>VLOOKUP(A923,[1]Sheet!B$3:G$2921,3,0)</f>
        <v>шт</v>
      </c>
      <c r="D923" s="4">
        <v>4</v>
      </c>
      <c r="E923" s="5" t="e">
        <f>VLOOKUP(A923,N$3:S$1271,4,FALSE)</f>
        <v>#N/A</v>
      </c>
      <c r="F923" s="6">
        <f t="shared" si="56"/>
        <v>4</v>
      </c>
      <c r="G923" s="7">
        <f>VLOOKUP(A923,[1]Sheet!B$3:G$2921,5,0)</f>
        <v>2491.89</v>
      </c>
      <c r="H923" s="5" t="e">
        <f>VLOOKUP(A923,N$3:S$1271,5,FALSE)</f>
        <v>#N/A</v>
      </c>
      <c r="I923" s="6">
        <f t="shared" si="57"/>
        <v>2491.89</v>
      </c>
      <c r="J923" s="7">
        <f>VLOOKUP(A923,[1]Sheet!B$3:G$2921,6,0)</f>
        <v>9967.56</v>
      </c>
      <c r="K923" s="8" t="e">
        <f t="shared" si="58"/>
        <v>#N/A</v>
      </c>
      <c r="L923" s="6">
        <f t="shared" si="59"/>
        <v>9967.56</v>
      </c>
    </row>
    <row r="924" spans="1:12" x14ac:dyDescent="0.25">
      <c r="A924" s="9" t="s">
        <v>923</v>
      </c>
      <c r="B924" s="2" t="str">
        <f>VLOOKUP(A924,[1]Sheet!B$3:G$2921,2,0)</f>
        <v>Блоки двернi ДВЛ_ОдГ ВЛ 21-7 По К Бп Л</v>
      </c>
      <c r="C924" s="3" t="str">
        <f>VLOOKUP(A924,[1]Sheet!B$3:G$2921,3,0)</f>
        <v>шт</v>
      </c>
      <c r="D924" s="4">
        <v>2</v>
      </c>
      <c r="E924" s="5" t="e">
        <f>VLOOKUP(A924,N$3:S$1271,4,FALSE)</f>
        <v>#N/A</v>
      </c>
      <c r="F924" s="6">
        <f t="shared" si="56"/>
        <v>2</v>
      </c>
      <c r="G924" s="7">
        <f>VLOOKUP(A924,[1]Sheet!B$3:G$2921,5,0)</f>
        <v>2491.89</v>
      </c>
      <c r="H924" s="5" t="e">
        <f>VLOOKUP(A924,N$3:S$1271,5,FALSE)</f>
        <v>#N/A</v>
      </c>
      <c r="I924" s="6">
        <f t="shared" si="57"/>
        <v>2491.89</v>
      </c>
      <c r="J924" s="7">
        <f>VLOOKUP(A924,[1]Sheet!B$3:G$2921,6,0)</f>
        <v>4983.78</v>
      </c>
      <c r="K924" s="8" t="e">
        <f t="shared" si="58"/>
        <v>#N/A</v>
      </c>
      <c r="L924" s="6">
        <f t="shared" si="59"/>
        <v>4983.78</v>
      </c>
    </row>
    <row r="925" spans="1:12" x14ac:dyDescent="0.25">
      <c r="A925" s="9" t="s">
        <v>924</v>
      </c>
      <c r="B925" s="2" t="str">
        <f>VLOOKUP(A925,[1]Sheet!B$3:G$2921,2,0)</f>
        <v>Блоки двернi ДВЛ_ОдГ 21-7 По К Бп П</v>
      </c>
      <c r="C925" s="3" t="str">
        <f>VLOOKUP(A925,[1]Sheet!B$3:G$2921,3,0)</f>
        <v>шт</v>
      </c>
      <c r="D925" s="4">
        <v>7</v>
      </c>
      <c r="E925" s="5" t="e">
        <f>VLOOKUP(A925,N$3:S$1271,4,FALSE)</f>
        <v>#N/A</v>
      </c>
      <c r="F925" s="6">
        <f t="shared" si="56"/>
        <v>7</v>
      </c>
      <c r="G925" s="7">
        <f>VLOOKUP(A925,[1]Sheet!B$3:G$2921,5,0)</f>
        <v>2491.89</v>
      </c>
      <c r="H925" s="5" t="e">
        <f>VLOOKUP(A925,N$3:S$1271,5,FALSE)</f>
        <v>#N/A</v>
      </c>
      <c r="I925" s="6">
        <f t="shared" si="57"/>
        <v>2491.89</v>
      </c>
      <c r="J925" s="7">
        <f>VLOOKUP(A925,[1]Sheet!B$3:G$2921,6,0)</f>
        <v>17443.23</v>
      </c>
      <c r="K925" s="8" t="e">
        <f t="shared" si="58"/>
        <v>#N/A</v>
      </c>
      <c r="L925" s="6">
        <f t="shared" si="59"/>
        <v>17443.23</v>
      </c>
    </row>
    <row r="926" spans="1:12" x14ac:dyDescent="0.25">
      <c r="A926" s="9" t="s">
        <v>925</v>
      </c>
      <c r="B926" s="2" t="str">
        <f>VLOOKUP(A926,[1]Sheet!B$3:G$2921,2,0)</f>
        <v>Блоки двернi ДВЛ_ОдГ 21-7 По К Бп Л</v>
      </c>
      <c r="C926" s="3" t="str">
        <f>VLOOKUP(A926,[1]Sheet!B$3:G$2921,3,0)</f>
        <v>шт</v>
      </c>
      <c r="D926" s="4">
        <v>7</v>
      </c>
      <c r="E926" s="5" t="e">
        <f>VLOOKUP(A926,N$3:S$1271,4,FALSE)</f>
        <v>#N/A</v>
      </c>
      <c r="F926" s="6">
        <f t="shared" si="56"/>
        <v>7</v>
      </c>
      <c r="G926" s="7">
        <f>VLOOKUP(A926,[1]Sheet!B$3:G$2921,5,0)</f>
        <v>2491.89</v>
      </c>
      <c r="H926" s="5" t="e">
        <f>VLOOKUP(A926,N$3:S$1271,5,FALSE)</f>
        <v>#N/A</v>
      </c>
      <c r="I926" s="6">
        <f t="shared" si="57"/>
        <v>2491.89</v>
      </c>
      <c r="J926" s="7">
        <f>VLOOKUP(A926,[1]Sheet!B$3:G$2921,6,0)</f>
        <v>17443.23</v>
      </c>
      <c r="K926" s="8" t="e">
        <f t="shared" si="58"/>
        <v>#N/A</v>
      </c>
      <c r="L926" s="6">
        <f t="shared" si="59"/>
        <v>17443.23</v>
      </c>
    </row>
    <row r="927" spans="1:12" x14ac:dyDescent="0.25">
      <c r="A927" s="9" t="s">
        <v>926</v>
      </c>
      <c r="B927" s="2" t="str">
        <f>VLOOKUP(A927,[1]Sheet!B$3:G$2921,2,0)</f>
        <v>Блоки двернi ДВД ОдГ 21-7 По К Бп Л</v>
      </c>
      <c r="C927" s="3" t="str">
        <f>VLOOKUP(A927,[1]Sheet!B$3:G$2921,3,0)</f>
        <v>шт</v>
      </c>
      <c r="D927" s="4">
        <v>1</v>
      </c>
      <c r="E927" s="5" t="e">
        <f>VLOOKUP(A927,N$3:S$1271,4,FALSE)</f>
        <v>#N/A</v>
      </c>
      <c r="F927" s="6">
        <f t="shared" si="56"/>
        <v>1</v>
      </c>
      <c r="G927" s="7">
        <f>VLOOKUP(A927,[1]Sheet!B$3:G$2921,5,0)</f>
        <v>2333.66</v>
      </c>
      <c r="H927" s="5" t="e">
        <f>VLOOKUP(A927,N$3:S$1271,5,FALSE)</f>
        <v>#N/A</v>
      </c>
      <c r="I927" s="6">
        <f t="shared" si="57"/>
        <v>2333.66</v>
      </c>
      <c r="J927" s="7">
        <f>VLOOKUP(A927,[1]Sheet!B$3:G$2921,6,0)</f>
        <v>2333.66</v>
      </c>
      <c r="K927" s="8" t="e">
        <f t="shared" si="58"/>
        <v>#N/A</v>
      </c>
      <c r="L927" s="6">
        <f t="shared" si="59"/>
        <v>2333.66</v>
      </c>
    </row>
    <row r="928" spans="1:12" x14ac:dyDescent="0.25">
      <c r="A928" s="9" t="s">
        <v>927</v>
      </c>
      <c r="B928" s="2" t="str">
        <f>VLOOKUP(A928,[1]Sheet!B$3:G$2921,2,0)</f>
        <v>Блоки двернi ДВЛ_ ОдГ ВЛ 21-10 По К Бп Л</v>
      </c>
      <c r="C928" s="3" t="str">
        <f>VLOOKUP(A928,[1]Sheet!B$3:G$2921,3,0)</f>
        <v>шт</v>
      </c>
      <c r="D928" s="4">
        <v>1</v>
      </c>
      <c r="E928" s="5" t="e">
        <f>VLOOKUP(A928,N$3:S$1271,4,FALSE)</f>
        <v>#N/A</v>
      </c>
      <c r="F928" s="6">
        <f t="shared" si="56"/>
        <v>1</v>
      </c>
      <c r="G928" s="7">
        <f>VLOOKUP(A928,[1]Sheet!B$3:G$2921,5,0)</f>
        <v>3721.67</v>
      </c>
      <c r="H928" s="5" t="e">
        <f>VLOOKUP(A928,N$3:S$1271,5,FALSE)</f>
        <v>#N/A</v>
      </c>
      <c r="I928" s="6">
        <f t="shared" si="57"/>
        <v>3721.67</v>
      </c>
      <c r="J928" s="7">
        <f>VLOOKUP(A928,[1]Sheet!B$3:G$2921,6,0)</f>
        <v>3721.67</v>
      </c>
      <c r="K928" s="8" t="e">
        <f t="shared" si="58"/>
        <v>#N/A</v>
      </c>
      <c r="L928" s="6">
        <f t="shared" si="59"/>
        <v>3721.67</v>
      </c>
    </row>
    <row r="929" spans="1:12" x14ac:dyDescent="0.25">
      <c r="A929" s="9" t="s">
        <v>928</v>
      </c>
      <c r="B929" s="2" t="str">
        <f>VLOOKUP(A929,[1]Sheet!B$3:G$2921,2,0)</f>
        <v>Блоки двернi ДВЛ_ ОдГ 21-10 По К Бп Л</v>
      </c>
      <c r="C929" s="3" t="str">
        <f>VLOOKUP(A929,[1]Sheet!B$3:G$2921,3,0)</f>
        <v>шт</v>
      </c>
      <c r="D929" s="4">
        <v>1</v>
      </c>
      <c r="E929" s="5" t="e">
        <f>VLOOKUP(A929,N$3:S$1271,4,FALSE)</f>
        <v>#N/A</v>
      </c>
      <c r="F929" s="6">
        <f t="shared" si="56"/>
        <v>1</v>
      </c>
      <c r="G929" s="7">
        <f>VLOOKUP(A929,[1]Sheet!B$3:G$2921,5,0)</f>
        <v>3563.44</v>
      </c>
      <c r="H929" s="5" t="e">
        <f>VLOOKUP(A929,N$3:S$1271,5,FALSE)</f>
        <v>#N/A</v>
      </c>
      <c r="I929" s="6">
        <f t="shared" si="57"/>
        <v>3563.44</v>
      </c>
      <c r="J929" s="7">
        <f>VLOOKUP(A929,[1]Sheet!B$3:G$2921,6,0)</f>
        <v>3563.44</v>
      </c>
      <c r="K929" s="8" t="e">
        <f t="shared" si="58"/>
        <v>#N/A</v>
      </c>
      <c r="L929" s="6">
        <f t="shared" si="59"/>
        <v>3563.44</v>
      </c>
    </row>
    <row r="930" spans="1:12" x14ac:dyDescent="0.25">
      <c r="A930" s="9" t="s">
        <v>929</v>
      </c>
      <c r="B930" s="2" t="str">
        <f>VLOOKUP(A930,[1]Sheet!B$3:G$2921,2,0)</f>
        <v>Блоки двернi ДВЛ_ОдГ ВЛ 21-9 По К Бп П</v>
      </c>
      <c r="C930" s="3" t="str">
        <f>VLOOKUP(A930,[1]Sheet!B$3:G$2921,3,0)</f>
        <v>шт</v>
      </c>
      <c r="D930" s="4">
        <v>4</v>
      </c>
      <c r="E930" s="5" t="e">
        <f>VLOOKUP(A930,N$3:S$1271,4,FALSE)</f>
        <v>#N/A</v>
      </c>
      <c r="F930" s="6">
        <f t="shared" si="56"/>
        <v>4</v>
      </c>
      <c r="G930" s="7">
        <f>VLOOKUP(A930,[1]Sheet!B$3:G$2921,5,0)</f>
        <v>3207.69</v>
      </c>
      <c r="H930" s="5" t="e">
        <f>VLOOKUP(A930,N$3:S$1271,5,FALSE)</f>
        <v>#N/A</v>
      </c>
      <c r="I930" s="6">
        <f t="shared" si="57"/>
        <v>3207.69</v>
      </c>
      <c r="J930" s="7">
        <f>VLOOKUP(A930,[1]Sheet!B$3:G$2921,6,0)</f>
        <v>12830.76</v>
      </c>
      <c r="K930" s="8" t="e">
        <f t="shared" si="58"/>
        <v>#N/A</v>
      </c>
      <c r="L930" s="6">
        <f t="shared" si="59"/>
        <v>12830.76</v>
      </c>
    </row>
    <row r="931" spans="1:12" x14ac:dyDescent="0.25">
      <c r="A931" s="9" t="s">
        <v>930</v>
      </c>
      <c r="B931" s="2" t="str">
        <f>VLOOKUP(A931,[1]Sheet!B$3:G$2921,2,0)</f>
        <v>Блоки двернi ДВЛ_ОдГ ВЛ 21-9 По К Бп Л</v>
      </c>
      <c r="C931" s="3" t="str">
        <f>VLOOKUP(A931,[1]Sheet!B$3:G$2921,3,0)</f>
        <v>шт</v>
      </c>
      <c r="D931" s="4">
        <v>1</v>
      </c>
      <c r="E931" s="5" t="e">
        <f>VLOOKUP(A931,N$3:S$1271,4,FALSE)</f>
        <v>#N/A</v>
      </c>
      <c r="F931" s="6">
        <f t="shared" si="56"/>
        <v>1</v>
      </c>
      <c r="G931" s="7">
        <f>VLOOKUP(A931,[1]Sheet!B$3:G$2921,5,0)</f>
        <v>3207.69</v>
      </c>
      <c r="H931" s="5" t="e">
        <f>VLOOKUP(A931,N$3:S$1271,5,FALSE)</f>
        <v>#N/A</v>
      </c>
      <c r="I931" s="6">
        <f t="shared" si="57"/>
        <v>3207.69</v>
      </c>
      <c r="J931" s="7">
        <f>VLOOKUP(A931,[1]Sheet!B$3:G$2921,6,0)</f>
        <v>3207.69</v>
      </c>
      <c r="K931" s="8" t="e">
        <f t="shared" si="58"/>
        <v>#N/A</v>
      </c>
      <c r="L931" s="6">
        <f t="shared" si="59"/>
        <v>3207.69</v>
      </c>
    </row>
    <row r="932" spans="1:12" x14ac:dyDescent="0.25">
      <c r="A932" s="9" t="s">
        <v>931</v>
      </c>
      <c r="B932" s="2" t="str">
        <f>VLOOKUP(A932,[1]Sheet!B$3:G$2921,2,0)</f>
        <v>Блоки двернi ДВЛ_ОдГ 21-9 По К Бп Л</v>
      </c>
      <c r="C932" s="3" t="str">
        <f>VLOOKUP(A932,[1]Sheet!B$3:G$2921,3,0)</f>
        <v>шт</v>
      </c>
      <c r="D932" s="4">
        <v>6</v>
      </c>
      <c r="E932" s="5" t="e">
        <f>VLOOKUP(A932,N$3:S$1271,4,FALSE)</f>
        <v>#N/A</v>
      </c>
      <c r="F932" s="6">
        <f t="shared" si="56"/>
        <v>6</v>
      </c>
      <c r="G932" s="7">
        <f>VLOOKUP(A932,[1]Sheet!B$3:G$2921,5,0)</f>
        <v>3207.69</v>
      </c>
      <c r="H932" s="5" t="e">
        <f>VLOOKUP(A932,N$3:S$1271,5,FALSE)</f>
        <v>#N/A</v>
      </c>
      <c r="I932" s="6">
        <f t="shared" si="57"/>
        <v>3207.69</v>
      </c>
      <c r="J932" s="7">
        <f>VLOOKUP(A932,[1]Sheet!B$3:G$2921,6,0)</f>
        <v>19246.14</v>
      </c>
      <c r="K932" s="8" t="e">
        <f t="shared" si="58"/>
        <v>#N/A</v>
      </c>
      <c r="L932" s="6">
        <f t="shared" si="59"/>
        <v>19246.14</v>
      </c>
    </row>
    <row r="933" spans="1:12" x14ac:dyDescent="0.25">
      <c r="A933" s="9" t="s">
        <v>932</v>
      </c>
      <c r="B933" s="2" t="str">
        <f>VLOOKUP(A933,[1]Sheet!B$3:G$2921,2,0)</f>
        <v>Блоки двернi ДВЛ_ОдГ 21-9 По К Бп П</v>
      </c>
      <c r="C933" s="3" t="str">
        <f>VLOOKUP(A933,[1]Sheet!B$3:G$2921,3,0)</f>
        <v>шт</v>
      </c>
      <c r="D933" s="4">
        <v>4</v>
      </c>
      <c r="E933" s="5" t="e">
        <f>VLOOKUP(A933,N$3:S$1271,4,FALSE)</f>
        <v>#N/A</v>
      </c>
      <c r="F933" s="6">
        <f t="shared" si="56"/>
        <v>4</v>
      </c>
      <c r="G933" s="7">
        <f>VLOOKUP(A933,[1]Sheet!B$3:G$2921,5,0)</f>
        <v>3207.69</v>
      </c>
      <c r="H933" s="5" t="e">
        <f>VLOOKUP(A933,N$3:S$1271,5,FALSE)</f>
        <v>#N/A</v>
      </c>
      <c r="I933" s="6">
        <f t="shared" si="57"/>
        <v>3207.69</v>
      </c>
      <c r="J933" s="7">
        <f>VLOOKUP(A933,[1]Sheet!B$3:G$2921,6,0)</f>
        <v>12830.76</v>
      </c>
      <c r="K933" s="8" t="e">
        <f t="shared" si="58"/>
        <v>#N/A</v>
      </c>
      <c r="L933" s="6">
        <f t="shared" si="59"/>
        <v>12830.76</v>
      </c>
    </row>
    <row r="934" spans="1:12" x14ac:dyDescent="0.25">
      <c r="A934" s="9" t="s">
        <v>933</v>
      </c>
      <c r="B934" s="2" t="str">
        <f>VLOOKUP(A934,[1]Sheet!B$3:G$2921,2,0)</f>
        <v>Блоки двернi ДВЛ_ ОдГ 21-11 По К Бп П</v>
      </c>
      <c r="C934" s="3" t="str">
        <f>VLOOKUP(A934,[1]Sheet!B$3:G$2921,3,0)</f>
        <v>шт</v>
      </c>
      <c r="D934" s="4">
        <v>1</v>
      </c>
      <c r="E934" s="5" t="e">
        <f>VLOOKUP(A934,N$3:S$1271,4,FALSE)</f>
        <v>#N/A</v>
      </c>
      <c r="F934" s="6">
        <f t="shared" si="56"/>
        <v>1</v>
      </c>
      <c r="G934" s="7">
        <f>VLOOKUP(A934,[1]Sheet!B$3:G$2921,5,0)</f>
        <v>3917.88</v>
      </c>
      <c r="H934" s="5" t="e">
        <f>VLOOKUP(A934,N$3:S$1271,5,FALSE)</f>
        <v>#N/A</v>
      </c>
      <c r="I934" s="6">
        <f t="shared" si="57"/>
        <v>3917.88</v>
      </c>
      <c r="J934" s="7">
        <f>VLOOKUP(A934,[1]Sheet!B$3:G$2921,6,0)</f>
        <v>3917.88</v>
      </c>
      <c r="K934" s="8" t="e">
        <f t="shared" si="58"/>
        <v>#N/A</v>
      </c>
      <c r="L934" s="6">
        <f t="shared" si="59"/>
        <v>3917.88</v>
      </c>
    </row>
    <row r="935" spans="1:12" x14ac:dyDescent="0.25">
      <c r="A935" s="9" t="s">
        <v>934</v>
      </c>
      <c r="B935" s="2" t="str">
        <f>VLOOKUP(A935,[1]Sheet!B$3:G$2921,2,0)</f>
        <v>Блоки двернi ДВЛ_ ДвС 21-13,5 По К Бп</v>
      </c>
      <c r="C935" s="3" t="str">
        <f>VLOOKUP(A935,[1]Sheet!B$3:G$2921,3,0)</f>
        <v>шт</v>
      </c>
      <c r="D935" s="4">
        <v>4</v>
      </c>
      <c r="E935" s="5" t="e">
        <f>VLOOKUP(A935,N$3:S$1271,4,FALSE)</f>
        <v>#N/A</v>
      </c>
      <c r="F935" s="6">
        <f t="shared" si="56"/>
        <v>4</v>
      </c>
      <c r="G935" s="7">
        <f>VLOOKUP(A935,[1]Sheet!B$3:G$2921,5,0)</f>
        <v>4795.75</v>
      </c>
      <c r="H935" s="5" t="e">
        <f>VLOOKUP(A935,N$3:S$1271,5,FALSE)</f>
        <v>#N/A</v>
      </c>
      <c r="I935" s="6">
        <f t="shared" si="57"/>
        <v>4795.75</v>
      </c>
      <c r="J935" s="7">
        <f>VLOOKUP(A935,[1]Sheet!B$3:G$2921,6,0)</f>
        <v>19183</v>
      </c>
      <c r="K935" s="8" t="e">
        <f t="shared" si="58"/>
        <v>#N/A</v>
      </c>
      <c r="L935" s="6">
        <f t="shared" si="59"/>
        <v>19183</v>
      </c>
    </row>
    <row r="936" spans="1:12" x14ac:dyDescent="0.25">
      <c r="A936" s="9" t="s">
        <v>935</v>
      </c>
      <c r="B936" s="2" t="str">
        <f>VLOOKUP(A936,[1]Sheet!B$3:G$2921,2,0)</f>
        <v>Блок дверний ДВЛ_ ДвС 21-15 По К Бп</v>
      </c>
      <c r="C936" s="3" t="str">
        <f>VLOOKUP(A936,[1]Sheet!B$3:G$2921,3,0)</f>
        <v>шт</v>
      </c>
      <c r="D936" s="4">
        <v>1</v>
      </c>
      <c r="E936" s="5" t="e">
        <f>VLOOKUP(A936,N$3:S$1271,4,FALSE)</f>
        <v>#N/A</v>
      </c>
      <c r="F936" s="6">
        <f t="shared" si="56"/>
        <v>1</v>
      </c>
      <c r="G936" s="7">
        <f>VLOOKUP(A936,[1]Sheet!B$3:G$2921,5,0)</f>
        <v>5333.03</v>
      </c>
      <c r="H936" s="5" t="e">
        <f>VLOOKUP(A936,N$3:S$1271,5,FALSE)</f>
        <v>#N/A</v>
      </c>
      <c r="I936" s="6">
        <f t="shared" si="57"/>
        <v>5333.03</v>
      </c>
      <c r="J936" s="7">
        <f>VLOOKUP(A936,[1]Sheet!B$3:G$2921,6,0)</f>
        <v>5333.03</v>
      </c>
      <c r="K936" s="8" t="e">
        <f t="shared" si="58"/>
        <v>#N/A</v>
      </c>
      <c r="L936" s="6">
        <f t="shared" si="59"/>
        <v>5333.03</v>
      </c>
    </row>
    <row r="937" spans="1:12" x14ac:dyDescent="0.25">
      <c r="A937" s="9" t="s">
        <v>936</v>
      </c>
      <c r="B937" s="2" t="str">
        <f>VLOOKUP(A937,[1]Sheet!B$3:G$2921,2,0)</f>
        <v>Блоки двернi ДВЛ_ ДвС 24-17 По К Бп</v>
      </c>
      <c r="C937" s="3" t="str">
        <f>VLOOKUP(A937,[1]Sheet!B$3:G$2921,3,0)</f>
        <v>шт</v>
      </c>
      <c r="D937" s="4">
        <v>1</v>
      </c>
      <c r="E937" s="5" t="e">
        <f>VLOOKUP(A937,N$3:S$1271,4,FALSE)</f>
        <v>#N/A</v>
      </c>
      <c r="F937" s="6">
        <f t="shared" si="56"/>
        <v>1</v>
      </c>
      <c r="G937" s="7">
        <f>VLOOKUP(A937,[1]Sheet!B$3:G$2921,5,0)</f>
        <v>6910.05</v>
      </c>
      <c r="H937" s="5" t="e">
        <f>VLOOKUP(A937,N$3:S$1271,5,FALSE)</f>
        <v>#N/A</v>
      </c>
      <c r="I937" s="6">
        <f t="shared" si="57"/>
        <v>6910.05</v>
      </c>
      <c r="J937" s="7">
        <f>VLOOKUP(A937,[1]Sheet!B$3:G$2921,6,0)</f>
        <v>6910.05</v>
      </c>
      <c r="K937" s="8" t="e">
        <f t="shared" si="58"/>
        <v>#N/A</v>
      </c>
      <c r="L937" s="6">
        <f t="shared" si="59"/>
        <v>6910.05</v>
      </c>
    </row>
    <row r="938" spans="1:12" x14ac:dyDescent="0.25">
      <c r="A938" s="9" t="s">
        <v>937</v>
      </c>
      <c r="B938" s="2" t="str">
        <f>VLOOKUP(A938,[1]Sheet!B$3:G$2921,2,0)</f>
        <v>Лючок з пластиковими дверцятами 400х400
мм</v>
      </c>
      <c r="C938" s="3" t="str">
        <f>VLOOKUP(A938,[1]Sheet!B$3:G$2921,3,0)</f>
        <v>шт</v>
      </c>
      <c r="D938" s="4">
        <v>1</v>
      </c>
      <c r="E938" s="5" t="e">
        <f>VLOOKUP(A938,N$3:S$1271,4,FALSE)</f>
        <v>#N/A</v>
      </c>
      <c r="F938" s="6">
        <f t="shared" si="56"/>
        <v>1</v>
      </c>
      <c r="G938" s="7">
        <f>VLOOKUP(A938,[1]Sheet!B$3:G$2921,5,0)</f>
        <v>275.37</v>
      </c>
      <c r="H938" s="5" t="e">
        <f>VLOOKUP(A938,N$3:S$1271,5,FALSE)</f>
        <v>#N/A</v>
      </c>
      <c r="I938" s="6">
        <f t="shared" si="57"/>
        <v>275.37</v>
      </c>
      <c r="J938" s="7">
        <f>VLOOKUP(A938,[1]Sheet!B$3:G$2921,6,0)</f>
        <v>275.37</v>
      </c>
      <c r="K938" s="8" t="e">
        <f t="shared" si="58"/>
        <v>#N/A</v>
      </c>
      <c r="L938" s="6">
        <f t="shared" si="59"/>
        <v>275.37</v>
      </c>
    </row>
    <row r="939" spans="1:12" x14ac:dyDescent="0.25">
      <c r="A939" s="9" t="s">
        <v>938</v>
      </c>
      <c r="B939" s="2" t="str">
        <f>VLOOKUP(A939,[1]Sheet!B$3:G$2921,2,0)</f>
        <v>Дошки для покриття пiдлог антисептованi,
тип ДП-35, товщина 35 мм, ширина без
гребеня 118 мм</v>
      </c>
      <c r="C939" s="3" t="str">
        <f>VLOOKUP(A939,[1]Sheet!B$3:G$2921,3,0)</f>
        <v>м3</v>
      </c>
      <c r="D939" s="4">
        <v>0</v>
      </c>
      <c r="E939" s="5" t="e">
        <f>VLOOKUP(A939,N$3:S$1271,4,FALSE)</f>
        <v>#N/A</v>
      </c>
      <c r="F939" s="6">
        <f t="shared" si="56"/>
        <v>0</v>
      </c>
      <c r="G939" s="7">
        <f>VLOOKUP(A939,[1]Sheet!B$3:G$2921,5,0)</f>
        <v>19066.77</v>
      </c>
      <c r="H939" s="5" t="e">
        <f>VLOOKUP(A939,N$3:S$1271,5,FALSE)</f>
        <v>#N/A</v>
      </c>
      <c r="I939" s="6">
        <f t="shared" si="57"/>
        <v>19066.77</v>
      </c>
      <c r="J939" s="7">
        <f>VLOOKUP(A939,[1]Sheet!B$3:G$2921,6,0)</f>
        <v>2589.5700000000002</v>
      </c>
      <c r="K939" s="8" t="e">
        <f t="shared" si="58"/>
        <v>#N/A</v>
      </c>
      <c r="L939" s="6">
        <f t="shared" si="59"/>
        <v>2589.5700000000002</v>
      </c>
    </row>
    <row r="940" spans="1:12" x14ac:dyDescent="0.25">
      <c r="A940" s="9" t="s">
        <v>939</v>
      </c>
      <c r="B940" s="2" t="str">
        <f>VLOOKUP(A940,[1]Sheet!B$3:G$2921,2,0)</f>
        <v>Дошки для покриття пiдлог антисептованi,
тип ДП-35, товщина 35 мм, ширина без
гребеня 138 мм</v>
      </c>
      <c r="C940" s="3" t="str">
        <f>VLOOKUP(A940,[1]Sheet!B$3:G$2921,3,0)</f>
        <v>м3</v>
      </c>
      <c r="D940" s="4">
        <v>0</v>
      </c>
      <c r="E940" s="5" t="e">
        <f>VLOOKUP(A940,N$3:S$1271,4,FALSE)</f>
        <v>#N/A</v>
      </c>
      <c r="F940" s="6">
        <f t="shared" si="56"/>
        <v>0</v>
      </c>
      <c r="G940" s="7">
        <f>VLOOKUP(A940,[1]Sheet!B$3:G$2921,5,0)</f>
        <v>18141.75</v>
      </c>
      <c r="H940" s="5" t="e">
        <f>VLOOKUP(A940,N$3:S$1271,5,FALSE)</f>
        <v>#N/A</v>
      </c>
      <c r="I940" s="6">
        <f t="shared" si="57"/>
        <v>18141.75</v>
      </c>
      <c r="J940" s="7">
        <f>VLOOKUP(A940,[1]Sheet!B$3:G$2921,6,0)</f>
        <v>671.98</v>
      </c>
      <c r="K940" s="8" t="e">
        <f t="shared" si="58"/>
        <v>#N/A</v>
      </c>
      <c r="L940" s="6">
        <f t="shared" si="59"/>
        <v>671.98</v>
      </c>
    </row>
    <row r="941" spans="1:12" x14ac:dyDescent="0.25">
      <c r="A941" s="9" t="s">
        <v>940</v>
      </c>
      <c r="B941" s="2" t="str">
        <f>VLOOKUP(A941,[1]Sheet!B$3:G$2921,2,0)</f>
        <v>Наличники</v>
      </c>
      <c r="C941" s="3" t="str">
        <f>VLOOKUP(A941,[1]Sheet!B$3:G$2921,3,0)</f>
        <v>м</v>
      </c>
      <c r="D941" s="4">
        <v>461.21600000000001</v>
      </c>
      <c r="E941" s="5" t="e">
        <f>VLOOKUP(A941,N$3:S$1271,4,FALSE)</f>
        <v>#N/A</v>
      </c>
      <c r="F941" s="6">
        <f t="shared" si="56"/>
        <v>461.21600000000001</v>
      </c>
      <c r="G941" s="7">
        <f>VLOOKUP(A941,[1]Sheet!B$3:G$2921,5,0)</f>
        <v>39.24</v>
      </c>
      <c r="H941" s="5" t="e">
        <f>VLOOKUP(A941,N$3:S$1271,5,FALSE)</f>
        <v>#N/A</v>
      </c>
      <c r="I941" s="6">
        <f t="shared" si="57"/>
        <v>39.24</v>
      </c>
      <c r="J941" s="7">
        <f>VLOOKUP(A941,[1]Sheet!B$3:G$2921,6,0)</f>
        <v>18098.12</v>
      </c>
      <c r="K941" s="8" t="e">
        <f t="shared" si="58"/>
        <v>#N/A</v>
      </c>
      <c r="L941" s="6">
        <f t="shared" si="59"/>
        <v>18098.12</v>
      </c>
    </row>
    <row r="942" spans="1:12" x14ac:dyDescent="0.25">
      <c r="A942" s="9" t="s">
        <v>941</v>
      </c>
      <c r="B942" s="2" t="str">
        <f>VLOOKUP(A942,[1]Sheet!B$3:G$2921,2,0)</f>
        <v>Пiдвiконна дошка 2700х350мм</v>
      </c>
      <c r="C942" s="3" t="str">
        <f>VLOOKUP(A942,[1]Sheet!B$3:G$2921,3,0)</f>
        <v>шт</v>
      </c>
      <c r="D942" s="4">
        <v>4</v>
      </c>
      <c r="E942" s="5" t="e">
        <f>VLOOKUP(A942,N$3:S$1271,4,FALSE)</f>
        <v>#N/A</v>
      </c>
      <c r="F942" s="6">
        <f t="shared" si="56"/>
        <v>4</v>
      </c>
      <c r="G942" s="7">
        <f>VLOOKUP(A942,[1]Sheet!B$3:G$2921,5,0)</f>
        <v>451.06</v>
      </c>
      <c r="H942" s="5" t="e">
        <f>VLOOKUP(A942,N$3:S$1271,5,FALSE)</f>
        <v>#N/A</v>
      </c>
      <c r="I942" s="6">
        <f t="shared" si="57"/>
        <v>451.06</v>
      </c>
      <c r="J942" s="7">
        <f>VLOOKUP(A942,[1]Sheet!B$3:G$2921,6,0)</f>
        <v>1804.24</v>
      </c>
      <c r="K942" s="8" t="e">
        <f t="shared" si="58"/>
        <v>#N/A</v>
      </c>
      <c r="L942" s="6">
        <f t="shared" si="59"/>
        <v>1804.24</v>
      </c>
    </row>
    <row r="943" spans="1:12" x14ac:dyDescent="0.25">
      <c r="A943" s="9" t="s">
        <v>942</v>
      </c>
      <c r="B943" s="2" t="str">
        <f>VLOOKUP(A943,[1]Sheet!B$3:G$2921,2,0)</f>
        <v>Перегородка у душових з матового скла з
алюмінієвим каркасом висотою 2,1 м
(комплектне постачання)</v>
      </c>
      <c r="C943" s="3" t="str">
        <f>VLOOKUP(A943,[1]Sheet!B$3:G$2921,3,0)</f>
        <v>м2</v>
      </c>
      <c r="D943" s="4">
        <v>25.2</v>
      </c>
      <c r="E943" s="5" t="e">
        <f>VLOOKUP(A943,N$3:S$1271,4,FALSE)</f>
        <v>#N/A</v>
      </c>
      <c r="F943" s="6">
        <f t="shared" si="56"/>
        <v>25.2</v>
      </c>
      <c r="G943" s="7">
        <f>VLOOKUP(A943,[1]Sheet!B$3:G$2921,5,0)</f>
        <v>817.58</v>
      </c>
      <c r="H943" s="5" t="e">
        <f>VLOOKUP(A943,N$3:S$1271,5,FALSE)</f>
        <v>#N/A</v>
      </c>
      <c r="I943" s="6">
        <f t="shared" si="57"/>
        <v>817.58</v>
      </c>
      <c r="J943" s="7">
        <f>VLOOKUP(A943,[1]Sheet!B$3:G$2921,6,0)</f>
        <v>20603.02</v>
      </c>
      <c r="K943" s="8" t="e">
        <f t="shared" si="58"/>
        <v>#N/A</v>
      </c>
      <c r="L943" s="6">
        <f t="shared" si="59"/>
        <v>20603.02</v>
      </c>
    </row>
    <row r="944" spans="1:12" x14ac:dyDescent="0.25">
      <c r="A944" s="9" t="s">
        <v>943</v>
      </c>
      <c r="B944" s="2" t="str">
        <f>VLOOKUP(A944,[1]Sheet!B$3:G$2921,2,0)</f>
        <v>Фрамуга ФР-1 ВГрЛ_ О 6-25 3 Г</v>
      </c>
      <c r="C944" s="3" t="str">
        <f>VLOOKUP(A944,[1]Sheet!B$3:G$2921,3,0)</f>
        <v>шт</v>
      </c>
      <c r="D944" s="4">
        <v>9</v>
      </c>
      <c r="E944" s="5" t="e">
        <f>VLOOKUP(A944,N$3:S$1271,4,FALSE)</f>
        <v>#N/A</v>
      </c>
      <c r="F944" s="6">
        <f t="shared" si="56"/>
        <v>9</v>
      </c>
      <c r="G944" s="7">
        <f>VLOOKUP(A944,[1]Sheet!B$3:G$2921,5,0)</f>
        <v>2145.88</v>
      </c>
      <c r="H944" s="5" t="e">
        <f>VLOOKUP(A944,N$3:S$1271,5,FALSE)</f>
        <v>#N/A</v>
      </c>
      <c r="I944" s="6">
        <f t="shared" si="57"/>
        <v>2145.88</v>
      </c>
      <c r="J944" s="7">
        <f>VLOOKUP(A944,[1]Sheet!B$3:G$2921,6,0)</f>
        <v>19312.919999999998</v>
      </c>
      <c r="K944" s="8" t="e">
        <f t="shared" si="58"/>
        <v>#N/A</v>
      </c>
      <c r="L944" s="6">
        <f t="shared" si="59"/>
        <v>19312.919999999998</v>
      </c>
    </row>
    <row r="945" spans="1:12" x14ac:dyDescent="0.25">
      <c r="A945" s="9" t="s">
        <v>944</v>
      </c>
      <c r="B945" s="2" t="str">
        <f>VLOOKUP(A945,[1]Sheet!B$3:G$2921,2,0)</f>
        <v>Фрамуга ФР-2 ВГрЛ_ О 6-20 2 Г</v>
      </c>
      <c r="C945" s="3" t="str">
        <f>VLOOKUP(A945,[1]Sheet!B$3:G$2921,3,0)</f>
        <v>шт</v>
      </c>
      <c r="D945" s="4">
        <v>4</v>
      </c>
      <c r="E945" s="5" t="e">
        <f>VLOOKUP(A945,N$3:S$1271,4,FALSE)</f>
        <v>#N/A</v>
      </c>
      <c r="F945" s="6">
        <f t="shared" si="56"/>
        <v>4</v>
      </c>
      <c r="G945" s="7">
        <f>VLOOKUP(A945,[1]Sheet!B$3:G$2921,5,0)</f>
        <v>1718.65</v>
      </c>
      <c r="H945" s="5" t="e">
        <f>VLOOKUP(A945,N$3:S$1271,5,FALSE)</f>
        <v>#N/A</v>
      </c>
      <c r="I945" s="6">
        <f t="shared" si="57"/>
        <v>1718.65</v>
      </c>
      <c r="J945" s="7">
        <f>VLOOKUP(A945,[1]Sheet!B$3:G$2921,6,0)</f>
        <v>6874.6</v>
      </c>
      <c r="K945" s="8" t="e">
        <f t="shared" si="58"/>
        <v>#N/A</v>
      </c>
      <c r="L945" s="6">
        <f t="shared" si="59"/>
        <v>6874.6</v>
      </c>
    </row>
    <row r="946" spans="1:12" x14ac:dyDescent="0.25">
      <c r="A946" s="9" t="s">
        <v>945</v>
      </c>
      <c r="B946" s="2" t="str">
        <f>VLOOKUP(A946,[1]Sheet!B$3:G$2921,2,0)</f>
        <v>Фрамуга ФР-3 ВГрЛ_ О 6-10 1 Г</v>
      </c>
      <c r="C946" s="3" t="str">
        <f>VLOOKUP(A946,[1]Sheet!B$3:G$2921,3,0)</f>
        <v>шт</v>
      </c>
      <c r="D946" s="4">
        <v>1</v>
      </c>
      <c r="E946" s="5" t="e">
        <f>VLOOKUP(A946,N$3:S$1271,4,FALSE)</f>
        <v>#N/A</v>
      </c>
      <c r="F946" s="6">
        <f t="shared" si="56"/>
        <v>1</v>
      </c>
      <c r="G946" s="7">
        <f>VLOOKUP(A946,[1]Sheet!B$3:G$2921,5,0)</f>
        <v>864.2</v>
      </c>
      <c r="H946" s="5" t="e">
        <f>VLOOKUP(A946,N$3:S$1271,5,FALSE)</f>
        <v>#N/A</v>
      </c>
      <c r="I946" s="6">
        <f t="shared" si="57"/>
        <v>864.2</v>
      </c>
      <c r="J946" s="7">
        <f>VLOOKUP(A946,[1]Sheet!B$3:G$2921,6,0)</f>
        <v>864.2</v>
      </c>
      <c r="K946" s="8" t="e">
        <f t="shared" si="58"/>
        <v>#N/A</v>
      </c>
      <c r="L946" s="6">
        <f t="shared" si="59"/>
        <v>864.2</v>
      </c>
    </row>
    <row r="947" spans="1:12" x14ac:dyDescent="0.25">
      <c r="A947" s="9" t="s">
        <v>946</v>
      </c>
      <c r="B947" s="2" t="str">
        <f>VLOOKUP(A947,[1]Sheet!B$3:G$2921,2,0)</f>
        <v>Фрамуга ФР-4 ВГрЛ_ О 6-9 1 Г</v>
      </c>
      <c r="C947" s="3" t="str">
        <f>VLOOKUP(A947,[1]Sheet!B$3:G$2921,3,0)</f>
        <v>шт</v>
      </c>
      <c r="D947" s="4">
        <v>2</v>
      </c>
      <c r="E947" s="5" t="e">
        <f>VLOOKUP(A947,N$3:S$1271,4,FALSE)</f>
        <v>#N/A</v>
      </c>
      <c r="F947" s="6">
        <f t="shared" si="56"/>
        <v>2</v>
      </c>
      <c r="G947" s="7">
        <f>VLOOKUP(A947,[1]Sheet!B$3:G$2921,5,0)</f>
        <v>778.75</v>
      </c>
      <c r="H947" s="5" t="e">
        <f>VLOOKUP(A947,N$3:S$1271,5,FALSE)</f>
        <v>#N/A</v>
      </c>
      <c r="I947" s="6">
        <f t="shared" si="57"/>
        <v>778.75</v>
      </c>
      <c r="J947" s="7">
        <f>VLOOKUP(A947,[1]Sheet!B$3:G$2921,6,0)</f>
        <v>1557.5</v>
      </c>
      <c r="K947" s="8" t="e">
        <f t="shared" si="58"/>
        <v>#N/A</v>
      </c>
      <c r="L947" s="6">
        <f t="shared" si="59"/>
        <v>1557.5</v>
      </c>
    </row>
    <row r="948" spans="1:12" x14ac:dyDescent="0.25">
      <c r="A948" s="9" t="s">
        <v>947</v>
      </c>
      <c r="B948" s="2" t="str">
        <f>VLOOKUP(A948,[1]Sheet!B$3:G$2921,2,0)</f>
        <v>Фрамуга ФР-5 ВГрЛ_ О 7,5-17 2 Г</v>
      </c>
      <c r="C948" s="3" t="str">
        <f>VLOOKUP(A948,[1]Sheet!B$3:G$2921,3,0)</f>
        <v>шт</v>
      </c>
      <c r="D948" s="4">
        <v>1</v>
      </c>
      <c r="E948" s="5" t="e">
        <f>VLOOKUP(A948,N$3:S$1271,4,FALSE)</f>
        <v>#N/A</v>
      </c>
      <c r="F948" s="6">
        <f t="shared" si="56"/>
        <v>1</v>
      </c>
      <c r="G948" s="7">
        <f>VLOOKUP(A948,[1]Sheet!B$3:G$2921,5,0)</f>
        <v>1825.45</v>
      </c>
      <c r="H948" s="5" t="e">
        <f>VLOOKUP(A948,N$3:S$1271,5,FALSE)</f>
        <v>#N/A</v>
      </c>
      <c r="I948" s="6">
        <f t="shared" si="57"/>
        <v>1825.45</v>
      </c>
      <c r="J948" s="7">
        <f>VLOOKUP(A948,[1]Sheet!B$3:G$2921,6,0)</f>
        <v>1825.45</v>
      </c>
      <c r="K948" s="8" t="e">
        <f t="shared" si="58"/>
        <v>#N/A</v>
      </c>
      <c r="L948" s="6">
        <f t="shared" si="59"/>
        <v>1825.45</v>
      </c>
    </row>
    <row r="949" spans="1:12" x14ac:dyDescent="0.25">
      <c r="A949" s="9" t="s">
        <v>948</v>
      </c>
      <c r="B949" s="2" t="str">
        <f>VLOOKUP(A949,[1]Sheet!B$3:G$2921,2,0)</f>
        <v>Фрамуга ФР-6 ВГрЛ_ О 5,5-13,5 1 Г</v>
      </c>
      <c r="C949" s="3" t="str">
        <f>VLOOKUP(A949,[1]Sheet!B$3:G$2921,3,0)</f>
        <v>шт</v>
      </c>
      <c r="D949" s="4">
        <v>2</v>
      </c>
      <c r="E949" s="5" t="e">
        <f>VLOOKUP(A949,N$3:S$1271,4,FALSE)</f>
        <v>#N/A</v>
      </c>
      <c r="F949" s="6">
        <f t="shared" si="56"/>
        <v>2</v>
      </c>
      <c r="G949" s="7">
        <f>VLOOKUP(A949,[1]Sheet!B$3:G$2921,5,0)</f>
        <v>1067.1199999999999</v>
      </c>
      <c r="H949" s="5" t="e">
        <f>VLOOKUP(A949,N$3:S$1271,5,FALSE)</f>
        <v>#N/A</v>
      </c>
      <c r="I949" s="6">
        <f t="shared" si="57"/>
        <v>1067.1199999999999</v>
      </c>
      <c r="J949" s="7">
        <f>VLOOKUP(A949,[1]Sheet!B$3:G$2921,6,0)</f>
        <v>2134.2399999999998</v>
      </c>
      <c r="K949" s="8" t="e">
        <f t="shared" si="58"/>
        <v>#N/A</v>
      </c>
      <c r="L949" s="6">
        <f t="shared" si="59"/>
        <v>2134.2399999999998</v>
      </c>
    </row>
    <row r="950" spans="1:12" x14ac:dyDescent="0.25">
      <c r="A950" s="9" t="s">
        <v>949</v>
      </c>
      <c r="B950" s="2" t="str">
        <f>VLOOKUP(A950,[1]Sheet!B$3:G$2921,2,0)</f>
        <v>Гарячекатана арматурна сталь гладка, клас
А-1, дiаметр 6 мм</v>
      </c>
      <c r="C950" s="3" t="str">
        <f>VLOOKUP(A950,[1]Sheet!B$3:G$2921,3,0)</f>
        <v>т</v>
      </c>
      <c r="D950" s="4">
        <v>1.5276000000000001E-2</v>
      </c>
      <c r="E950" s="5" t="e">
        <f>VLOOKUP(A950,N$3:S$1271,4,FALSE)</f>
        <v>#N/A</v>
      </c>
      <c r="F950" s="6">
        <f t="shared" si="56"/>
        <v>1.5276000000000001E-2</v>
      </c>
      <c r="G950" s="7">
        <f>VLOOKUP(A950,[1]Sheet!B$3:G$2921,5,0)</f>
        <v>20153.68</v>
      </c>
      <c r="H950" s="5" t="e">
        <f>VLOOKUP(A950,N$3:S$1271,5,FALSE)</f>
        <v>#N/A</v>
      </c>
      <c r="I950" s="6">
        <f t="shared" si="57"/>
        <v>20153.68</v>
      </c>
      <c r="J950" s="7">
        <f>VLOOKUP(A950,[1]Sheet!B$3:G$2921,6,0)</f>
        <v>214.76</v>
      </c>
      <c r="K950" s="8" t="e">
        <f t="shared" si="58"/>
        <v>#N/A</v>
      </c>
      <c r="L950" s="6">
        <f t="shared" si="59"/>
        <v>214.76</v>
      </c>
    </row>
    <row r="951" spans="1:12" x14ac:dyDescent="0.25">
      <c r="A951" s="9" t="s">
        <v>950</v>
      </c>
      <c r="B951" s="2" t="str">
        <f>VLOOKUP(A951,[1]Sheet!B$3:G$2921,2,0)</f>
        <v>Гарячекатана арматурна сталь
перiодичного профiлю, клас А-III, дiаметр 6
мм</v>
      </c>
      <c r="C951" s="3" t="str">
        <f>VLOOKUP(A951,[1]Sheet!B$3:G$2921,3,0)</f>
        <v>т</v>
      </c>
      <c r="D951" s="4">
        <v>2.9780000000000004E-2</v>
      </c>
      <c r="E951" s="5" t="e">
        <f>VLOOKUP(A951,N$3:S$1271,4,FALSE)</f>
        <v>#N/A</v>
      </c>
      <c r="F951" s="6">
        <f t="shared" si="56"/>
        <v>2.9780000000000004E-2</v>
      </c>
      <c r="G951" s="7">
        <f>VLOOKUP(A951,[1]Sheet!B$3:G$2921,5,0)</f>
        <v>42989.09</v>
      </c>
      <c r="H951" s="5" t="e">
        <f>VLOOKUP(A951,N$3:S$1271,5,FALSE)</f>
        <v>#N/A</v>
      </c>
      <c r="I951" s="6">
        <f t="shared" si="57"/>
        <v>42989.09</v>
      </c>
      <c r="J951" s="7">
        <f>VLOOKUP(A951,[1]Sheet!B$3:G$2921,6,0)</f>
        <v>831.41</v>
      </c>
      <c r="K951" s="8" t="e">
        <f t="shared" si="58"/>
        <v>#N/A</v>
      </c>
      <c r="L951" s="6">
        <f t="shared" si="59"/>
        <v>831.41</v>
      </c>
    </row>
    <row r="952" spans="1:12" x14ac:dyDescent="0.25">
      <c r="A952" s="9" t="s">
        <v>951</v>
      </c>
      <c r="B952" s="2" t="str">
        <f>VLOOKUP(A952,[1]Sheet!B$3:G$2921,2,0)</f>
        <v>Гарячекатана арматурна сталь гладка, клас
А-1, дiаметр 8 мм</v>
      </c>
      <c r="C952" s="3" t="str">
        <f>VLOOKUP(A952,[1]Sheet!B$3:G$2921,3,0)</f>
        <v>т</v>
      </c>
      <c r="D952" s="4">
        <v>9.9599999999999994E-2</v>
      </c>
      <c r="E952" s="5" t="e">
        <f>VLOOKUP(A952,N$3:S$1271,4,FALSE)</f>
        <v>#N/A</v>
      </c>
      <c r="F952" s="6">
        <f t="shared" si="56"/>
        <v>9.9599999999999994E-2</v>
      </c>
      <c r="G952" s="7">
        <f>VLOOKUP(A952,[1]Sheet!B$3:G$2921,5,0)</f>
        <v>20153.68</v>
      </c>
      <c r="H952" s="5" t="e">
        <f>VLOOKUP(A952,N$3:S$1271,5,FALSE)</f>
        <v>#N/A</v>
      </c>
      <c r="I952" s="6">
        <f t="shared" si="57"/>
        <v>20153.68</v>
      </c>
      <c r="J952" s="7">
        <f>VLOOKUP(A952,[1]Sheet!B$3:G$2921,6,0)</f>
        <v>564.29999999999995</v>
      </c>
      <c r="K952" s="8" t="e">
        <f t="shared" si="58"/>
        <v>#N/A</v>
      </c>
      <c r="L952" s="6">
        <f t="shared" si="59"/>
        <v>564.29999999999995</v>
      </c>
    </row>
    <row r="953" spans="1:12" x14ac:dyDescent="0.25">
      <c r="A953" s="9" t="s">
        <v>952</v>
      </c>
      <c r="B953" s="2" t="str">
        <f>VLOOKUP(A953,[1]Sheet!B$3:G$2921,2,0)</f>
        <v>Гарячекатана арматурна сталь
перiодичного профiлю, клас А-III, дiаметр 8
мм</v>
      </c>
      <c r="C953" s="3" t="str">
        <f>VLOOKUP(A953,[1]Sheet!B$3:G$2921,3,0)</f>
        <v>т</v>
      </c>
      <c r="D953" s="4">
        <v>1.3539999999999999</v>
      </c>
      <c r="E953" s="5" t="e">
        <f>VLOOKUP(A953,N$3:S$1271,4,FALSE)</f>
        <v>#N/A</v>
      </c>
      <c r="F953" s="6">
        <f t="shared" si="56"/>
        <v>1.3539999999999999</v>
      </c>
      <c r="G953" s="7">
        <f>VLOOKUP(A953,[1]Sheet!B$3:G$2921,5,0)</f>
        <v>20153.68</v>
      </c>
      <c r="H953" s="5" t="e">
        <f>VLOOKUP(A953,N$3:S$1271,5,FALSE)</f>
        <v>#N/A</v>
      </c>
      <c r="I953" s="6">
        <f t="shared" si="57"/>
        <v>20153.68</v>
      </c>
      <c r="J953" s="7">
        <f>VLOOKUP(A953,[1]Sheet!B$3:G$2921,6,0)</f>
        <v>348.66</v>
      </c>
      <c r="K953" s="8" t="e">
        <f t="shared" si="58"/>
        <v>#N/A</v>
      </c>
      <c r="L953" s="6">
        <f t="shared" si="59"/>
        <v>348.66</v>
      </c>
    </row>
    <row r="954" spans="1:12" x14ac:dyDescent="0.25">
      <c r="A954" s="9" t="s">
        <v>953</v>
      </c>
      <c r="B954" s="2" t="str">
        <f>VLOOKUP(A954,[1]Sheet!B$3:G$2921,2,0)</f>
        <v>Гарячекатана арматурна сталь
перiодичного профiлю, клас А-III, дiаметр 10
мм</v>
      </c>
      <c r="C954" s="3" t="str">
        <f>VLOOKUP(A954,[1]Sheet!B$3:G$2921,3,0)</f>
        <v>т</v>
      </c>
      <c r="D954" s="4">
        <v>0.28000000000000003</v>
      </c>
      <c r="E954" s="5" t="e">
        <f>VLOOKUP(A954,N$3:S$1271,4,FALSE)</f>
        <v>#N/A</v>
      </c>
      <c r="F954" s="6">
        <f t="shared" si="56"/>
        <v>0.28000000000000003</v>
      </c>
      <c r="G954" s="7">
        <f>VLOOKUP(A954,[1]Sheet!B$3:G$2921,5,0)</f>
        <v>20153.68</v>
      </c>
      <c r="H954" s="5" t="e">
        <f>VLOOKUP(A954,N$3:S$1271,5,FALSE)</f>
        <v>#N/A</v>
      </c>
      <c r="I954" s="6">
        <f t="shared" si="57"/>
        <v>20153.68</v>
      </c>
      <c r="J954" s="7">
        <f>VLOOKUP(A954,[1]Sheet!B$3:G$2921,6,0)</f>
        <v>919.29</v>
      </c>
      <c r="K954" s="8" t="e">
        <f t="shared" si="58"/>
        <v>#N/A</v>
      </c>
      <c r="L954" s="6">
        <f t="shared" si="59"/>
        <v>919.29</v>
      </c>
    </row>
    <row r="955" spans="1:12" x14ac:dyDescent="0.25">
      <c r="A955" s="9" t="s">
        <v>954</v>
      </c>
      <c r="B955" s="2" t="str">
        <f>VLOOKUP(A955,[1]Sheet!B$3:G$2921,2,0)</f>
        <v>Гарячекатана арматурна сталь
перiодичного профiлю, клас А-III, дiаметр 12
мм</v>
      </c>
      <c r="C955" s="3" t="str">
        <f>VLOOKUP(A955,[1]Sheet!B$3:G$2921,3,0)</f>
        <v>т</v>
      </c>
      <c r="D955" s="4">
        <v>3.2162980000000005</v>
      </c>
      <c r="E955" s="5" t="e">
        <f>VLOOKUP(A955,N$3:S$1271,4,FALSE)</f>
        <v>#N/A</v>
      </c>
      <c r="F955" s="6">
        <f t="shared" si="56"/>
        <v>3.2162980000000005</v>
      </c>
      <c r="G955" s="7">
        <f>VLOOKUP(A955,[1]Sheet!B$3:G$2921,5,0)</f>
        <v>21525.03</v>
      </c>
      <c r="H955" s="5" t="e">
        <f>VLOOKUP(A955,N$3:S$1271,5,FALSE)</f>
        <v>#N/A</v>
      </c>
      <c r="I955" s="6">
        <f t="shared" si="57"/>
        <v>21525.03</v>
      </c>
      <c r="J955" s="7">
        <f>VLOOKUP(A955,[1]Sheet!B$3:G$2921,6,0)</f>
        <v>596.46</v>
      </c>
      <c r="K955" s="8" t="e">
        <f t="shared" si="58"/>
        <v>#N/A</v>
      </c>
      <c r="L955" s="6">
        <f t="shared" si="59"/>
        <v>596.46</v>
      </c>
    </row>
    <row r="956" spans="1:12" x14ac:dyDescent="0.25">
      <c r="A956" s="9" t="s">
        <v>955</v>
      </c>
      <c r="B956" s="2" t="str">
        <f>VLOOKUP(A956,[1]Sheet!B$3:G$2921,2,0)</f>
        <v>Гарячекатана арматурна сталь
перiодичного профiлю, клас А-III, дiаметр 14
мм</v>
      </c>
      <c r="C956" s="3" t="str">
        <f>VLOOKUP(A956,[1]Sheet!B$3:G$2921,3,0)</f>
        <v>т</v>
      </c>
      <c r="D956" s="4">
        <v>0.16</v>
      </c>
      <c r="E956" s="5" t="e">
        <f>VLOOKUP(A956,N$3:S$1271,4,FALSE)</f>
        <v>#N/A</v>
      </c>
      <c r="F956" s="6">
        <f t="shared" si="56"/>
        <v>0.16</v>
      </c>
      <c r="G956" s="7">
        <f>VLOOKUP(A956,[1]Sheet!B$3:G$2921,5,0)</f>
        <v>19626.25</v>
      </c>
      <c r="H956" s="5" t="e">
        <f>VLOOKUP(A956,N$3:S$1271,5,FALSE)</f>
        <v>#N/A</v>
      </c>
      <c r="I956" s="6">
        <f t="shared" si="57"/>
        <v>19626.25</v>
      </c>
      <c r="J956" s="7">
        <f>VLOOKUP(A956,[1]Sheet!B$3:G$2921,6,0)</f>
        <v>3140.2</v>
      </c>
      <c r="K956" s="8" t="e">
        <f t="shared" si="58"/>
        <v>#N/A</v>
      </c>
      <c r="L956" s="6">
        <f t="shared" si="59"/>
        <v>3140.2</v>
      </c>
    </row>
    <row r="957" spans="1:12" x14ac:dyDescent="0.25">
      <c r="A957" s="9" t="s">
        <v>956</v>
      </c>
      <c r="B957" s="2" t="str">
        <f>VLOOKUP(A957,[1]Sheet!B$3:G$2921,2,0)</f>
        <v>Надбавки до цiн заготовок за складання та
зварювання каркасiв та сiток плоских
дiаметром 14 мм</v>
      </c>
      <c r="C957" s="3" t="str">
        <f>VLOOKUP(A957,[1]Sheet!B$3:G$2921,3,0)</f>
        <v>т</v>
      </c>
      <c r="D957" s="4">
        <v>0.16</v>
      </c>
      <c r="E957" s="5" t="e">
        <f>VLOOKUP(A957,N$3:S$1271,4,FALSE)</f>
        <v>#N/A</v>
      </c>
      <c r="F957" s="6">
        <f t="shared" si="56"/>
        <v>0.16</v>
      </c>
      <c r="G957" s="7">
        <f>VLOOKUP(A957,[1]Sheet!B$3:G$2921,5,0)</f>
        <v>9553.98</v>
      </c>
      <c r="H957" s="5" t="e">
        <f>VLOOKUP(A957,N$3:S$1271,5,FALSE)</f>
        <v>#N/A</v>
      </c>
      <c r="I957" s="6">
        <f t="shared" si="57"/>
        <v>9553.98</v>
      </c>
      <c r="J957" s="7">
        <f>VLOOKUP(A957,[1]Sheet!B$3:G$2921,6,0)</f>
        <v>1528.64</v>
      </c>
      <c r="K957" s="8" t="e">
        <f t="shared" si="58"/>
        <v>#N/A</v>
      </c>
      <c r="L957" s="6">
        <f t="shared" si="59"/>
        <v>1528.64</v>
      </c>
    </row>
    <row r="958" spans="1:12" x14ac:dyDescent="0.25">
      <c r="A958" s="9" t="s">
        <v>957</v>
      </c>
      <c r="B958" s="2" t="str">
        <f>VLOOKUP(A958,[1]Sheet!B$3:G$2921,2,0)</f>
        <v>Деталi закладнi МН-1</v>
      </c>
      <c r="C958" s="3" t="str">
        <f>VLOOKUP(A958,[1]Sheet!B$3:G$2921,3,0)</f>
        <v>т</v>
      </c>
      <c r="D958" s="4">
        <v>0.13438</v>
      </c>
      <c r="E958" s="5" t="e">
        <f>VLOOKUP(A958,N$3:S$1271,4,FALSE)</f>
        <v>#N/A</v>
      </c>
      <c r="F958" s="6">
        <f t="shared" si="56"/>
        <v>0.13438</v>
      </c>
      <c r="G958" s="7">
        <f>VLOOKUP(A958,[1]Sheet!B$3:G$2921,5,0)</f>
        <v>57862.53</v>
      </c>
      <c r="H958" s="5" t="e">
        <f>VLOOKUP(A958,N$3:S$1271,5,FALSE)</f>
        <v>#N/A</v>
      </c>
      <c r="I958" s="6">
        <f t="shared" si="57"/>
        <v>57862.53</v>
      </c>
      <c r="J958" s="7">
        <f>VLOOKUP(A958,[1]Sheet!B$3:G$2921,6,0)</f>
        <v>202.52</v>
      </c>
      <c r="K958" s="8" t="e">
        <f t="shared" si="58"/>
        <v>#N/A</v>
      </c>
      <c r="L958" s="6">
        <f t="shared" si="59"/>
        <v>202.52</v>
      </c>
    </row>
    <row r="959" spans="1:12" x14ac:dyDescent="0.25">
      <c r="A959" s="9" t="s">
        <v>958</v>
      </c>
      <c r="B959" s="2" t="str">
        <f>VLOOKUP(A959,[1]Sheet!B$3:G$2921,2,0)</f>
        <v>Перегородка з металопластику з матовим
склінням (комплектне постачання)</v>
      </c>
      <c r="C959" s="3" t="str">
        <f>VLOOKUP(A959,[1]Sheet!B$3:G$2921,3,0)</f>
        <v>м2</v>
      </c>
      <c r="D959" s="4">
        <v>10.7</v>
      </c>
      <c r="E959" s="5" t="e">
        <f>VLOOKUP(A959,N$3:S$1271,4,FALSE)</f>
        <v>#N/A</v>
      </c>
      <c r="F959" s="6">
        <f t="shared" si="56"/>
        <v>10.7</v>
      </c>
      <c r="G959" s="7">
        <f>VLOOKUP(A959,[1]Sheet!B$3:G$2921,5,0)</f>
        <v>2264.25</v>
      </c>
      <c r="H959" s="5" t="e">
        <f>VLOOKUP(A959,N$3:S$1271,5,FALSE)</f>
        <v>#N/A</v>
      </c>
      <c r="I959" s="6">
        <f t="shared" si="57"/>
        <v>2264.25</v>
      </c>
      <c r="J959" s="7">
        <f>VLOOKUP(A959,[1]Sheet!B$3:G$2921,6,0)</f>
        <v>24227.48</v>
      </c>
      <c r="K959" s="8" t="e">
        <f t="shared" si="58"/>
        <v>#N/A</v>
      </c>
      <c r="L959" s="6">
        <f t="shared" si="59"/>
        <v>24227.48</v>
      </c>
    </row>
    <row r="960" spans="1:12" x14ac:dyDescent="0.25">
      <c r="A960" s="9" t="s">
        <v>959</v>
      </c>
      <c r="B960" s="2" t="str">
        <f>VLOOKUP(A960,[1]Sheet!B$3:G$2921,2,0)</f>
        <v>Плита "Оазис" 600х600х12мм</v>
      </c>
      <c r="C960" s="3" t="str">
        <f>VLOOKUP(A960,[1]Sheet!B$3:G$2921,3,0)</f>
        <v>м2</v>
      </c>
      <c r="D960" s="4">
        <v>549.46500000000003</v>
      </c>
      <c r="E960" s="5" t="e">
        <f>VLOOKUP(A960,N$3:S$1271,4,FALSE)</f>
        <v>#N/A</v>
      </c>
      <c r="F960" s="6">
        <f t="shared" si="56"/>
        <v>549.46500000000003</v>
      </c>
      <c r="G960" s="7">
        <f>VLOOKUP(A960,[1]Sheet!B$3:G$2921,5,0)</f>
        <v>164.53</v>
      </c>
      <c r="H960" s="5" t="e">
        <f>VLOOKUP(A960,N$3:S$1271,5,FALSE)</f>
        <v>#N/A</v>
      </c>
      <c r="I960" s="6">
        <f t="shared" si="57"/>
        <v>164.53</v>
      </c>
      <c r="J960" s="7">
        <f>VLOOKUP(A960,[1]Sheet!B$3:G$2921,6,0)</f>
        <v>25158.53</v>
      </c>
      <c r="K960" s="8" t="e">
        <f t="shared" si="58"/>
        <v>#N/A</v>
      </c>
      <c r="L960" s="6">
        <f t="shared" si="59"/>
        <v>25158.53</v>
      </c>
    </row>
    <row r="961" spans="1:12" x14ac:dyDescent="0.25">
      <c r="A961" s="9" t="s">
        <v>960</v>
      </c>
      <c r="B961" s="2" t="str">
        <f>VLOOKUP(A961,[1]Sheet!B$3:G$2921,2,0)</f>
        <v>Профиль пристенный 28/27</v>
      </c>
      <c r="C961" s="3" t="str">
        <f>VLOOKUP(A961,[1]Sheet!B$3:G$2921,3,0)</f>
        <v>м</v>
      </c>
      <c r="D961" s="4">
        <v>2.75</v>
      </c>
      <c r="E961" s="5" t="e">
        <f>VLOOKUP(A961,N$3:S$1271,4,FALSE)</f>
        <v>#N/A</v>
      </c>
      <c r="F961" s="6">
        <f t="shared" si="56"/>
        <v>2.75</v>
      </c>
      <c r="G961" s="7">
        <f>VLOOKUP(A961,[1]Sheet!B$3:G$2921,5,0)</f>
        <v>11.51</v>
      </c>
      <c r="H961" s="5" t="e">
        <f>VLOOKUP(A961,N$3:S$1271,5,FALSE)</f>
        <v>#N/A</v>
      </c>
      <c r="I961" s="6">
        <f t="shared" si="57"/>
        <v>11.51</v>
      </c>
      <c r="J961" s="7">
        <f>VLOOKUP(A961,[1]Sheet!B$3:G$2921,6,0)</f>
        <v>31.65</v>
      </c>
      <c r="K961" s="8" t="e">
        <f t="shared" si="58"/>
        <v>#N/A</v>
      </c>
      <c r="L961" s="6">
        <f t="shared" si="59"/>
        <v>31.65</v>
      </c>
    </row>
    <row r="962" spans="1:12" x14ac:dyDescent="0.25">
      <c r="A962" s="9" t="s">
        <v>961</v>
      </c>
      <c r="B962" s="2" t="str">
        <f>VLOOKUP(A962,[1]Sheet!B$3:G$2921,2,0)</f>
        <v>Гратка алюмiнiєва регульована,
горизонтальні пластини з прихованим
гвинтовим кріпленням, регулятор F розм.
825х325 AR-13/2 - F  825х325</v>
      </c>
      <c r="C962" s="3" t="str">
        <f>VLOOKUP(A962,[1]Sheet!B$3:G$2921,3,0)</f>
        <v>шт</v>
      </c>
      <c r="D962" s="4">
        <v>15</v>
      </c>
      <c r="E962" s="5" t="e">
        <f>VLOOKUP(A962,N$3:S$1271,4,FALSE)</f>
        <v>#N/A</v>
      </c>
      <c r="F962" s="6">
        <f t="shared" ref="F962:F1025" si="60">IFERROR(D962-E962,D962)</f>
        <v>15</v>
      </c>
      <c r="G962" s="7">
        <f>VLOOKUP(A962,[1]Sheet!B$3:G$2921,5,0)</f>
        <v>1510.49</v>
      </c>
      <c r="H962" s="5" t="e">
        <f>VLOOKUP(A962,N$3:S$1271,5,FALSE)</f>
        <v>#N/A</v>
      </c>
      <c r="I962" s="6">
        <f t="shared" ref="I962:I1025" si="61">IFERROR(G962-H962,G962)</f>
        <v>1510.49</v>
      </c>
      <c r="J962" s="7">
        <f>VLOOKUP(A962,[1]Sheet!B$3:G$2921,6,0)</f>
        <v>9062.94</v>
      </c>
      <c r="K962" s="8" t="e">
        <f t="shared" ref="K962:K1025" si="62">VLOOKUP(A962,N$3:S$1271,6,FALSE)</f>
        <v>#N/A</v>
      </c>
      <c r="L962" s="6">
        <f t="shared" ref="L962:L1025" si="63">IFERROR(J962-K962,J962)</f>
        <v>9062.94</v>
      </c>
    </row>
    <row r="963" spans="1:12" x14ac:dyDescent="0.25">
      <c r="A963" s="9" t="s">
        <v>962</v>
      </c>
      <c r="B963" s="2" t="str">
        <f>VLOOKUP(A963,[1]Sheet!B$3:G$2921,2,0)</f>
        <v>Профілі для гіпсокартону стійкові CW75</v>
      </c>
      <c r="C963" s="3" t="str">
        <f>VLOOKUP(A963,[1]Sheet!B$3:G$2921,3,0)</f>
        <v>м</v>
      </c>
      <c r="D963" s="4">
        <v>3815.0566000000008</v>
      </c>
      <c r="E963" s="5" t="e">
        <f>VLOOKUP(A963,N$3:S$1271,4,FALSE)</f>
        <v>#N/A</v>
      </c>
      <c r="F963" s="6">
        <f t="shared" si="60"/>
        <v>3815.0566000000008</v>
      </c>
      <c r="G963" s="7">
        <f>VLOOKUP(A963,[1]Sheet!B$3:G$2921,5,0)</f>
        <v>35.799999999999997</v>
      </c>
      <c r="H963" s="5" t="e">
        <f>VLOOKUP(A963,N$3:S$1271,5,FALSE)</f>
        <v>#N/A</v>
      </c>
      <c r="I963" s="6">
        <f t="shared" si="61"/>
        <v>35.799999999999997</v>
      </c>
      <c r="J963" s="7">
        <f>VLOOKUP(A963,[1]Sheet!B$3:G$2921,6,0)</f>
        <v>46682.02</v>
      </c>
      <c r="K963" s="8" t="e">
        <f t="shared" si="62"/>
        <v>#N/A</v>
      </c>
      <c r="L963" s="6">
        <f t="shared" si="63"/>
        <v>46682.02</v>
      </c>
    </row>
    <row r="964" spans="1:12" x14ac:dyDescent="0.25">
      <c r="A964" s="9" t="s">
        <v>963</v>
      </c>
      <c r="B964" s="2" t="str">
        <f>VLOOKUP(A964,[1]Sheet!B$3:G$2921,2,0)</f>
        <v>Профілі UD28/27</v>
      </c>
      <c r="C964" s="3" t="str">
        <f>VLOOKUP(A964,[1]Sheet!B$3:G$2921,3,0)</f>
        <v>м</v>
      </c>
      <c r="D964" s="4">
        <v>47</v>
      </c>
      <c r="E964" s="5" t="e">
        <f>VLOOKUP(A964,N$3:S$1271,4,FALSE)</f>
        <v>#N/A</v>
      </c>
      <c r="F964" s="6">
        <f t="shared" si="60"/>
        <v>47</v>
      </c>
      <c r="G964" s="7">
        <f>VLOOKUP(A964,[1]Sheet!B$3:G$2921,5,0)</f>
        <v>11.71</v>
      </c>
      <c r="H964" s="5" t="e">
        <f>VLOOKUP(A964,N$3:S$1271,5,FALSE)</f>
        <v>#N/A</v>
      </c>
      <c r="I964" s="6">
        <f t="shared" si="61"/>
        <v>11.71</v>
      </c>
      <c r="J964" s="7">
        <f>VLOOKUP(A964,[1]Sheet!B$3:G$2921,6,0)</f>
        <v>550.37</v>
      </c>
      <c r="K964" s="8" t="e">
        <f t="shared" si="62"/>
        <v>#N/A</v>
      </c>
      <c r="L964" s="6">
        <f t="shared" si="63"/>
        <v>550.37</v>
      </c>
    </row>
    <row r="965" spans="1:12" x14ac:dyDescent="0.25">
      <c r="A965" s="9" t="s">
        <v>964</v>
      </c>
      <c r="B965" s="2" t="str">
        <f>VLOOKUP(A965,[1]Sheet!B$3:G$2921,2,0)</f>
        <v>Профілі для гіпсокартону направляючі UW75</v>
      </c>
      <c r="C965" s="3" t="str">
        <f>VLOOKUP(A965,[1]Sheet!B$3:G$2921,3,0)</f>
        <v>м</v>
      </c>
      <c r="D965" s="4">
        <v>889.51099999999997</v>
      </c>
      <c r="E965" s="5" t="e">
        <f>VLOOKUP(A965,N$3:S$1271,4,FALSE)</f>
        <v>#N/A</v>
      </c>
      <c r="F965" s="6">
        <f t="shared" si="60"/>
        <v>889.51099999999997</v>
      </c>
      <c r="G965" s="7">
        <f>VLOOKUP(A965,[1]Sheet!B$3:G$2921,5,0)</f>
        <v>31.04</v>
      </c>
      <c r="H965" s="5" t="e">
        <f>VLOOKUP(A965,N$3:S$1271,5,FALSE)</f>
        <v>#N/A</v>
      </c>
      <c r="I965" s="6">
        <f t="shared" si="61"/>
        <v>31.04</v>
      </c>
      <c r="J965" s="7">
        <f>VLOOKUP(A965,[1]Sheet!B$3:G$2921,6,0)</f>
        <v>14651.53</v>
      </c>
      <c r="K965" s="8" t="e">
        <f t="shared" si="62"/>
        <v>#N/A</v>
      </c>
      <c r="L965" s="6">
        <f t="shared" si="63"/>
        <v>14651.53</v>
      </c>
    </row>
    <row r="966" spans="1:12" x14ac:dyDescent="0.25">
      <c r="A966" s="9" t="s">
        <v>965</v>
      </c>
      <c r="B966" s="2" t="str">
        <f>VLOOKUP(A966,[1]Sheet!B$3:G$2921,2,0)</f>
        <v>Профили для гипсокартона стоечные CW
100</v>
      </c>
      <c r="C966" s="3" t="str">
        <f>VLOOKUP(A966,[1]Sheet!B$3:G$2921,3,0)</f>
        <v>м</v>
      </c>
      <c r="D966" s="4">
        <v>9.8810000000000002</v>
      </c>
      <c r="E966" s="5" t="e">
        <f>VLOOKUP(A966,N$3:S$1271,4,FALSE)</f>
        <v>#N/A</v>
      </c>
      <c r="F966" s="6">
        <f t="shared" si="60"/>
        <v>9.8810000000000002</v>
      </c>
      <c r="G966" s="7">
        <f>VLOOKUP(A966,[1]Sheet!B$3:G$2921,5,0)</f>
        <v>41.02</v>
      </c>
      <c r="H966" s="5" t="e">
        <f>VLOOKUP(A966,N$3:S$1271,5,FALSE)</f>
        <v>#N/A</v>
      </c>
      <c r="I966" s="6">
        <f t="shared" si="61"/>
        <v>41.02</v>
      </c>
      <c r="J966" s="7">
        <f>VLOOKUP(A966,[1]Sheet!B$3:G$2921,6,0)</f>
        <v>405.32</v>
      </c>
      <c r="K966" s="8" t="e">
        <f t="shared" si="62"/>
        <v>#N/A</v>
      </c>
      <c r="L966" s="6">
        <f t="shared" si="63"/>
        <v>405.32</v>
      </c>
    </row>
    <row r="967" spans="1:12" x14ac:dyDescent="0.25">
      <c r="A967" s="9" t="s">
        <v>966</v>
      </c>
      <c r="B967" s="2" t="str">
        <f>VLOOKUP(A967,[1]Sheet!B$3:G$2921,2,0)</f>
        <v>Профілі для гіпсокартону направляючі UW
100</v>
      </c>
      <c r="C967" s="3" t="str">
        <f>VLOOKUP(A967,[1]Sheet!B$3:G$2921,3,0)</f>
        <v>м</v>
      </c>
      <c r="D967" s="4">
        <v>3.403</v>
      </c>
      <c r="E967" s="5" t="e">
        <f>VLOOKUP(A967,N$3:S$1271,4,FALSE)</f>
        <v>#N/A</v>
      </c>
      <c r="F967" s="6">
        <f t="shared" si="60"/>
        <v>3.403</v>
      </c>
      <c r="G967" s="7">
        <f>VLOOKUP(A967,[1]Sheet!B$3:G$2921,5,0)</f>
        <v>38.15</v>
      </c>
      <c r="H967" s="5" t="e">
        <f>VLOOKUP(A967,N$3:S$1271,5,FALSE)</f>
        <v>#N/A</v>
      </c>
      <c r="I967" s="6">
        <f t="shared" si="61"/>
        <v>38.15</v>
      </c>
      <c r="J967" s="7">
        <f>VLOOKUP(A967,[1]Sheet!B$3:G$2921,6,0)</f>
        <v>129.82</v>
      </c>
      <c r="K967" s="8" t="e">
        <f t="shared" si="62"/>
        <v>#N/A</v>
      </c>
      <c r="L967" s="6">
        <f t="shared" si="63"/>
        <v>129.82</v>
      </c>
    </row>
    <row r="968" spans="1:12" x14ac:dyDescent="0.25">
      <c r="A968" s="9" t="s">
        <v>967</v>
      </c>
      <c r="B968" s="2" t="str">
        <f>VLOOKUP(A968,[1]Sheet!B$3:G$2921,2,0)</f>
        <v>Вiтражi алюмiнiєві з термопрокладками із
заповненням двокамернім склопакетом з
фрамугами та пристроями для
провітрювання</v>
      </c>
      <c r="C968" s="3" t="str">
        <f>VLOOKUP(A968,[1]Sheet!B$3:G$2921,3,0)</f>
        <v>м2</v>
      </c>
      <c r="D968" s="4">
        <v>480.78729999999996</v>
      </c>
      <c r="E968" s="5" t="e">
        <f>VLOOKUP(A968,N$3:S$1271,4,FALSE)</f>
        <v>#N/A</v>
      </c>
      <c r="F968" s="6">
        <f t="shared" si="60"/>
        <v>480.78729999999996</v>
      </c>
      <c r="G968" s="7">
        <f>VLOOKUP(A968,[1]Sheet!B$3:G$2921,5,0)</f>
        <v>2610.64</v>
      </c>
      <c r="H968" s="5" t="e">
        <f>VLOOKUP(A968,N$3:S$1271,5,FALSE)</f>
        <v>#N/A</v>
      </c>
      <c r="I968" s="6">
        <f t="shared" si="61"/>
        <v>2610.64</v>
      </c>
      <c r="J968" s="7">
        <f>VLOOKUP(A968,[1]Sheet!B$3:G$2921,6,0)</f>
        <v>860284.2</v>
      </c>
      <c r="K968" s="8" t="e">
        <f t="shared" si="62"/>
        <v>#N/A</v>
      </c>
      <c r="L968" s="6">
        <f t="shared" si="63"/>
        <v>860284.2</v>
      </c>
    </row>
    <row r="969" spans="1:12" x14ac:dyDescent="0.25">
      <c r="A969" s="9" t="s">
        <v>968</v>
      </c>
      <c r="B969" s="2" t="str">
        <f>VLOOKUP(A969,[1]Sheet!B$3:G$2921,2,0)</f>
        <v>Дверний кутик Кнауф 75</v>
      </c>
      <c r="C969" s="3" t="str">
        <f>VLOOKUP(A969,[1]Sheet!B$3:G$2921,3,0)</f>
        <v>шт</v>
      </c>
      <c r="D969" s="4">
        <v>304</v>
      </c>
      <c r="E969" s="5" t="e">
        <f>VLOOKUP(A969,N$3:S$1271,4,FALSE)</f>
        <v>#N/A</v>
      </c>
      <c r="F969" s="6">
        <f t="shared" si="60"/>
        <v>304</v>
      </c>
      <c r="G969" s="7">
        <f>VLOOKUP(A969,[1]Sheet!B$3:G$2921,5,0)</f>
        <v>99.41</v>
      </c>
      <c r="H969" s="5" t="e">
        <f>VLOOKUP(A969,N$3:S$1271,5,FALSE)</f>
        <v>#N/A</v>
      </c>
      <c r="I969" s="6">
        <f t="shared" si="61"/>
        <v>99.41</v>
      </c>
      <c r="J969" s="7">
        <f>VLOOKUP(A969,[1]Sheet!B$3:G$2921,6,0)</f>
        <v>6362.24</v>
      </c>
      <c r="K969" s="8" t="e">
        <f t="shared" si="62"/>
        <v>#N/A</v>
      </c>
      <c r="L969" s="6">
        <f t="shared" si="63"/>
        <v>6362.24</v>
      </c>
    </row>
    <row r="970" spans="1:12" x14ac:dyDescent="0.25">
      <c r="A970" s="9" t="s">
        <v>969</v>
      </c>
      <c r="B970" s="2" t="str">
        <f>VLOOKUP(A970,[1]Sheet!B$3:G$2921,2,0)</f>
        <v>Протиковзкі накладки гумово-алюмінієві
1330х53 ООО "Евротрейдінг Україна"</v>
      </c>
      <c r="C970" s="3" t="str">
        <f>VLOOKUP(A970,[1]Sheet!B$3:G$2921,3,0)</f>
        <v>шт</v>
      </c>
      <c r="D970" s="4">
        <v>15</v>
      </c>
      <c r="E970" s="5" t="e">
        <f>VLOOKUP(A970,N$3:S$1271,4,FALSE)</f>
        <v>#N/A</v>
      </c>
      <c r="F970" s="6">
        <f t="shared" si="60"/>
        <v>15</v>
      </c>
      <c r="G970" s="7">
        <f>VLOOKUP(A970,[1]Sheet!B$3:G$2921,5,0)</f>
        <v>100.57</v>
      </c>
      <c r="H970" s="5" t="e">
        <f>VLOOKUP(A970,N$3:S$1271,5,FALSE)</f>
        <v>#N/A</v>
      </c>
      <c r="I970" s="6">
        <f t="shared" si="61"/>
        <v>100.57</v>
      </c>
      <c r="J970" s="7">
        <f>VLOOKUP(A970,[1]Sheet!B$3:G$2921,6,0)</f>
        <v>1508.55</v>
      </c>
      <c r="K970" s="8" t="e">
        <f t="shared" si="62"/>
        <v>#N/A</v>
      </c>
      <c r="L970" s="6">
        <f t="shared" si="63"/>
        <v>1508.55</v>
      </c>
    </row>
    <row r="971" spans="1:12" x14ac:dyDescent="0.25">
      <c r="A971" s="9" t="s">
        <v>970</v>
      </c>
      <c r="B971" s="2" t="str">
        <f>VLOOKUP(A971,[1]Sheet!B$3:G$2921,2,0)</f>
        <v>Мембранний розширювальний бак V=80л 
Reflex N80/6</v>
      </c>
      <c r="C971" s="3" t="str">
        <f>VLOOKUP(A971,[1]Sheet!B$3:G$2921,3,0)</f>
        <v>шт</v>
      </c>
      <c r="D971" s="4">
        <v>1</v>
      </c>
      <c r="E971" s="5" t="e">
        <f>VLOOKUP(A971,N$3:S$1271,4,FALSE)</f>
        <v>#N/A</v>
      </c>
      <c r="F971" s="6">
        <f t="shared" si="60"/>
        <v>1</v>
      </c>
      <c r="G971" s="7">
        <f>VLOOKUP(A971,[1]Sheet!B$3:G$2921,5,0)</f>
        <v>2908.28</v>
      </c>
      <c r="H971" s="5" t="e">
        <f>VLOOKUP(A971,N$3:S$1271,5,FALSE)</f>
        <v>#N/A</v>
      </c>
      <c r="I971" s="6">
        <f t="shared" si="61"/>
        <v>2908.28</v>
      </c>
      <c r="J971" s="7">
        <f>VLOOKUP(A971,[1]Sheet!B$3:G$2921,6,0)</f>
        <v>2908.28</v>
      </c>
      <c r="K971" s="8" t="e">
        <f t="shared" si="62"/>
        <v>#N/A</v>
      </c>
      <c r="L971" s="6">
        <f t="shared" si="63"/>
        <v>2908.28</v>
      </c>
    </row>
    <row r="972" spans="1:12" x14ac:dyDescent="0.25">
      <c r="A972" s="9" t="s">
        <v>971</v>
      </c>
      <c r="B972" s="2" t="str">
        <f>VLOOKUP(A972,[1]Sheet!B$3:G$2921,2,0)</f>
        <v>Хомут сталевий, дiаметр 50 мм</v>
      </c>
      <c r="C972" s="3" t="str">
        <f>VLOOKUP(A972,[1]Sheet!B$3:G$2921,3,0)</f>
        <v>шт</v>
      </c>
      <c r="D972" s="4">
        <v>158</v>
      </c>
      <c r="E972" s="5" t="e">
        <f>VLOOKUP(A972,N$3:S$1271,4,FALSE)</f>
        <v>#N/A</v>
      </c>
      <c r="F972" s="6">
        <f t="shared" si="60"/>
        <v>158</v>
      </c>
      <c r="G972" s="7">
        <f>VLOOKUP(A972,[1]Sheet!B$3:G$2921,5,0)</f>
        <v>39.159999999999997</v>
      </c>
      <c r="H972" s="5" t="e">
        <f>VLOOKUP(A972,N$3:S$1271,5,FALSE)</f>
        <v>#N/A</v>
      </c>
      <c r="I972" s="6">
        <f t="shared" si="61"/>
        <v>39.159999999999997</v>
      </c>
      <c r="J972" s="7">
        <f>VLOOKUP(A972,[1]Sheet!B$3:G$2921,6,0)</f>
        <v>861.52</v>
      </c>
      <c r="K972" s="8" t="e">
        <f t="shared" si="62"/>
        <v>#N/A</v>
      </c>
      <c r="L972" s="6">
        <f t="shared" si="63"/>
        <v>861.52</v>
      </c>
    </row>
    <row r="973" spans="1:12" x14ac:dyDescent="0.25">
      <c r="A973" s="9" t="s">
        <v>972</v>
      </c>
      <c r="B973" s="2" t="str">
        <f>VLOOKUP(A973,[1]Sheet!B$3:G$2921,2,0)</f>
        <v>Хомут S-образний Д-110мм с гайкой М8/М10</v>
      </c>
      <c r="C973" s="3" t="str">
        <f>VLOOKUP(A973,[1]Sheet!B$3:G$2921,3,0)</f>
        <v>шт</v>
      </c>
      <c r="D973" s="4">
        <v>93</v>
      </c>
      <c r="E973" s="5" t="e">
        <f>VLOOKUP(A973,N$3:S$1271,4,FALSE)</f>
        <v>#N/A</v>
      </c>
      <c r="F973" s="6">
        <f t="shared" si="60"/>
        <v>93</v>
      </c>
      <c r="G973" s="7">
        <f>VLOOKUP(A973,[1]Sheet!B$3:G$2921,5,0)</f>
        <v>40.229999999999997</v>
      </c>
      <c r="H973" s="5" t="e">
        <f>VLOOKUP(A973,N$3:S$1271,5,FALSE)</f>
        <v>#N/A</v>
      </c>
      <c r="I973" s="6">
        <f t="shared" si="61"/>
        <v>40.229999999999997</v>
      </c>
      <c r="J973" s="7">
        <f>VLOOKUP(A973,[1]Sheet!B$3:G$2921,6,0)</f>
        <v>885.06</v>
      </c>
      <c r="K973" s="8" t="e">
        <f t="shared" si="62"/>
        <v>#N/A</v>
      </c>
      <c r="L973" s="6">
        <f t="shared" si="63"/>
        <v>885.06</v>
      </c>
    </row>
    <row r="974" spans="1:12" x14ac:dyDescent="0.25">
      <c r="A974" s="9" t="s">
        <v>973</v>
      </c>
      <c r="B974" s="2" t="str">
        <f>VLOOKUP(A974,[1]Sheet!B$3:G$2921,2,0)</f>
        <v>Повiтровод з оцинкованої сталi товщиною 0,
8 мм, круглого перерiзу, спирально-
навивний, дiаметр 180 мм</v>
      </c>
      <c r="C974" s="3" t="str">
        <f>VLOOKUP(A974,[1]Sheet!B$3:G$2921,3,0)</f>
        <v>м2</v>
      </c>
      <c r="D974" s="4">
        <v>108.32000000000002</v>
      </c>
      <c r="E974" s="5" t="e">
        <f>VLOOKUP(A974,N$3:S$1271,4,FALSE)</f>
        <v>#N/A</v>
      </c>
      <c r="F974" s="6">
        <f t="shared" si="60"/>
        <v>108.32000000000002</v>
      </c>
      <c r="G974" s="7">
        <f>VLOOKUP(A974,[1]Sheet!B$3:G$2921,5,0)</f>
        <v>673.89</v>
      </c>
      <c r="H974" s="5" t="e">
        <f>VLOOKUP(A974,N$3:S$1271,5,FALSE)</f>
        <v>#N/A</v>
      </c>
      <c r="I974" s="6">
        <f t="shared" si="61"/>
        <v>673.89</v>
      </c>
      <c r="J974" s="7">
        <f>VLOOKUP(A974,[1]Sheet!B$3:G$2921,6,0)</f>
        <v>741.28</v>
      </c>
      <c r="K974" s="8" t="e">
        <f t="shared" si="62"/>
        <v>#N/A</v>
      </c>
      <c r="L974" s="6">
        <f t="shared" si="63"/>
        <v>741.28</v>
      </c>
    </row>
    <row r="975" spans="1:12" x14ac:dyDescent="0.25">
      <c r="A975" s="9" t="s">
        <v>974</v>
      </c>
      <c r="B975" s="2" t="str">
        <f>VLOOKUP(A975,[1]Sheet!B$3:G$2921,2,0)</f>
        <v>Повiтроводї з оцинкованої сталi товщиною 0,
5 мм, прямокутного перерiзу, розмiр
200х150 мм</v>
      </c>
      <c r="C975" s="3" t="str">
        <f>VLOOKUP(A975,[1]Sheet!B$3:G$2921,3,0)</f>
        <v>м2</v>
      </c>
      <c r="D975" s="4">
        <v>11.2</v>
      </c>
      <c r="E975" s="5" t="e">
        <f>VLOOKUP(A975,N$3:S$1271,4,FALSE)</f>
        <v>#N/A</v>
      </c>
      <c r="F975" s="6">
        <f t="shared" si="60"/>
        <v>11.2</v>
      </c>
      <c r="G975" s="7">
        <f>VLOOKUP(A975,[1]Sheet!B$3:G$2921,5,0)</f>
        <v>701.36</v>
      </c>
      <c r="H975" s="5" t="e">
        <f>VLOOKUP(A975,N$3:S$1271,5,FALSE)</f>
        <v>#N/A</v>
      </c>
      <c r="I975" s="6">
        <f t="shared" si="61"/>
        <v>701.36</v>
      </c>
      <c r="J975" s="7">
        <f>VLOOKUP(A975,[1]Sheet!B$3:G$2921,6,0)</f>
        <v>981.9</v>
      </c>
      <c r="K975" s="8" t="e">
        <f t="shared" si="62"/>
        <v>#N/A</v>
      </c>
      <c r="L975" s="6">
        <f t="shared" si="63"/>
        <v>981.9</v>
      </c>
    </row>
    <row r="976" spans="1:12" x14ac:dyDescent="0.25">
      <c r="A976" s="9" t="s">
        <v>975</v>
      </c>
      <c r="B976" s="2" t="str">
        <f>VLOOKUP(A976,[1]Sheet!B$3:G$2921,2,0)</f>
        <v>Повiтровод з оцинкованої сталi товщиною 0,
8 мм, круглого перерiзу, спирально-
навивний, дiаметр 400 мм</v>
      </c>
      <c r="C976" s="3" t="str">
        <f>VLOOKUP(A976,[1]Sheet!B$3:G$2921,3,0)</f>
        <v>м2</v>
      </c>
      <c r="D976" s="4">
        <v>186.31</v>
      </c>
      <c r="E976" s="5" t="e">
        <f>VLOOKUP(A976,N$3:S$1271,4,FALSE)</f>
        <v>#N/A</v>
      </c>
      <c r="F976" s="6">
        <f t="shared" si="60"/>
        <v>186.31</v>
      </c>
      <c r="G976" s="7">
        <f>VLOOKUP(A976,[1]Sheet!B$3:G$2921,5,0)</f>
        <v>605.17999999999995</v>
      </c>
      <c r="H976" s="5" t="e">
        <f>VLOOKUP(A976,N$3:S$1271,5,FALSE)</f>
        <v>#N/A</v>
      </c>
      <c r="I976" s="6">
        <f t="shared" si="61"/>
        <v>605.17999999999995</v>
      </c>
      <c r="J976" s="7">
        <f>VLOOKUP(A976,[1]Sheet!B$3:G$2921,6,0)</f>
        <v>13689.17</v>
      </c>
      <c r="K976" s="8" t="e">
        <f t="shared" si="62"/>
        <v>#N/A</v>
      </c>
      <c r="L976" s="6">
        <f t="shared" si="63"/>
        <v>13689.17</v>
      </c>
    </row>
    <row r="977" spans="1:12" x14ac:dyDescent="0.25">
      <c r="A977" s="9" t="s">
        <v>976</v>
      </c>
      <c r="B977" s="2" t="str">
        <f>VLOOKUP(A977,[1]Sheet!B$3:G$2921,2,0)</f>
        <v>Вузол проходу, дiаметр 500 мм УП1-07,
с.5.904-45</v>
      </c>
      <c r="C977" s="3" t="str">
        <f>VLOOKUP(A977,[1]Sheet!B$3:G$2921,3,0)</f>
        <v>м2</v>
      </c>
      <c r="D977" s="4">
        <v>312.08999999999986</v>
      </c>
      <c r="E977" s="5" t="e">
        <f>VLOOKUP(A977,N$3:S$1271,4,FALSE)</f>
        <v>#N/A</v>
      </c>
      <c r="F977" s="6">
        <f t="shared" si="60"/>
        <v>312.08999999999986</v>
      </c>
      <c r="G977" s="7">
        <f>VLOOKUP(A977,[1]Sheet!B$3:G$2921,5,0)</f>
        <v>3962.63</v>
      </c>
      <c r="H977" s="5" t="e">
        <f>VLOOKUP(A977,N$3:S$1271,5,FALSE)</f>
        <v>#N/A</v>
      </c>
      <c r="I977" s="6">
        <f t="shared" si="61"/>
        <v>3962.63</v>
      </c>
      <c r="J977" s="7">
        <f>VLOOKUP(A977,[1]Sheet!B$3:G$2921,6,0)</f>
        <v>6657.22</v>
      </c>
      <c r="K977" s="8" t="e">
        <f t="shared" si="62"/>
        <v>#N/A</v>
      </c>
      <c r="L977" s="6">
        <f t="shared" si="63"/>
        <v>6657.22</v>
      </c>
    </row>
    <row r="978" spans="1:12" x14ac:dyDescent="0.25">
      <c r="A978" s="9" t="s">
        <v>977</v>
      </c>
      <c r="B978" s="2" t="str">
        <f>VLOOKUP(A978,[1]Sheet!B$3:G$2921,2,0)</f>
        <v>Короб з оцинкованої сталi товщиною 1 мм,
розмiр 1000х1000h, L=600 мм</v>
      </c>
      <c r="C978" s="3" t="str">
        <f>VLOOKUP(A978,[1]Sheet!B$3:G$2921,3,0)</f>
        <v>м2</v>
      </c>
      <c r="D978" s="4">
        <v>174.32</v>
      </c>
      <c r="E978" s="5" t="e">
        <f>VLOOKUP(A978,N$3:S$1271,4,FALSE)</f>
        <v>#N/A</v>
      </c>
      <c r="F978" s="6">
        <f t="shared" si="60"/>
        <v>174.32</v>
      </c>
      <c r="G978" s="7">
        <f>VLOOKUP(A978,[1]Sheet!B$3:G$2921,5,0)</f>
        <v>746.4</v>
      </c>
      <c r="H978" s="5" t="e">
        <f>VLOOKUP(A978,N$3:S$1271,5,FALSE)</f>
        <v>#N/A</v>
      </c>
      <c r="I978" s="6">
        <f t="shared" si="61"/>
        <v>746.4</v>
      </c>
      <c r="J978" s="7">
        <f>VLOOKUP(A978,[1]Sheet!B$3:G$2921,6,0)</f>
        <v>2403.41</v>
      </c>
      <c r="K978" s="8" t="e">
        <f t="shared" si="62"/>
        <v>#N/A</v>
      </c>
      <c r="L978" s="6">
        <f t="shared" si="63"/>
        <v>2403.41</v>
      </c>
    </row>
    <row r="979" spans="1:12" x14ac:dyDescent="0.25">
      <c r="A979" s="9" t="s">
        <v>978</v>
      </c>
      <c r="B979" s="2" t="str">
        <f>VLOOKUP(A979,[1]Sheet!B$3:G$2921,2,0)</f>
        <v>Перехід з оцинкованої сталi товщиною 1 мм,
розмiр 1345х1300h/діам.710, L=500 мм</v>
      </c>
      <c r="C979" s="3" t="str">
        <f>VLOOKUP(A979,[1]Sheet!B$3:G$2921,3,0)</f>
        <v>м2</v>
      </c>
      <c r="D979" s="4">
        <v>13.75</v>
      </c>
      <c r="E979" s="5" t="e">
        <f>VLOOKUP(A979,N$3:S$1271,4,FALSE)</f>
        <v>#N/A</v>
      </c>
      <c r="F979" s="6">
        <f t="shared" si="60"/>
        <v>13.75</v>
      </c>
      <c r="G979" s="7">
        <f>VLOOKUP(A979,[1]Sheet!B$3:G$2921,5,0)</f>
        <v>703.67</v>
      </c>
      <c r="H979" s="5" t="e">
        <f>VLOOKUP(A979,N$3:S$1271,5,FALSE)</f>
        <v>#N/A</v>
      </c>
      <c r="I979" s="6">
        <f t="shared" si="61"/>
        <v>703.67</v>
      </c>
      <c r="J979" s="7">
        <f>VLOOKUP(A979,[1]Sheet!B$3:G$2921,6,0)</f>
        <v>5488.63</v>
      </c>
      <c r="K979" s="8" t="e">
        <f t="shared" si="62"/>
        <v>#N/A</v>
      </c>
      <c r="L979" s="6">
        <f t="shared" si="63"/>
        <v>5488.63</v>
      </c>
    </row>
    <row r="980" spans="1:12" x14ac:dyDescent="0.25">
      <c r="A980" s="9" t="s">
        <v>979</v>
      </c>
      <c r="B980" s="2" t="str">
        <f>VLOOKUP(A980,[1]Sheet!B$3:G$2921,2,0)</f>
        <v>Воронка  водостiчна чавунна (з крiпильними
деталями) Q=20л/с Dy100 ВР 100</v>
      </c>
      <c r="C980" s="3" t="str">
        <f>VLOOKUP(A980,[1]Sheet!B$3:G$2921,3,0)</f>
        <v>шт</v>
      </c>
      <c r="D980" s="4">
        <v>6</v>
      </c>
      <c r="E980" s="5" t="e">
        <f>VLOOKUP(A980,N$3:S$1271,4,FALSE)</f>
        <v>#N/A</v>
      </c>
      <c r="F980" s="6">
        <f t="shared" si="60"/>
        <v>6</v>
      </c>
      <c r="G980" s="7">
        <f>VLOOKUP(A980,[1]Sheet!B$3:G$2921,5,0)</f>
        <v>931.95</v>
      </c>
      <c r="H980" s="5" t="e">
        <f>VLOOKUP(A980,N$3:S$1271,5,FALSE)</f>
        <v>#N/A</v>
      </c>
      <c r="I980" s="6">
        <f t="shared" si="61"/>
        <v>931.95</v>
      </c>
      <c r="J980" s="7">
        <f>VLOOKUP(A980,[1]Sheet!B$3:G$2921,6,0)</f>
        <v>5591.7</v>
      </c>
      <c r="K980" s="8" t="e">
        <f t="shared" si="62"/>
        <v>#N/A</v>
      </c>
      <c r="L980" s="6">
        <f t="shared" si="63"/>
        <v>5591.7</v>
      </c>
    </row>
    <row r="981" spans="1:12" x14ac:dyDescent="0.25">
      <c r="A981" s="9" t="s">
        <v>980</v>
      </c>
      <c r="B981" s="2" t="str">
        <f>VLOOKUP(A981,[1]Sheet!B$3:G$2921,2,0)</f>
        <v>З'єднувач труби-100 L=500 мм</v>
      </c>
      <c r="C981" s="3" t="str">
        <f>VLOOKUP(A981,[1]Sheet!B$3:G$2921,3,0)</f>
        <v>шт</v>
      </c>
      <c r="D981" s="4">
        <v>2</v>
      </c>
      <c r="E981" s="5" t="e">
        <f>VLOOKUP(A981,N$3:S$1271,4,FALSE)</f>
        <v>#N/A</v>
      </c>
      <c r="F981" s="6">
        <f t="shared" si="60"/>
        <v>2</v>
      </c>
      <c r="G981" s="7">
        <f>VLOOKUP(A981,[1]Sheet!B$3:G$2921,5,0)</f>
        <v>190.47</v>
      </c>
      <c r="H981" s="5" t="e">
        <f>VLOOKUP(A981,N$3:S$1271,5,FALSE)</f>
        <v>#N/A</v>
      </c>
      <c r="I981" s="6">
        <f t="shared" si="61"/>
        <v>190.47</v>
      </c>
      <c r="J981" s="7">
        <f>VLOOKUP(A981,[1]Sheet!B$3:G$2921,6,0)</f>
        <v>380.94</v>
      </c>
      <c r="K981" s="8" t="e">
        <f t="shared" si="62"/>
        <v>#N/A</v>
      </c>
      <c r="L981" s="6">
        <f t="shared" si="63"/>
        <v>380.94</v>
      </c>
    </row>
    <row r="982" spans="1:12" x14ac:dyDescent="0.25">
      <c r="A982" s="9" t="s">
        <v>981</v>
      </c>
      <c r="B982" s="2" t="str">
        <f>VLOOKUP(A982,[1]Sheet!B$3:G$2921,2,0)</f>
        <v>Флюгарка 110х600 (h)мм</v>
      </c>
      <c r="C982" s="3" t="str">
        <f>VLOOKUP(A982,[1]Sheet!B$3:G$2921,3,0)</f>
        <v>шт</v>
      </c>
      <c r="D982" s="4">
        <v>38</v>
      </c>
      <c r="E982" s="5" t="e">
        <f>VLOOKUP(A982,N$3:S$1271,4,FALSE)</f>
        <v>#N/A</v>
      </c>
      <c r="F982" s="6">
        <f t="shared" si="60"/>
        <v>38</v>
      </c>
      <c r="G982" s="7">
        <f>VLOOKUP(A982,[1]Sheet!B$3:G$2921,5,0)</f>
        <v>756.08</v>
      </c>
      <c r="H982" s="5" t="e">
        <f>VLOOKUP(A982,N$3:S$1271,5,FALSE)</f>
        <v>#N/A</v>
      </c>
      <c r="I982" s="6">
        <f t="shared" si="61"/>
        <v>756.08</v>
      </c>
      <c r="J982" s="7">
        <f>VLOOKUP(A982,[1]Sheet!B$3:G$2921,6,0)</f>
        <v>21926.32</v>
      </c>
      <c r="K982" s="8" t="e">
        <f t="shared" si="62"/>
        <v>#N/A</v>
      </c>
      <c r="L982" s="6">
        <f t="shared" si="63"/>
        <v>21926.32</v>
      </c>
    </row>
    <row r="983" spans="1:12" x14ac:dyDescent="0.25">
      <c r="A983" s="9" t="s">
        <v>982</v>
      </c>
      <c r="B983" s="2" t="str">
        <f>VLOOKUP(A983,[1]Sheet!B$3:G$2921,2,0)</f>
        <v>Ринва-150 L=4000 мм</v>
      </c>
      <c r="C983" s="3" t="str">
        <f>VLOOKUP(A983,[1]Sheet!B$3:G$2921,3,0)</f>
        <v>шт</v>
      </c>
      <c r="D983" s="4">
        <v>9</v>
      </c>
      <c r="E983" s="5" t="e">
        <f>VLOOKUP(A983,N$3:S$1271,4,FALSE)</f>
        <v>#N/A</v>
      </c>
      <c r="F983" s="6">
        <f t="shared" si="60"/>
        <v>9</v>
      </c>
      <c r="G983" s="7">
        <f>VLOOKUP(A983,[1]Sheet!B$3:G$2921,5,0)</f>
        <v>1023.34</v>
      </c>
      <c r="H983" s="5" t="e">
        <f>VLOOKUP(A983,N$3:S$1271,5,FALSE)</f>
        <v>#N/A</v>
      </c>
      <c r="I983" s="6">
        <f t="shared" si="61"/>
        <v>1023.34</v>
      </c>
      <c r="J983" s="7">
        <f>VLOOKUP(A983,[1]Sheet!B$3:G$2921,6,0)</f>
        <v>9210.06</v>
      </c>
      <c r="K983" s="8" t="e">
        <f t="shared" si="62"/>
        <v>#N/A</v>
      </c>
      <c r="L983" s="6">
        <f t="shared" si="63"/>
        <v>9210.06</v>
      </c>
    </row>
    <row r="984" spans="1:12" x14ac:dyDescent="0.25">
      <c r="A984" s="9" t="s">
        <v>983</v>
      </c>
      <c r="B984" s="2" t="str">
        <f>VLOOKUP(A984,[1]Sheet!B$3:G$2921,2,0)</f>
        <v>Гак комбінований для ринви-150</v>
      </c>
      <c r="C984" s="3" t="str">
        <f>VLOOKUP(A984,[1]Sheet!B$3:G$2921,3,0)</f>
        <v>шт</v>
      </c>
      <c r="D984" s="4">
        <v>61</v>
      </c>
      <c r="E984" s="5" t="e">
        <f>VLOOKUP(A984,N$3:S$1271,4,FALSE)</f>
        <v>#N/A</v>
      </c>
      <c r="F984" s="6">
        <f t="shared" si="60"/>
        <v>61</v>
      </c>
      <c r="G984" s="7">
        <f>VLOOKUP(A984,[1]Sheet!B$3:G$2921,5,0)</f>
        <v>118.96</v>
      </c>
      <c r="H984" s="5" t="e">
        <f>VLOOKUP(A984,N$3:S$1271,5,FALSE)</f>
        <v>#N/A</v>
      </c>
      <c r="I984" s="6">
        <f t="shared" si="61"/>
        <v>118.96</v>
      </c>
      <c r="J984" s="7">
        <f>VLOOKUP(A984,[1]Sheet!B$3:G$2921,6,0)</f>
        <v>7256.56</v>
      </c>
      <c r="K984" s="8" t="e">
        <f t="shared" si="62"/>
        <v>#N/A</v>
      </c>
      <c r="L984" s="6">
        <f t="shared" si="63"/>
        <v>7256.56</v>
      </c>
    </row>
    <row r="985" spans="1:12" x14ac:dyDescent="0.25">
      <c r="A985" s="9" t="s">
        <v>984</v>
      </c>
      <c r="B985" s="2" t="str">
        <f>VLOOKUP(A985,[1]Sheet!B$3:G$2921,2,0)</f>
        <v>З'єднувач ринви-150</v>
      </c>
      <c r="C985" s="3" t="str">
        <f>VLOOKUP(A985,[1]Sheet!B$3:G$2921,3,0)</f>
        <v>шт</v>
      </c>
      <c r="D985" s="4">
        <v>10</v>
      </c>
      <c r="E985" s="5" t="e">
        <f>VLOOKUP(A985,N$3:S$1271,4,FALSE)</f>
        <v>#N/A</v>
      </c>
      <c r="F985" s="6">
        <f t="shared" si="60"/>
        <v>10</v>
      </c>
      <c r="G985" s="7">
        <f>VLOOKUP(A985,[1]Sheet!B$3:G$2921,5,0)</f>
        <v>168.29</v>
      </c>
      <c r="H985" s="5" t="e">
        <f>VLOOKUP(A985,N$3:S$1271,5,FALSE)</f>
        <v>#N/A</v>
      </c>
      <c r="I985" s="6">
        <f t="shared" si="61"/>
        <v>168.29</v>
      </c>
      <c r="J985" s="7">
        <f>VLOOKUP(A985,[1]Sheet!B$3:G$2921,6,0)</f>
        <v>1682.9</v>
      </c>
      <c r="K985" s="8" t="e">
        <f t="shared" si="62"/>
        <v>#N/A</v>
      </c>
      <c r="L985" s="6">
        <f t="shared" si="63"/>
        <v>1682.9</v>
      </c>
    </row>
    <row r="986" spans="1:12" x14ac:dyDescent="0.25">
      <c r="A986" s="9" t="s">
        <v>985</v>
      </c>
      <c r="B986" s="2" t="str">
        <f>VLOOKUP(A986,[1]Sheet!B$3:G$2921,2,0)</f>
        <v>Злив 60_-150</v>
      </c>
      <c r="C986" s="3" t="str">
        <f>VLOOKUP(A986,[1]Sheet!B$3:G$2921,3,0)</f>
        <v>шт</v>
      </c>
      <c r="D986" s="4">
        <v>2</v>
      </c>
      <c r="E986" s="5" t="e">
        <f>VLOOKUP(A986,N$3:S$1271,4,FALSE)</f>
        <v>#N/A</v>
      </c>
      <c r="F986" s="6">
        <f t="shared" si="60"/>
        <v>2</v>
      </c>
      <c r="G986" s="7">
        <f>VLOOKUP(A986,[1]Sheet!B$3:G$2921,5,0)</f>
        <v>319.33</v>
      </c>
      <c r="H986" s="5" t="e">
        <f>VLOOKUP(A986,N$3:S$1271,5,FALSE)</f>
        <v>#N/A</v>
      </c>
      <c r="I986" s="6">
        <f t="shared" si="61"/>
        <v>319.33</v>
      </c>
      <c r="J986" s="7">
        <f>VLOOKUP(A986,[1]Sheet!B$3:G$2921,6,0)</f>
        <v>638.66</v>
      </c>
      <c r="K986" s="8" t="e">
        <f t="shared" si="62"/>
        <v>#N/A</v>
      </c>
      <c r="L986" s="6">
        <f t="shared" si="63"/>
        <v>638.66</v>
      </c>
    </row>
    <row r="987" spans="1:12" x14ac:dyDescent="0.25">
      <c r="A987" s="9" t="s">
        <v>986</v>
      </c>
      <c r="B987" s="2" t="str">
        <f>VLOOKUP(A987,[1]Sheet!B$3:G$2921,2,0)</f>
        <v>Коліно 60_-150</v>
      </c>
      <c r="C987" s="3" t="str">
        <f>VLOOKUP(A987,[1]Sheet!B$3:G$2921,3,0)</f>
        <v>шт</v>
      </c>
      <c r="D987" s="4">
        <v>4</v>
      </c>
      <c r="E987" s="5" t="e">
        <f>VLOOKUP(A987,N$3:S$1271,4,FALSE)</f>
        <v>#N/A</v>
      </c>
      <c r="F987" s="6">
        <f t="shared" si="60"/>
        <v>4</v>
      </c>
      <c r="G987" s="7">
        <f>VLOOKUP(A987,[1]Sheet!B$3:G$2921,5,0)</f>
        <v>319.33</v>
      </c>
      <c r="H987" s="5" t="e">
        <f>VLOOKUP(A987,N$3:S$1271,5,FALSE)</f>
        <v>#N/A</v>
      </c>
      <c r="I987" s="6">
        <f t="shared" si="61"/>
        <v>319.33</v>
      </c>
      <c r="J987" s="7">
        <f>VLOOKUP(A987,[1]Sheet!B$3:G$2921,6,0)</f>
        <v>1277.32</v>
      </c>
      <c r="K987" s="8" t="e">
        <f t="shared" si="62"/>
        <v>#N/A</v>
      </c>
      <c r="L987" s="6">
        <f t="shared" si="63"/>
        <v>1277.32</v>
      </c>
    </row>
    <row r="988" spans="1:12" x14ac:dyDescent="0.25">
      <c r="A988" s="9" t="s">
        <v>987</v>
      </c>
      <c r="B988" s="2" t="str">
        <f>VLOOKUP(A988,[1]Sheet!B$3:G$2921,2,0)</f>
        <v>Лійка 150/100</v>
      </c>
      <c r="C988" s="3" t="str">
        <f>VLOOKUP(A988,[1]Sheet!B$3:G$2921,3,0)</f>
        <v>шт</v>
      </c>
      <c r="D988" s="4">
        <v>2</v>
      </c>
      <c r="E988" s="5" t="e">
        <f>VLOOKUP(A988,N$3:S$1271,4,FALSE)</f>
        <v>#N/A</v>
      </c>
      <c r="F988" s="6">
        <f t="shared" si="60"/>
        <v>2</v>
      </c>
      <c r="G988" s="7">
        <f>VLOOKUP(A988,[1]Sheet!B$3:G$2921,5,0)</f>
        <v>321.63</v>
      </c>
      <c r="H988" s="5" t="e">
        <f>VLOOKUP(A988,N$3:S$1271,5,FALSE)</f>
        <v>#N/A</v>
      </c>
      <c r="I988" s="6">
        <f t="shared" si="61"/>
        <v>321.63</v>
      </c>
      <c r="J988" s="7">
        <f>VLOOKUP(A988,[1]Sheet!B$3:G$2921,6,0)</f>
        <v>643.26</v>
      </c>
      <c r="K988" s="8" t="e">
        <f t="shared" si="62"/>
        <v>#N/A</v>
      </c>
      <c r="L988" s="6">
        <f t="shared" si="63"/>
        <v>643.26</v>
      </c>
    </row>
    <row r="989" spans="1:12" x14ac:dyDescent="0.25">
      <c r="A989" s="9" t="s">
        <v>988</v>
      </c>
      <c r="B989" s="2" t="str">
        <f>VLOOKUP(A989,[1]Sheet!B$3:G$2921,2,0)</f>
        <v>Обійма труби-150</v>
      </c>
      <c r="C989" s="3" t="str">
        <f>VLOOKUP(A989,[1]Sheet!B$3:G$2921,3,0)</f>
        <v>шт</v>
      </c>
      <c r="D989" s="4">
        <v>18</v>
      </c>
      <c r="E989" s="5" t="e">
        <f>VLOOKUP(A989,N$3:S$1271,4,FALSE)</f>
        <v>#N/A</v>
      </c>
      <c r="F989" s="6">
        <f t="shared" si="60"/>
        <v>18</v>
      </c>
      <c r="G989" s="7">
        <f>VLOOKUP(A989,[1]Sheet!B$3:G$2921,5,0)</f>
        <v>122.39</v>
      </c>
      <c r="H989" s="5" t="e">
        <f>VLOOKUP(A989,N$3:S$1271,5,FALSE)</f>
        <v>#N/A</v>
      </c>
      <c r="I989" s="6">
        <f t="shared" si="61"/>
        <v>122.39</v>
      </c>
      <c r="J989" s="7">
        <f>VLOOKUP(A989,[1]Sheet!B$3:G$2921,6,0)</f>
        <v>2203.02</v>
      </c>
      <c r="K989" s="8" t="e">
        <f t="shared" si="62"/>
        <v>#N/A</v>
      </c>
      <c r="L989" s="6">
        <f t="shared" si="63"/>
        <v>2203.02</v>
      </c>
    </row>
    <row r="990" spans="1:12" x14ac:dyDescent="0.25">
      <c r="A990" s="9" t="s">
        <v>989</v>
      </c>
      <c r="B990" s="2" t="str">
        <f>VLOOKUP(A990,[1]Sheet!B$3:G$2921,2,0)</f>
        <v>Кріплення обійми L=200 мм</v>
      </c>
      <c r="C990" s="3" t="str">
        <f>VLOOKUP(A990,[1]Sheet!B$3:G$2921,3,0)</f>
        <v>шт</v>
      </c>
      <c r="D990" s="4">
        <v>18</v>
      </c>
      <c r="E990" s="5" t="e">
        <f>VLOOKUP(A990,N$3:S$1271,4,FALSE)</f>
        <v>#N/A</v>
      </c>
      <c r="F990" s="6">
        <f t="shared" si="60"/>
        <v>18</v>
      </c>
      <c r="G990" s="7">
        <f>VLOOKUP(A990,[1]Sheet!B$3:G$2921,5,0)</f>
        <v>586.01</v>
      </c>
      <c r="H990" s="5" t="e">
        <f>VLOOKUP(A990,N$3:S$1271,5,FALSE)</f>
        <v>#N/A</v>
      </c>
      <c r="I990" s="6">
        <f t="shared" si="61"/>
        <v>586.01</v>
      </c>
      <c r="J990" s="7">
        <f>VLOOKUP(A990,[1]Sheet!B$3:G$2921,6,0)</f>
        <v>10548.18</v>
      </c>
      <c r="K990" s="8" t="e">
        <f t="shared" si="62"/>
        <v>#N/A</v>
      </c>
      <c r="L990" s="6">
        <f t="shared" si="63"/>
        <v>10548.18</v>
      </c>
    </row>
    <row r="991" spans="1:12" x14ac:dyDescent="0.25">
      <c r="A991" s="9" t="s">
        <v>990</v>
      </c>
      <c r="B991" s="2" t="str">
        <f>VLOOKUP(A991,[1]Sheet!B$3:G$2921,2,0)</f>
        <v>Труба зливна-100 L=4000 мм</v>
      </c>
      <c r="C991" s="3" t="str">
        <f>VLOOKUP(A991,[1]Sheet!B$3:G$2921,3,0)</f>
        <v>шт</v>
      </c>
      <c r="D991" s="4">
        <v>4</v>
      </c>
      <c r="E991" s="5" t="e">
        <f>VLOOKUP(A991,N$3:S$1271,4,FALSE)</f>
        <v>#N/A</v>
      </c>
      <c r="F991" s="6">
        <f t="shared" si="60"/>
        <v>4</v>
      </c>
      <c r="G991" s="7">
        <f>VLOOKUP(A991,[1]Sheet!B$3:G$2921,5,0)</f>
        <v>1205.8499999999999</v>
      </c>
      <c r="H991" s="5" t="e">
        <f>VLOOKUP(A991,N$3:S$1271,5,FALSE)</f>
        <v>#N/A</v>
      </c>
      <c r="I991" s="6">
        <f t="shared" si="61"/>
        <v>1205.8499999999999</v>
      </c>
      <c r="J991" s="7">
        <f>VLOOKUP(A991,[1]Sheet!B$3:G$2921,6,0)</f>
        <v>4823.3999999999996</v>
      </c>
      <c r="K991" s="8" t="e">
        <f t="shared" si="62"/>
        <v>#N/A</v>
      </c>
      <c r="L991" s="6">
        <f t="shared" si="63"/>
        <v>4823.3999999999996</v>
      </c>
    </row>
    <row r="992" spans="1:12" x14ac:dyDescent="0.25">
      <c r="A992" s="9" t="s">
        <v>991</v>
      </c>
      <c r="B992" s="2" t="str">
        <f>VLOOKUP(A992,[1]Sheet!B$3:G$2921,2,0)</f>
        <v>Трубка мідна, діам. 28 мм</v>
      </c>
      <c r="C992" s="3" t="str">
        <f>VLOOKUP(A992,[1]Sheet!B$3:G$2921,3,0)</f>
        <v>м</v>
      </c>
      <c r="D992" s="4">
        <v>50</v>
      </c>
      <c r="E992" s="5" t="e">
        <f>VLOOKUP(A992,N$3:S$1271,4,FALSE)</f>
        <v>#N/A</v>
      </c>
      <c r="F992" s="6">
        <f t="shared" si="60"/>
        <v>50</v>
      </c>
      <c r="G992" s="7">
        <f>VLOOKUP(A992,[1]Sheet!B$3:G$2921,5,0)</f>
        <v>255.06</v>
      </c>
      <c r="H992" s="5" t="e">
        <f>VLOOKUP(A992,N$3:S$1271,5,FALSE)</f>
        <v>#N/A</v>
      </c>
      <c r="I992" s="6">
        <f t="shared" si="61"/>
        <v>255.06</v>
      </c>
      <c r="J992" s="7">
        <f>VLOOKUP(A992,[1]Sheet!B$3:G$2921,6,0)</f>
        <v>6376.5</v>
      </c>
      <c r="K992" s="8" t="e">
        <f t="shared" si="62"/>
        <v>#N/A</v>
      </c>
      <c r="L992" s="6">
        <f t="shared" si="63"/>
        <v>6376.5</v>
      </c>
    </row>
    <row r="993" spans="1:12" x14ac:dyDescent="0.25">
      <c r="A993" s="9" t="s">
        <v>992</v>
      </c>
      <c r="B993" s="2" t="str">
        <f>VLOOKUP(A993,[1]Sheet!B$3:G$2921,2,0)</f>
        <v>Кран-комплект пожежний HW-52NKV для
одного пожежного крана Ду-50 у складі:
Шафа навісна HW-52NKV (600х1500х220
мм)-1шт..     Котушка для плоскоскладаного
рукава-1шт. Муфта з'єднувальна Ду-50-1шт.
Вентиль пожежний кутовий бронзовий Ду-50
з датчиком  положення     пожежного крану
(ДППК)-1шт. Головка з'єднувальна муфтова
ГМ-50 (ГМН-50)-1шт. Рукав пожежний
латексний Д-51мм L-20м-1шт.  Головка  
з'єднувальна    рукава ГМ-50 (ГРН-50)-2шт.
Ствол пожежний перекривний PWH-52 Ду-
50 зі сприском 16мм-1шт. Головка
з'єднувальна  цапкова  ГЦ-50-1шт. 
Вогнегасник порошковий (ВП-6)-2шт.</v>
      </c>
      <c r="C993" s="3" t="str">
        <f>VLOOKUP(A993,[1]Sheet!B$3:G$2921,3,0)</f>
        <v>шт</v>
      </c>
      <c r="D993" s="4">
        <v>5</v>
      </c>
      <c r="E993" s="5" t="e">
        <f>VLOOKUP(A993,N$3:S$1271,4,FALSE)</f>
        <v>#N/A</v>
      </c>
      <c r="F993" s="6">
        <f t="shared" si="60"/>
        <v>5</v>
      </c>
      <c r="G993" s="7">
        <f>VLOOKUP(A993,[1]Sheet!B$3:G$2921,5,0)</f>
        <v>3686.45</v>
      </c>
      <c r="H993" s="5" t="e">
        <f>VLOOKUP(A993,N$3:S$1271,5,FALSE)</f>
        <v>#N/A</v>
      </c>
      <c r="I993" s="6">
        <f t="shared" si="61"/>
        <v>3686.45</v>
      </c>
      <c r="J993" s="7">
        <f>VLOOKUP(A993,[1]Sheet!B$3:G$2921,6,0)</f>
        <v>14745.8</v>
      </c>
      <c r="K993" s="8" t="e">
        <f t="shared" si="62"/>
        <v>#N/A</v>
      </c>
      <c r="L993" s="6">
        <f t="shared" si="63"/>
        <v>14745.8</v>
      </c>
    </row>
    <row r="994" spans="1:12" x14ac:dyDescent="0.25">
      <c r="A994" s="9" t="s">
        <v>993</v>
      </c>
      <c r="B994" s="2" t="str">
        <f>VLOOKUP(A994,[1]Sheet!B$3:G$2921,2,0)</f>
        <v>Зонт круглий, дiаметр 200 мм ЗК.00.000,
с.5.904-51</v>
      </c>
      <c r="C994" s="3" t="str">
        <f>VLOOKUP(A994,[1]Sheet!B$3:G$2921,3,0)</f>
        <v>шт</v>
      </c>
      <c r="D994" s="4">
        <v>6</v>
      </c>
      <c r="E994" s="5" t="e">
        <f>VLOOKUP(A994,N$3:S$1271,4,FALSE)</f>
        <v>#N/A</v>
      </c>
      <c r="F994" s="6">
        <f t="shared" si="60"/>
        <v>6</v>
      </c>
      <c r="G994" s="7">
        <f>VLOOKUP(A994,[1]Sheet!B$3:G$2921,5,0)</f>
        <v>409.35</v>
      </c>
      <c r="H994" s="5" t="e">
        <f>VLOOKUP(A994,N$3:S$1271,5,FALSE)</f>
        <v>#N/A</v>
      </c>
      <c r="I994" s="6">
        <f t="shared" si="61"/>
        <v>409.35</v>
      </c>
      <c r="J994" s="7">
        <f>VLOOKUP(A994,[1]Sheet!B$3:G$2921,6,0)</f>
        <v>409.35</v>
      </c>
      <c r="K994" s="8" t="e">
        <f t="shared" si="62"/>
        <v>#N/A</v>
      </c>
      <c r="L994" s="6">
        <f t="shared" si="63"/>
        <v>409.35</v>
      </c>
    </row>
    <row r="995" spans="1:12" x14ac:dyDescent="0.25">
      <c r="A995" s="9" t="s">
        <v>994</v>
      </c>
      <c r="B995" s="2" t="str">
        <f>VLOOKUP(A995,[1]Sheet!B$3:G$2921,2,0)</f>
        <v>Зонт круглий, дiаметр 250 мм ЗК.00.000-01,
с.5.904-51</v>
      </c>
      <c r="C995" s="3" t="str">
        <f>VLOOKUP(A995,[1]Sheet!B$3:G$2921,3,0)</f>
        <v>шт</v>
      </c>
      <c r="D995" s="4">
        <v>1</v>
      </c>
      <c r="E995" s="5" t="e">
        <f>VLOOKUP(A995,N$3:S$1271,4,FALSE)</f>
        <v>#N/A</v>
      </c>
      <c r="F995" s="6">
        <f t="shared" si="60"/>
        <v>1</v>
      </c>
      <c r="G995" s="7">
        <f>VLOOKUP(A995,[1]Sheet!B$3:G$2921,5,0)</f>
        <v>433.36</v>
      </c>
      <c r="H995" s="5" t="e">
        <f>VLOOKUP(A995,N$3:S$1271,5,FALSE)</f>
        <v>#N/A</v>
      </c>
      <c r="I995" s="6">
        <f t="shared" si="61"/>
        <v>433.36</v>
      </c>
      <c r="J995" s="7">
        <f>VLOOKUP(A995,[1]Sheet!B$3:G$2921,6,0)</f>
        <v>433.36</v>
      </c>
      <c r="K995" s="8" t="e">
        <f t="shared" si="62"/>
        <v>#N/A</v>
      </c>
      <c r="L995" s="6">
        <f t="shared" si="63"/>
        <v>433.36</v>
      </c>
    </row>
    <row r="996" spans="1:12" x14ac:dyDescent="0.25">
      <c r="A996" s="9" t="s">
        <v>995</v>
      </c>
      <c r="B996" s="2" t="str">
        <f>VLOOKUP(A996,[1]Sheet!B$3:G$2921,2,0)</f>
        <v>Зонт круглий, дiаметр 710 мм ЗК 00.000-07,
с.5.904-51</v>
      </c>
      <c r="C996" s="3" t="str">
        <f>VLOOKUP(A996,[1]Sheet!B$3:G$2921,3,0)</f>
        <v>шт</v>
      </c>
      <c r="D996" s="4">
        <v>1</v>
      </c>
      <c r="E996" s="5" t="e">
        <f>VLOOKUP(A996,N$3:S$1271,4,FALSE)</f>
        <v>#N/A</v>
      </c>
      <c r="F996" s="6">
        <f t="shared" si="60"/>
        <v>1</v>
      </c>
      <c r="G996" s="7">
        <f>VLOOKUP(A996,[1]Sheet!B$3:G$2921,5,0)</f>
        <v>1040.31</v>
      </c>
      <c r="H996" s="5" t="e">
        <f>VLOOKUP(A996,N$3:S$1271,5,FALSE)</f>
        <v>#N/A</v>
      </c>
      <c r="I996" s="6">
        <f t="shared" si="61"/>
        <v>1040.31</v>
      </c>
      <c r="J996" s="7">
        <f>VLOOKUP(A996,[1]Sheet!B$3:G$2921,6,0)</f>
        <v>1040.31</v>
      </c>
      <c r="K996" s="8" t="e">
        <f t="shared" si="62"/>
        <v>#N/A</v>
      </c>
      <c r="L996" s="6">
        <f t="shared" si="63"/>
        <v>1040.31</v>
      </c>
    </row>
    <row r="997" spans="1:12" x14ac:dyDescent="0.25">
      <c r="A997" s="9" t="s">
        <v>996</v>
      </c>
      <c r="B997" s="2" t="str">
        <f>VLOOKUP(A997,[1]Sheet!B$3:G$2921,2,0)</f>
        <v>Болт сантехнічний10х100 мм</v>
      </c>
      <c r="C997" s="3" t="str">
        <f>VLOOKUP(A997,[1]Sheet!B$3:G$2921,3,0)</f>
        <v>т</v>
      </c>
      <c r="D997" s="4">
        <v>5.2100000000000002E-3</v>
      </c>
      <c r="E997" s="5" t="e">
        <f>VLOOKUP(A997,N$3:S$1271,4,FALSE)</f>
        <v>#N/A</v>
      </c>
      <c r="F997" s="6">
        <f t="shared" si="60"/>
        <v>5.2100000000000002E-3</v>
      </c>
      <c r="G997" s="7">
        <f>VLOOKUP(A997,[1]Sheet!B$3:G$2921,5,0)</f>
        <v>118614.53</v>
      </c>
      <c r="H997" s="5" t="e">
        <f>VLOOKUP(A997,N$3:S$1271,5,FALSE)</f>
        <v>#N/A</v>
      </c>
      <c r="I997" s="6">
        <f t="shared" si="61"/>
        <v>118614.53</v>
      </c>
      <c r="J997" s="7">
        <f>VLOOKUP(A997,[1]Sheet!B$3:G$2921,6,0)</f>
        <v>142.34</v>
      </c>
      <c r="K997" s="8" t="e">
        <f t="shared" si="62"/>
        <v>#N/A</v>
      </c>
      <c r="L997" s="6">
        <f t="shared" si="63"/>
        <v>142.34</v>
      </c>
    </row>
    <row r="998" spans="1:12" x14ac:dyDescent="0.25">
      <c r="A998" s="9" t="s">
        <v>997</v>
      </c>
      <c r="B998" s="2" t="str">
        <f>VLOOKUP(A998,[1]Sheet!B$3:G$2921,2,0)</f>
        <v>Кран різьбовий водорозбiрний на Ру до
1.0МПа та Т до 100_С DN 3/4"x1"  UKSPAR</v>
      </c>
      <c r="C998" s="3" t="str">
        <f>VLOOKUP(A998,[1]Sheet!B$3:G$2921,3,0)</f>
        <v>шт</v>
      </c>
      <c r="D998" s="4">
        <v>8</v>
      </c>
      <c r="E998" s="5" t="e">
        <f>VLOOKUP(A998,N$3:S$1271,4,FALSE)</f>
        <v>#N/A</v>
      </c>
      <c r="F998" s="6">
        <f t="shared" si="60"/>
        <v>8</v>
      </c>
      <c r="G998" s="7">
        <f>VLOOKUP(A998,[1]Sheet!B$3:G$2921,5,0)</f>
        <v>175.53</v>
      </c>
      <c r="H998" s="5" t="e">
        <f>VLOOKUP(A998,N$3:S$1271,5,FALSE)</f>
        <v>#N/A</v>
      </c>
      <c r="I998" s="6">
        <f t="shared" si="61"/>
        <v>175.53</v>
      </c>
      <c r="J998" s="7">
        <f>VLOOKUP(A998,[1]Sheet!B$3:G$2921,6,0)</f>
        <v>1404.24</v>
      </c>
      <c r="K998" s="8" t="e">
        <f t="shared" si="62"/>
        <v>#N/A</v>
      </c>
      <c r="L998" s="6">
        <f t="shared" si="63"/>
        <v>1404.24</v>
      </c>
    </row>
    <row r="999" spans="1:12" x14ac:dyDescent="0.25">
      <c r="A999" s="9" t="s">
        <v>998</v>
      </c>
      <c r="B999" s="2" t="str">
        <f>VLOOKUP(A999,[1]Sheet!B$3:G$2921,2,0)</f>
        <v>Радiатор біметалевий плоский 3-секційний
РПД-1Д-500-3 ТОВ "ПРЕС" з пробками</v>
      </c>
      <c r="C999" s="3" t="str">
        <f>VLOOKUP(A999,[1]Sheet!B$3:G$2921,3,0)</f>
        <v>шт</v>
      </c>
      <c r="D999" s="4">
        <v>19</v>
      </c>
      <c r="E999" s="5" t="e">
        <f>VLOOKUP(A999,N$3:S$1271,4,FALSE)</f>
        <v>#N/A</v>
      </c>
      <c r="F999" s="6">
        <f t="shared" si="60"/>
        <v>19</v>
      </c>
      <c r="G999" s="7">
        <f>VLOOKUP(A999,[1]Sheet!B$3:G$2921,5,0)</f>
        <v>1064.21</v>
      </c>
      <c r="H999" s="5" t="e">
        <f>VLOOKUP(A999,N$3:S$1271,5,FALSE)</f>
        <v>#N/A</v>
      </c>
      <c r="I999" s="6">
        <f t="shared" si="61"/>
        <v>1064.21</v>
      </c>
      <c r="J999" s="7">
        <f>VLOOKUP(A999,[1]Sheet!B$3:G$2921,6,0)</f>
        <v>3192.63</v>
      </c>
      <c r="K999" s="8" t="e">
        <f t="shared" si="62"/>
        <v>#N/A</v>
      </c>
      <c r="L999" s="6">
        <f t="shared" si="63"/>
        <v>3192.63</v>
      </c>
    </row>
    <row r="1000" spans="1:12" x14ac:dyDescent="0.25">
      <c r="A1000" s="9" t="s">
        <v>999</v>
      </c>
      <c r="B1000" s="2" t="str">
        <f>VLOOKUP(A1000,[1]Sheet!B$3:G$2921,2,0)</f>
        <v>Клімат - панель довжиною 6 м EFFI (з
кришкою для з'єднання з теплоізоляцією)</v>
      </c>
      <c r="C1000" s="3" t="str">
        <f>VLOOKUP(A1000,[1]Sheet!B$3:G$2921,3,0)</f>
        <v>шт</v>
      </c>
      <c r="D1000" s="4">
        <v>11</v>
      </c>
      <c r="E1000" s="5" t="e">
        <f>VLOOKUP(A1000,N$3:S$1271,4,FALSE)</f>
        <v>#N/A</v>
      </c>
      <c r="F1000" s="6">
        <f t="shared" si="60"/>
        <v>11</v>
      </c>
      <c r="G1000" s="7">
        <f>VLOOKUP(A1000,[1]Sheet!B$3:G$2921,5,0)</f>
        <v>8211.8700000000008</v>
      </c>
      <c r="H1000" s="5" t="e">
        <f>VLOOKUP(A1000,N$3:S$1271,5,FALSE)</f>
        <v>#N/A</v>
      </c>
      <c r="I1000" s="6">
        <f t="shared" si="61"/>
        <v>8211.8700000000008</v>
      </c>
      <c r="J1000" s="7">
        <f>VLOOKUP(A1000,[1]Sheet!B$3:G$2921,6,0)</f>
        <v>41059.35</v>
      </c>
      <c r="K1000" s="8" t="e">
        <f t="shared" si="62"/>
        <v>#N/A</v>
      </c>
      <c r="L1000" s="6">
        <f t="shared" si="63"/>
        <v>41059.35</v>
      </c>
    </row>
    <row r="1001" spans="1:12" x14ac:dyDescent="0.25">
      <c r="A1001" s="9" t="s">
        <v>1000</v>
      </c>
      <c r="B1001" s="2" t="str">
        <f>VLOOKUP(A1001,[1]Sheet!B$3:G$2921,2,0)</f>
        <v>Решітка ОРГ 400х350h, ф."ВЕНТС"</v>
      </c>
      <c r="C1001" s="3" t="str">
        <f>VLOOKUP(A1001,[1]Sheet!B$3:G$2921,3,0)</f>
        <v>шт</v>
      </c>
      <c r="D1001" s="4">
        <v>4</v>
      </c>
      <c r="E1001" s="5" t="e">
        <f>VLOOKUP(A1001,N$3:S$1271,4,FALSE)</f>
        <v>#N/A</v>
      </c>
      <c r="F1001" s="6">
        <f t="shared" si="60"/>
        <v>4</v>
      </c>
      <c r="G1001" s="7">
        <f>VLOOKUP(A1001,[1]Sheet!B$3:G$2921,5,0)</f>
        <v>547.69000000000005</v>
      </c>
      <c r="H1001" s="5" t="e">
        <f>VLOOKUP(A1001,N$3:S$1271,5,FALSE)</f>
        <v>#N/A</v>
      </c>
      <c r="I1001" s="6">
        <f t="shared" si="61"/>
        <v>547.69000000000005</v>
      </c>
      <c r="J1001" s="7">
        <f>VLOOKUP(A1001,[1]Sheet!B$3:G$2921,6,0)</f>
        <v>2190.7600000000002</v>
      </c>
      <c r="K1001" s="8" t="e">
        <f t="shared" si="62"/>
        <v>#N/A</v>
      </c>
      <c r="L1001" s="6">
        <f t="shared" si="63"/>
        <v>2190.7600000000002</v>
      </c>
    </row>
    <row r="1002" spans="1:12" x14ac:dyDescent="0.25">
      <c r="A1002" s="9" t="s">
        <v>1001</v>
      </c>
      <c r="B1002" s="2" t="str">
        <f>VLOOKUP(A1002,[1]Sheet!B$3:G$2921,2,0)</f>
        <v>Решітка ОРГ 350х350h, ф."ВЕНТС"</v>
      </c>
      <c r="C1002" s="3" t="str">
        <f>VLOOKUP(A1002,[1]Sheet!B$3:G$2921,3,0)</f>
        <v>шт</v>
      </c>
      <c r="D1002" s="4">
        <v>8</v>
      </c>
      <c r="E1002" s="5" t="e">
        <f>VLOOKUP(A1002,N$3:S$1271,4,FALSE)</f>
        <v>#N/A</v>
      </c>
      <c r="F1002" s="6">
        <f t="shared" si="60"/>
        <v>8</v>
      </c>
      <c r="G1002" s="7">
        <f>VLOOKUP(A1002,[1]Sheet!B$3:G$2921,5,0)</f>
        <v>457.49</v>
      </c>
      <c r="H1002" s="5" t="e">
        <f>VLOOKUP(A1002,N$3:S$1271,5,FALSE)</f>
        <v>#N/A</v>
      </c>
      <c r="I1002" s="6">
        <f t="shared" si="61"/>
        <v>457.49</v>
      </c>
      <c r="J1002" s="7">
        <f>VLOOKUP(A1002,[1]Sheet!B$3:G$2921,6,0)</f>
        <v>3659.92</v>
      </c>
      <c r="K1002" s="8" t="e">
        <f t="shared" si="62"/>
        <v>#N/A</v>
      </c>
      <c r="L1002" s="6">
        <f t="shared" si="63"/>
        <v>3659.92</v>
      </c>
    </row>
    <row r="1003" spans="1:12" x14ac:dyDescent="0.25">
      <c r="A1003" s="9" t="s">
        <v>1002</v>
      </c>
      <c r="B1003" s="2" t="str">
        <f>VLOOKUP(A1003,[1]Sheet!B$3:G$2921,2,0)</f>
        <v>Рукав гумовий напірний з текстильним
каркасом, з комбінованою тканиною для
внутрішнього поливального крану, Ру до 1,0
МПа,   L=5м, дiаметр 25 мм</v>
      </c>
      <c r="C1003" s="3" t="str">
        <f>VLOOKUP(A1003,[1]Sheet!B$3:G$2921,3,0)</f>
        <v>м</v>
      </c>
      <c r="D1003" s="4">
        <v>35</v>
      </c>
      <c r="E1003" s="5" t="e">
        <f>VLOOKUP(A1003,N$3:S$1271,4,FALSE)</f>
        <v>#N/A</v>
      </c>
      <c r="F1003" s="6">
        <f t="shared" si="60"/>
        <v>35</v>
      </c>
      <c r="G1003" s="7">
        <f>VLOOKUP(A1003,[1]Sheet!B$3:G$2921,5,0)</f>
        <v>124.98</v>
      </c>
      <c r="H1003" s="5" t="e">
        <f>VLOOKUP(A1003,N$3:S$1271,5,FALSE)</f>
        <v>#N/A</v>
      </c>
      <c r="I1003" s="6">
        <f t="shared" si="61"/>
        <v>124.98</v>
      </c>
      <c r="J1003" s="7">
        <f>VLOOKUP(A1003,[1]Sheet!B$3:G$2921,6,0)</f>
        <v>1874.7</v>
      </c>
      <c r="K1003" s="8" t="e">
        <f t="shared" si="62"/>
        <v>#N/A</v>
      </c>
      <c r="L1003" s="6">
        <f t="shared" si="63"/>
        <v>1874.7</v>
      </c>
    </row>
    <row r="1004" spans="1:12" x14ac:dyDescent="0.25">
      <c r="A1004" s="9" t="s">
        <v>1003</v>
      </c>
      <c r="B1004" s="2" t="str">
        <f>VLOOKUP(A1004,[1]Sheet!B$3:G$2921,2,0)</f>
        <v>Вентилятор канальний L=270 м3/год, Р=160
Па, з електродвигуном N=0,072 кВт, n=2360
об/хв СК 125 С "OSTBERG" у комплекті з   
регулятором   швидкості VRS 0,5 U</v>
      </c>
      <c r="C1004" s="3" t="str">
        <f>VLOOKUP(A1004,[1]Sheet!B$3:G$2921,3,0)</f>
        <v>шт</v>
      </c>
      <c r="D1004" s="4">
        <v>8</v>
      </c>
      <c r="E1004" s="5" t="e">
        <f>VLOOKUP(A1004,N$3:S$1271,4,FALSE)</f>
        <v>#N/A</v>
      </c>
      <c r="F1004" s="6">
        <f t="shared" si="60"/>
        <v>8</v>
      </c>
      <c r="G1004" s="7">
        <f>VLOOKUP(A1004,[1]Sheet!B$3:G$2921,5,0)</f>
        <v>3787.26</v>
      </c>
      <c r="H1004" s="5" t="e">
        <f>VLOOKUP(A1004,N$3:S$1271,5,FALSE)</f>
        <v>#N/A</v>
      </c>
      <c r="I1004" s="6">
        <f t="shared" si="61"/>
        <v>3787.26</v>
      </c>
      <c r="J1004" s="7">
        <f>VLOOKUP(A1004,[1]Sheet!B$3:G$2921,6,0)</f>
        <v>3787.26</v>
      </c>
      <c r="K1004" s="8" t="e">
        <f t="shared" si="62"/>
        <v>#N/A</v>
      </c>
      <c r="L1004" s="6">
        <f t="shared" si="63"/>
        <v>3787.26</v>
      </c>
    </row>
    <row r="1005" spans="1:12" x14ac:dyDescent="0.25">
      <c r="A1005" s="9" t="s">
        <v>1004</v>
      </c>
      <c r="B1005" s="2" t="str">
        <f>VLOOKUP(A1005,[1]Sheet!B$3:G$2921,2,0)</f>
        <v>Змiшувач для душу двухрукояточний з
підводками в роздільних отворах настінний,
з душовою сiткою на гнучкому шлангу  Зм-
ДшДРНШл</v>
      </c>
      <c r="C1005" s="3" t="str">
        <f>VLOOKUP(A1005,[1]Sheet!B$3:G$2921,3,0)</f>
        <v>комплект</v>
      </c>
      <c r="D1005" s="4">
        <v>16</v>
      </c>
      <c r="E1005" s="5" t="e">
        <f>VLOOKUP(A1005,N$3:S$1271,4,FALSE)</f>
        <v>#N/A</v>
      </c>
      <c r="F1005" s="6">
        <f t="shared" si="60"/>
        <v>16</v>
      </c>
      <c r="G1005" s="7">
        <f>VLOOKUP(A1005,[1]Sheet!B$3:G$2921,5,0)</f>
        <v>762.24</v>
      </c>
      <c r="H1005" s="5" t="e">
        <f>VLOOKUP(A1005,N$3:S$1271,5,FALSE)</f>
        <v>#N/A</v>
      </c>
      <c r="I1005" s="6">
        <f t="shared" si="61"/>
        <v>762.24</v>
      </c>
      <c r="J1005" s="7">
        <f>VLOOKUP(A1005,[1]Sheet!B$3:G$2921,6,0)</f>
        <v>12195.84</v>
      </c>
      <c r="K1005" s="8" t="e">
        <f t="shared" si="62"/>
        <v>#N/A</v>
      </c>
      <c r="L1005" s="6">
        <f t="shared" si="63"/>
        <v>12195.84</v>
      </c>
    </row>
    <row r="1006" spans="1:12" x14ac:dyDescent="0.25">
      <c r="A1006" s="9" t="s">
        <v>1005</v>
      </c>
      <c r="B1006" s="2" t="str">
        <f>VLOOKUP(A1006,[1]Sheet!B$3:G$2921,2,0)</f>
        <v>Змiшувач для умивальника,
однорукояточний центральний набортний,
злив з аератором Зм-УмОЦБА</v>
      </c>
      <c r="C1006" s="3" t="str">
        <f>VLOOKUP(A1006,[1]Sheet!B$3:G$2921,3,0)</f>
        <v>комплект</v>
      </c>
      <c r="D1006" s="4">
        <v>8</v>
      </c>
      <c r="E1006" s="5" t="e">
        <f>VLOOKUP(A1006,N$3:S$1271,4,FALSE)</f>
        <v>#N/A</v>
      </c>
      <c r="F1006" s="6">
        <f t="shared" si="60"/>
        <v>8</v>
      </c>
      <c r="G1006" s="7">
        <f>VLOOKUP(A1006,[1]Sheet!B$3:G$2921,5,0)</f>
        <v>1451.1</v>
      </c>
      <c r="H1006" s="5" t="e">
        <f>VLOOKUP(A1006,N$3:S$1271,5,FALSE)</f>
        <v>#N/A</v>
      </c>
      <c r="I1006" s="6">
        <f t="shared" si="61"/>
        <v>1451.1</v>
      </c>
      <c r="J1006" s="7">
        <f>VLOOKUP(A1006,[1]Sheet!B$3:G$2921,6,0)</f>
        <v>11608.8</v>
      </c>
      <c r="K1006" s="8" t="e">
        <f t="shared" si="62"/>
        <v>#N/A</v>
      </c>
      <c r="L1006" s="6">
        <f t="shared" si="63"/>
        <v>11608.8</v>
      </c>
    </row>
    <row r="1007" spans="1:12" x14ac:dyDescent="0.25">
      <c r="A1007" s="9" t="s">
        <v>1006</v>
      </c>
      <c r="B1007" s="2" t="str">
        <f>VLOOKUP(A1007,[1]Sheet!B$3:G$2921,2,0)</f>
        <v>Умивальник керамічний овальний другої
величини в комплекті з сифоном пляшковим
пластмасовим Ум Ов 2 вп бС</v>
      </c>
      <c r="C1007" s="3" t="str">
        <f>VLOOKUP(A1007,[1]Sheet!B$3:G$2921,3,0)</f>
        <v>комплект</v>
      </c>
      <c r="D1007" s="4">
        <v>8</v>
      </c>
      <c r="E1007" s="5" t="e">
        <f>VLOOKUP(A1007,N$3:S$1271,4,FALSE)</f>
        <v>#N/A</v>
      </c>
      <c r="F1007" s="6">
        <f t="shared" si="60"/>
        <v>8</v>
      </c>
      <c r="G1007" s="7">
        <f>VLOOKUP(A1007,[1]Sheet!B$3:G$2921,5,0)</f>
        <v>1455.02</v>
      </c>
      <c r="H1007" s="5" t="e">
        <f>VLOOKUP(A1007,N$3:S$1271,5,FALSE)</f>
        <v>#N/A</v>
      </c>
      <c r="I1007" s="6">
        <f t="shared" si="61"/>
        <v>1455.02</v>
      </c>
      <c r="J1007" s="7">
        <f>VLOOKUP(A1007,[1]Sheet!B$3:G$2921,6,0)</f>
        <v>11640.16</v>
      </c>
      <c r="K1007" s="8" t="e">
        <f t="shared" si="62"/>
        <v>#N/A</v>
      </c>
      <c r="L1007" s="6">
        <f t="shared" si="63"/>
        <v>11640.16</v>
      </c>
    </row>
    <row r="1008" spans="1:12" x14ac:dyDescent="0.25">
      <c r="A1008" s="9" t="s">
        <v>1007</v>
      </c>
      <c r="B1008" s="2" t="str">
        <f>VLOOKUP(A1008,[1]Sheet!B$3:G$2921,2,0)</f>
        <v>Унiтаз тарілчастий із суцiльновiдлитою
поличкою з косим випуском з 4-мя отворами
для кріплення до підлоги (у комплекті із  
змивним   керамічним бачком, гумовою
манжетою, арматурою кріплення) Ун ТС 2</v>
      </c>
      <c r="C1008" s="3" t="str">
        <f>VLOOKUP(A1008,[1]Sheet!B$3:G$2921,3,0)</f>
        <v>шт</v>
      </c>
      <c r="D1008" s="4">
        <v>6</v>
      </c>
      <c r="E1008" s="5" t="e">
        <f>VLOOKUP(A1008,N$3:S$1271,4,FALSE)</f>
        <v>#N/A</v>
      </c>
      <c r="F1008" s="6">
        <f t="shared" si="60"/>
        <v>6</v>
      </c>
      <c r="G1008" s="7">
        <f>VLOOKUP(A1008,[1]Sheet!B$3:G$2921,5,0)</f>
        <v>2673.04</v>
      </c>
      <c r="H1008" s="5" t="e">
        <f>VLOOKUP(A1008,N$3:S$1271,5,FALSE)</f>
        <v>#N/A</v>
      </c>
      <c r="I1008" s="6">
        <f t="shared" si="61"/>
        <v>2673.04</v>
      </c>
      <c r="J1008" s="7">
        <f>VLOOKUP(A1008,[1]Sheet!B$3:G$2921,6,0)</f>
        <v>16038.24</v>
      </c>
      <c r="K1008" s="8" t="e">
        <f t="shared" si="62"/>
        <v>#N/A</v>
      </c>
      <c r="L1008" s="6">
        <f t="shared" si="63"/>
        <v>16038.24</v>
      </c>
    </row>
    <row r="1009" spans="1:12" x14ac:dyDescent="0.25">
      <c r="A1009" s="9" t="s">
        <v>1008</v>
      </c>
      <c r="B1009" s="2" t="str">
        <f>VLOOKUP(A1009,[1]Sheet!B$3:G$2921,2,0)</f>
        <v>Фланець d=250 з &lt; 25х25х2,5</v>
      </c>
      <c r="C1009" s="3" t="str">
        <f>VLOOKUP(A1009,[1]Sheet!B$3:G$2921,3,0)</f>
        <v>шт</v>
      </c>
      <c r="D1009" s="4">
        <v>4</v>
      </c>
      <c r="E1009" s="5" t="e">
        <f>VLOOKUP(A1009,N$3:S$1271,4,FALSE)</f>
        <v>#N/A</v>
      </c>
      <c r="F1009" s="6">
        <f t="shared" si="60"/>
        <v>4</v>
      </c>
      <c r="G1009" s="7">
        <f>VLOOKUP(A1009,[1]Sheet!B$3:G$2921,5,0)</f>
        <v>58.59</v>
      </c>
      <c r="H1009" s="5" t="e">
        <f>VLOOKUP(A1009,N$3:S$1271,5,FALSE)</f>
        <v>#N/A</v>
      </c>
      <c r="I1009" s="6">
        <f t="shared" si="61"/>
        <v>58.59</v>
      </c>
      <c r="J1009" s="7">
        <f>VLOOKUP(A1009,[1]Sheet!B$3:G$2921,6,0)</f>
        <v>234.36</v>
      </c>
      <c r="K1009" s="8" t="e">
        <f t="shared" si="62"/>
        <v>#N/A</v>
      </c>
      <c r="L1009" s="6">
        <f t="shared" si="63"/>
        <v>234.36</v>
      </c>
    </row>
    <row r="1010" spans="1:12" x14ac:dyDescent="0.25">
      <c r="A1010" s="9" t="s">
        <v>1009</v>
      </c>
      <c r="B1010" s="2" t="str">
        <f>VLOOKUP(A1010,[1]Sheet!B$3:G$2921,2,0)</f>
        <v>Фланець d=400 з &lt; 25х25х2,5</v>
      </c>
      <c r="C1010" s="3" t="str">
        <f>VLOOKUP(A1010,[1]Sheet!B$3:G$2921,3,0)</f>
        <v>шт</v>
      </c>
      <c r="D1010" s="4">
        <v>4</v>
      </c>
      <c r="E1010" s="5" t="e">
        <f>VLOOKUP(A1010,N$3:S$1271,4,FALSE)</f>
        <v>#N/A</v>
      </c>
      <c r="F1010" s="6">
        <f t="shared" si="60"/>
        <v>4</v>
      </c>
      <c r="G1010" s="7">
        <f>VLOOKUP(A1010,[1]Sheet!B$3:G$2921,5,0)</f>
        <v>98.19</v>
      </c>
      <c r="H1010" s="5" t="e">
        <f>VLOOKUP(A1010,N$3:S$1271,5,FALSE)</f>
        <v>#N/A</v>
      </c>
      <c r="I1010" s="6">
        <f t="shared" si="61"/>
        <v>98.19</v>
      </c>
      <c r="J1010" s="7">
        <f>VLOOKUP(A1010,[1]Sheet!B$3:G$2921,6,0)</f>
        <v>392.76</v>
      </c>
      <c r="K1010" s="8" t="e">
        <f t="shared" si="62"/>
        <v>#N/A</v>
      </c>
      <c r="L1010" s="6">
        <f t="shared" si="63"/>
        <v>392.76</v>
      </c>
    </row>
    <row r="1011" spans="1:12" x14ac:dyDescent="0.25">
      <c r="A1011" s="9" t="s">
        <v>1010</v>
      </c>
      <c r="B1011" s="2" t="str">
        <f>VLOOKUP(A1011,[1]Sheet!B$3:G$2921,2,0)</f>
        <v>Фланцi плоскi приварнi iз сталi ВСт3сп2,
ВСт3сп3, тиск 1,0 МПа [10 кгс/см2], дiаметр
50 мм</v>
      </c>
      <c r="C1011" s="3" t="str">
        <f>VLOOKUP(A1011,[1]Sheet!B$3:G$2921,3,0)</f>
        <v>шт</v>
      </c>
      <c r="D1011" s="4">
        <v>2</v>
      </c>
      <c r="E1011" s="5" t="e">
        <f>VLOOKUP(A1011,N$3:S$1271,4,FALSE)</f>
        <v>#N/A</v>
      </c>
      <c r="F1011" s="6">
        <f t="shared" si="60"/>
        <v>2</v>
      </c>
      <c r="G1011" s="7">
        <f>VLOOKUP(A1011,[1]Sheet!B$3:G$2921,5,0)</f>
        <v>254.44</v>
      </c>
      <c r="H1011" s="5" t="e">
        <f>VLOOKUP(A1011,N$3:S$1271,5,FALSE)</f>
        <v>#N/A</v>
      </c>
      <c r="I1011" s="6">
        <f t="shared" si="61"/>
        <v>254.44</v>
      </c>
      <c r="J1011" s="7">
        <f>VLOOKUP(A1011,[1]Sheet!B$3:G$2921,6,0)</f>
        <v>508.88</v>
      </c>
      <c r="K1011" s="8" t="e">
        <f t="shared" si="62"/>
        <v>#N/A</v>
      </c>
      <c r="L1011" s="6">
        <f t="shared" si="63"/>
        <v>508.88</v>
      </c>
    </row>
    <row r="1012" spans="1:12" x14ac:dyDescent="0.25">
      <c r="A1012" s="9" t="s">
        <v>1011</v>
      </c>
      <c r="B1012" s="2" t="str">
        <f>VLOOKUP(A1012,[1]Sheet!B$3:G$2921,2,0)</f>
        <v>Фланець сталевий вільний тиск до 1,0 МПа
ГОСТ 12822-80  д= 100 мм</v>
      </c>
      <c r="C1012" s="3" t="str">
        <f>VLOOKUP(A1012,[1]Sheet!B$3:G$2921,3,0)</f>
        <v>шт</v>
      </c>
      <c r="D1012" s="4">
        <v>6</v>
      </c>
      <c r="E1012" s="5" t="e">
        <f>VLOOKUP(A1012,N$3:S$1271,4,FALSE)</f>
        <v>#N/A</v>
      </c>
      <c r="F1012" s="6">
        <f t="shared" si="60"/>
        <v>6</v>
      </c>
      <c r="G1012" s="7">
        <f>VLOOKUP(A1012,[1]Sheet!B$3:G$2921,5,0)</f>
        <v>376.44</v>
      </c>
      <c r="H1012" s="5" t="e">
        <f>VLOOKUP(A1012,N$3:S$1271,5,FALSE)</f>
        <v>#N/A</v>
      </c>
      <c r="I1012" s="6">
        <f t="shared" si="61"/>
        <v>376.44</v>
      </c>
      <c r="J1012" s="7">
        <f>VLOOKUP(A1012,[1]Sheet!B$3:G$2921,6,0)</f>
        <v>376.44</v>
      </c>
      <c r="K1012" s="8" t="e">
        <f t="shared" si="62"/>
        <v>#N/A</v>
      </c>
      <c r="L1012" s="6">
        <f t="shared" si="63"/>
        <v>376.44</v>
      </c>
    </row>
    <row r="1013" spans="1:12" x14ac:dyDescent="0.25">
      <c r="A1013" s="9" t="s">
        <v>1012</v>
      </c>
      <c r="B1013" s="2" t="str">
        <f>VLOOKUP(A1013,[1]Sheet!B$3:G$2921,2,0)</f>
        <v>Фланець сталевий плоский приварний із
з"єднувальним виступом для води, тиском
до 1,0 МПа,  дiаметр 150 мм</v>
      </c>
      <c r="C1013" s="3" t="str">
        <f>VLOOKUP(A1013,[1]Sheet!B$3:G$2921,3,0)</f>
        <v>шт</v>
      </c>
      <c r="D1013" s="4">
        <v>1</v>
      </c>
      <c r="E1013" s="5" t="e">
        <f>VLOOKUP(A1013,N$3:S$1271,4,FALSE)</f>
        <v>#N/A</v>
      </c>
      <c r="F1013" s="6">
        <f t="shared" si="60"/>
        <v>1</v>
      </c>
      <c r="G1013" s="7">
        <f>VLOOKUP(A1013,[1]Sheet!B$3:G$2921,5,0)</f>
        <v>595.79999999999995</v>
      </c>
      <c r="H1013" s="5" t="e">
        <f>VLOOKUP(A1013,N$3:S$1271,5,FALSE)</f>
        <v>#N/A</v>
      </c>
      <c r="I1013" s="6">
        <f t="shared" si="61"/>
        <v>595.79999999999995</v>
      </c>
      <c r="J1013" s="7">
        <f>VLOOKUP(A1013,[1]Sheet!B$3:G$2921,6,0)</f>
        <v>595.79999999999995</v>
      </c>
      <c r="K1013" s="8" t="e">
        <f t="shared" si="62"/>
        <v>#N/A</v>
      </c>
      <c r="L1013" s="6">
        <f t="shared" si="63"/>
        <v>595.79999999999995</v>
      </c>
    </row>
    <row r="1014" spans="1:12" x14ac:dyDescent="0.25">
      <c r="A1014" s="9" t="s">
        <v>1013</v>
      </c>
      <c r="B1014" s="2" t="str">
        <f>VLOOKUP(A1014,[1]Sheet!B$3:G$2921,2,0)</f>
        <v>Плита П1 1410х1910</v>
      </c>
      <c r="C1014" s="3" t="str">
        <f>VLOOKUP(A1014,[1]Sheet!B$3:G$2921,3,0)</f>
        <v>шт</v>
      </c>
      <c r="D1014" s="4">
        <v>4</v>
      </c>
      <c r="E1014" s="5" t="e">
        <f>VLOOKUP(A1014,N$3:S$1271,4,FALSE)</f>
        <v>#N/A</v>
      </c>
      <c r="F1014" s="6">
        <f t="shared" si="60"/>
        <v>4</v>
      </c>
      <c r="G1014" s="7">
        <f>VLOOKUP(A1014,[1]Sheet!B$3:G$2921,5,0)</f>
        <v>1508.07</v>
      </c>
      <c r="H1014" s="5" t="e">
        <f>VLOOKUP(A1014,N$3:S$1271,5,FALSE)</f>
        <v>#N/A</v>
      </c>
      <c r="I1014" s="6">
        <f t="shared" si="61"/>
        <v>1508.07</v>
      </c>
      <c r="J1014" s="7">
        <f>VLOOKUP(A1014,[1]Sheet!B$3:G$2921,6,0)</f>
        <v>6032.28</v>
      </c>
      <c r="K1014" s="8" t="e">
        <f t="shared" si="62"/>
        <v>#N/A</v>
      </c>
      <c r="L1014" s="6">
        <f t="shared" si="63"/>
        <v>6032.28</v>
      </c>
    </row>
    <row r="1015" spans="1:12" x14ac:dyDescent="0.25">
      <c r="A1015" s="9" t="s">
        <v>1014</v>
      </c>
      <c r="B1015" s="2" t="str">
        <f>VLOOKUP(A1015,[1]Sheet!B$3:G$2921,2,0)</f>
        <v>Плита П2 1410х1470</v>
      </c>
      <c r="C1015" s="3" t="str">
        <f>VLOOKUP(A1015,[1]Sheet!B$3:G$2921,3,0)</f>
        <v>шт</v>
      </c>
      <c r="D1015" s="4">
        <v>6</v>
      </c>
      <c r="E1015" s="5" t="e">
        <f>VLOOKUP(A1015,N$3:S$1271,4,FALSE)</f>
        <v>#N/A</v>
      </c>
      <c r="F1015" s="6">
        <f t="shared" si="60"/>
        <v>6</v>
      </c>
      <c r="G1015" s="7">
        <f>VLOOKUP(A1015,[1]Sheet!B$3:G$2921,5,0)</f>
        <v>1074.25</v>
      </c>
      <c r="H1015" s="5" t="e">
        <f>VLOOKUP(A1015,N$3:S$1271,5,FALSE)</f>
        <v>#N/A</v>
      </c>
      <c r="I1015" s="6">
        <f t="shared" si="61"/>
        <v>1074.25</v>
      </c>
      <c r="J1015" s="7">
        <f>VLOOKUP(A1015,[1]Sheet!B$3:G$2921,6,0)</f>
        <v>6445.5</v>
      </c>
      <c r="K1015" s="8" t="e">
        <f t="shared" si="62"/>
        <v>#N/A</v>
      </c>
      <c r="L1015" s="6">
        <f t="shared" si="63"/>
        <v>6445.5</v>
      </c>
    </row>
    <row r="1016" spans="1:12" x14ac:dyDescent="0.25">
      <c r="A1016" s="9" t="s">
        <v>1015</v>
      </c>
      <c r="B1016" s="2" t="str">
        <f>VLOOKUP(A1016,[1]Sheet!B$3:G$2921,2,0)</f>
        <v>Опори освітлення
(зворотнi матерiали)</v>
      </c>
      <c r="C1016" s="3" t="str">
        <f>VLOOKUP(A1016,[1]Sheet!B$3:G$2921,3,0)</f>
        <v>шт</v>
      </c>
      <c r="D1016" s="4">
        <v>5</v>
      </c>
      <c r="E1016" s="5" t="e">
        <f>VLOOKUP(A1016,N$3:S$1271,4,FALSE)</f>
        <v>#N/A</v>
      </c>
      <c r="F1016" s="6">
        <f t="shared" si="60"/>
        <v>5</v>
      </c>
      <c r="G1016" s="7" t="str">
        <f>VLOOKUP(A1016,[1]Sheet!B$3:G$2921,5,0)</f>
        <v xml:space="preserve">   -   </v>
      </c>
      <c r="H1016" s="5" t="e">
        <f>VLOOKUP(A1016,N$3:S$1271,5,FALSE)</f>
        <v>#N/A</v>
      </c>
      <c r="I1016" s="6" t="str">
        <f t="shared" si="61"/>
        <v xml:space="preserve">   -   </v>
      </c>
      <c r="J1016" s="7" t="str">
        <f>VLOOKUP(A1016,[1]Sheet!B$3:G$2921,6,0)</f>
        <v xml:space="preserve">   -   </v>
      </c>
      <c r="K1016" s="8" t="e">
        <f t="shared" si="62"/>
        <v>#N/A</v>
      </c>
      <c r="L1016" s="6" t="str">
        <f t="shared" si="63"/>
        <v xml:space="preserve">   -   </v>
      </c>
    </row>
    <row r="1017" spans="1:12" x14ac:dyDescent="0.25">
      <c r="A1017" s="9" t="s">
        <v>1016</v>
      </c>
      <c r="B1017" s="2" t="str">
        <f>VLOOKUP(A1017,[1]Sheet!B$3:G$2921,2,0)</f>
        <v>Сходовi схiдцi з лицьовими бетонними
поверхнями, що не потребують додаткового
опорядження СС11</v>
      </c>
      <c r="C1017" s="3" t="str">
        <f>VLOOKUP(A1017,[1]Sheet!B$3:G$2921,3,0)</f>
        <v>шт</v>
      </c>
      <c r="D1017" s="4">
        <v>11</v>
      </c>
      <c r="E1017" s="5" t="e">
        <f>VLOOKUP(A1017,N$3:S$1271,4,FALSE)</f>
        <v>#N/A</v>
      </c>
      <c r="F1017" s="6">
        <f t="shared" si="60"/>
        <v>11</v>
      </c>
      <c r="G1017" s="7">
        <f>VLOOKUP(A1017,[1]Sheet!B$3:G$2921,5,0)</f>
        <v>440.55</v>
      </c>
      <c r="H1017" s="5" t="e">
        <f>VLOOKUP(A1017,N$3:S$1271,5,FALSE)</f>
        <v>#N/A</v>
      </c>
      <c r="I1017" s="6">
        <f t="shared" si="61"/>
        <v>440.55</v>
      </c>
      <c r="J1017" s="7">
        <f>VLOOKUP(A1017,[1]Sheet!B$3:G$2921,6,0)</f>
        <v>1762.2</v>
      </c>
      <c r="K1017" s="8" t="e">
        <f t="shared" si="62"/>
        <v>#N/A</v>
      </c>
      <c r="L1017" s="6">
        <f t="shared" si="63"/>
        <v>1762.2</v>
      </c>
    </row>
    <row r="1018" spans="1:12" x14ac:dyDescent="0.25">
      <c r="A1018" s="9" t="s">
        <v>1017</v>
      </c>
      <c r="B1018" s="2" t="str">
        <f>VLOOKUP(A1018,[1]Sheet!B$3:G$2921,2,0)</f>
        <v>Пiсок природний, рядовий</v>
      </c>
      <c r="C1018" s="3" t="str">
        <f>VLOOKUP(A1018,[1]Sheet!B$3:G$2921,3,0)</f>
        <v>м3</v>
      </c>
      <c r="D1018" s="4">
        <v>0.56000000000000005</v>
      </c>
      <c r="E1018" s="5" t="e">
        <f>VLOOKUP(A1018,N$3:S$1271,4,FALSE)</f>
        <v>#N/A</v>
      </c>
      <c r="F1018" s="6">
        <f t="shared" si="60"/>
        <v>0.56000000000000005</v>
      </c>
      <c r="G1018" s="7">
        <f>VLOOKUP(A1018,[1]Sheet!B$3:G$2921,5,0)</f>
        <v>656.1</v>
      </c>
      <c r="H1018" s="5" t="e">
        <f>VLOOKUP(A1018,N$3:S$1271,5,FALSE)</f>
        <v>#N/A</v>
      </c>
      <c r="I1018" s="6">
        <f t="shared" si="61"/>
        <v>656.1</v>
      </c>
      <c r="J1018" s="7">
        <f>VLOOKUP(A1018,[1]Sheet!B$3:G$2921,6,0)</f>
        <v>367.42</v>
      </c>
      <c r="K1018" s="8" t="e">
        <f t="shared" si="62"/>
        <v>#N/A</v>
      </c>
      <c r="L1018" s="6">
        <f t="shared" si="63"/>
        <v>367.42</v>
      </c>
    </row>
    <row r="1019" spans="1:12" x14ac:dyDescent="0.25">
      <c r="A1019" s="9" t="s">
        <v>1018</v>
      </c>
      <c r="B1019" s="2" t="str">
        <f>VLOOKUP(A1019,[1]Sheet!B$3:G$2921,2,0)</f>
        <v>Сумiш пiскоцементна</v>
      </c>
      <c r="C1019" s="3" t="str">
        <f>VLOOKUP(A1019,[1]Sheet!B$3:G$2921,3,0)</f>
        <v>м3</v>
      </c>
      <c r="D1019" s="4">
        <v>16.421700000000001</v>
      </c>
      <c r="E1019" s="5" t="e">
        <f>VLOOKUP(A1019,N$3:S$1271,4,FALSE)</f>
        <v>#N/A</v>
      </c>
      <c r="F1019" s="6">
        <f t="shared" si="60"/>
        <v>16.421700000000001</v>
      </c>
      <c r="G1019" s="7">
        <f>VLOOKUP(A1019,[1]Sheet!B$3:G$2921,5,0)</f>
        <v>2199.3200000000002</v>
      </c>
      <c r="H1019" s="5" t="e">
        <f>VLOOKUP(A1019,N$3:S$1271,5,FALSE)</f>
        <v>#N/A</v>
      </c>
      <c r="I1019" s="6">
        <f t="shared" si="61"/>
        <v>2199.3200000000002</v>
      </c>
      <c r="J1019" s="7">
        <f>VLOOKUP(A1019,[1]Sheet!B$3:G$2921,6,0)</f>
        <v>26037.53</v>
      </c>
      <c r="K1019" s="8" t="e">
        <f t="shared" si="62"/>
        <v>#N/A</v>
      </c>
      <c r="L1019" s="6">
        <f t="shared" si="63"/>
        <v>26037.53</v>
      </c>
    </row>
    <row r="1020" spans="1:12" x14ac:dyDescent="0.25">
      <c r="A1020" s="9" t="s">
        <v>1019</v>
      </c>
      <c r="B1020" s="2" t="str">
        <f>VLOOKUP(A1020,[1]Sheet!B$3:G$2921,2,0)</f>
        <v>Дрібна крошка газобетону</v>
      </c>
      <c r="C1020" s="3" t="str">
        <f>VLOOKUP(A1020,[1]Sheet!B$3:G$2921,3,0)</f>
        <v>м3</v>
      </c>
      <c r="D1020" s="4">
        <v>138.63800000000001</v>
      </c>
      <c r="E1020" s="5" t="e">
        <f>VLOOKUP(A1020,N$3:S$1271,4,FALSE)</f>
        <v>#N/A</v>
      </c>
      <c r="F1020" s="6">
        <f t="shared" si="60"/>
        <v>138.63800000000001</v>
      </c>
      <c r="G1020" s="7">
        <f>VLOOKUP(A1020,[1]Sheet!B$3:G$2921,5,0)</f>
        <v>1784.45</v>
      </c>
      <c r="H1020" s="5" t="e">
        <f>VLOOKUP(A1020,N$3:S$1271,5,FALSE)</f>
        <v>#N/A</v>
      </c>
      <c r="I1020" s="6">
        <f t="shared" si="61"/>
        <v>1784.45</v>
      </c>
      <c r="J1020" s="7">
        <f>VLOOKUP(A1020,[1]Sheet!B$3:G$2921,6,0)</f>
        <v>219822.83</v>
      </c>
      <c r="K1020" s="8" t="e">
        <f t="shared" si="62"/>
        <v>#N/A</v>
      </c>
      <c r="L1020" s="6">
        <f t="shared" si="63"/>
        <v>219822.83</v>
      </c>
    </row>
    <row r="1021" spans="1:12" x14ac:dyDescent="0.25">
      <c r="A1021" s="9" t="s">
        <v>1020</v>
      </c>
      <c r="B1021" s="2" t="str">
        <f>VLOOKUP(A1021,[1]Sheet!B$3:G$2921,2,0)</f>
        <v>Сумiшi асфальтобетоннi гарячi i теплi
[асфальтобетон щiльний]
(дорожнi)(аеродромнi), що застосовуються у
верхнiх шарах покриттiв, дрiбнозернистi,
тип Б, марка 1</v>
      </c>
      <c r="C1021" s="3" t="str">
        <f>VLOOKUP(A1021,[1]Sheet!B$3:G$2921,3,0)</f>
        <v>т</v>
      </c>
      <c r="D1021" s="4">
        <v>41.279400000000003</v>
      </c>
      <c r="E1021" s="5" t="e">
        <f>VLOOKUP(A1021,N$3:S$1271,4,FALSE)</f>
        <v>#N/A</v>
      </c>
      <c r="F1021" s="6">
        <f t="shared" si="60"/>
        <v>41.279400000000003</v>
      </c>
      <c r="G1021" s="7">
        <f>VLOOKUP(A1021,[1]Sheet!B$3:G$2921,5,0)</f>
        <v>3158.44</v>
      </c>
      <c r="H1021" s="5" t="e">
        <f>VLOOKUP(A1021,N$3:S$1271,5,FALSE)</f>
        <v>#N/A</v>
      </c>
      <c r="I1021" s="6">
        <f t="shared" si="61"/>
        <v>3158.44</v>
      </c>
      <c r="J1021" s="7">
        <f>VLOOKUP(A1021,[1]Sheet!B$3:G$2921,6,0)</f>
        <v>93942.11</v>
      </c>
      <c r="K1021" s="8" t="e">
        <f t="shared" si="62"/>
        <v>#N/A</v>
      </c>
      <c r="L1021" s="6">
        <f t="shared" si="63"/>
        <v>93942.11</v>
      </c>
    </row>
    <row r="1022" spans="1:12" x14ac:dyDescent="0.25">
      <c r="A1022" s="9" t="s">
        <v>1021</v>
      </c>
      <c r="B1022" s="2" t="str">
        <f>VLOOKUP(A1022,[1]Sheet!B$3:G$2921,2,0)</f>
        <v>Сумiшi асфальтобетоннi гарячi i теплi
[асфальтобетон щiльний]
(дорожнi)(аеродромнi), що застосовуються у
нижнiх шарах покриттiв, крупнозернистi, тип
А, марка 1</v>
      </c>
      <c r="C1022" s="3" t="str">
        <f>VLOOKUP(A1022,[1]Sheet!B$3:G$2921,3,0)</f>
        <v>т</v>
      </c>
      <c r="D1022" s="4">
        <v>82.38839999999999</v>
      </c>
      <c r="E1022" s="5" t="e">
        <f>VLOOKUP(A1022,N$3:S$1271,4,FALSE)</f>
        <v>#N/A</v>
      </c>
      <c r="F1022" s="6">
        <f t="shared" si="60"/>
        <v>82.38839999999999</v>
      </c>
      <c r="G1022" s="7">
        <f>VLOOKUP(A1022,[1]Sheet!B$3:G$2921,5,0)</f>
        <v>2873.26</v>
      </c>
      <c r="H1022" s="5" t="e">
        <f>VLOOKUP(A1022,N$3:S$1271,5,FALSE)</f>
        <v>#N/A</v>
      </c>
      <c r="I1022" s="6">
        <f t="shared" si="61"/>
        <v>2873.26</v>
      </c>
      <c r="J1022" s="7">
        <f>VLOOKUP(A1022,[1]Sheet!B$3:G$2921,6,0)</f>
        <v>128248.53</v>
      </c>
      <c r="K1022" s="8" t="e">
        <f t="shared" si="62"/>
        <v>#N/A</v>
      </c>
      <c r="L1022" s="6">
        <f t="shared" si="63"/>
        <v>128248.53</v>
      </c>
    </row>
    <row r="1023" spans="1:12" x14ac:dyDescent="0.25">
      <c r="A1023" s="9" t="s">
        <v>1022</v>
      </c>
      <c r="B1023" s="2" t="str">
        <f>VLOOKUP(A1023,[1]Sheet!B$3:G$2921,2,0)</f>
        <v>Цегла керамiчна одинарна повнотiла,
розмiри 250х120х65 мм, марка М100</v>
      </c>
      <c r="C1023" s="3" t="str">
        <f>VLOOKUP(A1023,[1]Sheet!B$3:G$2921,3,0)</f>
        <v>1000шт</v>
      </c>
      <c r="D1023" s="4">
        <v>1.585</v>
      </c>
      <c r="E1023" s="5" t="e">
        <f>VLOOKUP(A1023,N$3:S$1271,4,FALSE)</f>
        <v>#N/A</v>
      </c>
      <c r="F1023" s="6">
        <f t="shared" si="60"/>
        <v>1.585</v>
      </c>
      <c r="G1023" s="7">
        <f>VLOOKUP(A1023,[1]Sheet!B$3:G$2921,5,0)</f>
        <v>5815.15</v>
      </c>
      <c r="H1023" s="5" t="e">
        <f>VLOOKUP(A1023,N$3:S$1271,5,FALSE)</f>
        <v>#N/A</v>
      </c>
      <c r="I1023" s="6">
        <f t="shared" si="61"/>
        <v>5815.15</v>
      </c>
      <c r="J1023" s="7">
        <f>VLOOKUP(A1023,[1]Sheet!B$3:G$2921,6,0)</f>
        <v>5742.46</v>
      </c>
      <c r="K1023" s="8" t="e">
        <f t="shared" si="62"/>
        <v>#N/A</v>
      </c>
      <c r="L1023" s="6">
        <f t="shared" si="63"/>
        <v>5742.46</v>
      </c>
    </row>
    <row r="1024" spans="1:12" x14ac:dyDescent="0.25">
      <c r="A1024" s="9" t="s">
        <v>1023</v>
      </c>
      <c r="B1024" s="2" t="str">
        <f>VLOOKUP(A1024,[1]Sheet!B$3:G$2921,2,0)</f>
        <v>Цегла силiкатна одинарна повнотiла
лицьова незабарвлена, розмiри 250х120х65
мм, марка М100</v>
      </c>
      <c r="C1024" s="3" t="str">
        <f>VLOOKUP(A1024,[1]Sheet!B$3:G$2921,3,0)</f>
        <v>1000шт</v>
      </c>
      <c r="D1024" s="4">
        <v>5.1219999999999999</v>
      </c>
      <c r="E1024" s="5" t="e">
        <f>VLOOKUP(A1024,N$3:S$1271,4,FALSE)</f>
        <v>#N/A</v>
      </c>
      <c r="F1024" s="6">
        <f t="shared" si="60"/>
        <v>5.1219999999999999</v>
      </c>
      <c r="G1024" s="7">
        <f>VLOOKUP(A1024,[1]Sheet!B$3:G$2921,5,0)</f>
        <v>6052.75</v>
      </c>
      <c r="H1024" s="5" t="e">
        <f>VLOOKUP(A1024,N$3:S$1271,5,FALSE)</f>
        <v>#N/A</v>
      </c>
      <c r="I1024" s="6">
        <f t="shared" si="61"/>
        <v>6052.75</v>
      </c>
      <c r="J1024" s="7">
        <f>VLOOKUP(A1024,[1]Sheet!B$3:G$2921,6,0)</f>
        <v>7154.35</v>
      </c>
      <c r="K1024" s="8" t="e">
        <f t="shared" si="62"/>
        <v>#N/A</v>
      </c>
      <c r="L1024" s="6">
        <f t="shared" si="63"/>
        <v>7154.35</v>
      </c>
    </row>
    <row r="1025" spans="1:12" x14ac:dyDescent="0.25">
      <c r="A1025" s="9" t="s">
        <v>1024</v>
      </c>
      <c r="B1025" s="2" t="str">
        <f>VLOOKUP(A1025,[1]Sheet!B$3:G$2921,2,0)</f>
        <v>Сумiшi бетоннi готовi важкi, клас бетону В7,
5 [М100], крупнiсть заповнювача бiльше 40
мм</v>
      </c>
      <c r="C1025" s="3" t="str">
        <f>VLOOKUP(A1025,[1]Sheet!B$3:G$2921,3,0)</f>
        <v>м3</v>
      </c>
      <c r="D1025" s="4">
        <v>0.40800000000000003</v>
      </c>
      <c r="E1025" s="5" t="e">
        <f>VLOOKUP(A1025,N$3:S$1271,4,FALSE)</f>
        <v>#N/A</v>
      </c>
      <c r="F1025" s="6">
        <f t="shared" si="60"/>
        <v>0.40800000000000003</v>
      </c>
      <c r="G1025" s="7">
        <f>VLOOKUP(A1025,[1]Sheet!B$3:G$2921,5,0)</f>
        <v>2464.86</v>
      </c>
      <c r="H1025" s="5" t="e">
        <f>VLOOKUP(A1025,N$3:S$1271,5,FALSE)</f>
        <v>#N/A</v>
      </c>
      <c r="I1025" s="6">
        <f t="shared" si="61"/>
        <v>2464.86</v>
      </c>
      <c r="J1025" s="7">
        <f>VLOOKUP(A1025,[1]Sheet!B$3:G$2921,6,0)</f>
        <v>1005.66</v>
      </c>
      <c r="K1025" s="8" t="e">
        <f t="shared" si="62"/>
        <v>#N/A</v>
      </c>
      <c r="L1025" s="6">
        <f t="shared" si="63"/>
        <v>1005.66</v>
      </c>
    </row>
    <row r="1026" spans="1:12" x14ac:dyDescent="0.25">
      <c r="A1026" s="9" t="s">
        <v>1025</v>
      </c>
      <c r="B1026" s="2" t="str">
        <f>VLOOKUP(A1026,[1]Sheet!B$3:G$2921,2,0)</f>
        <v>Сумiшi бетоннi готовi важкi, клас бетону В15
[М200], крупнiсть заповнювача бiльше 40 мм</v>
      </c>
      <c r="C1026" s="3" t="str">
        <f>VLOOKUP(A1026,[1]Sheet!B$3:G$2921,3,0)</f>
        <v>м3</v>
      </c>
      <c r="D1026" s="4">
        <v>13.831</v>
      </c>
      <c r="E1026" s="5" t="e">
        <f>VLOOKUP(A1026,N$3:S$1271,4,FALSE)</f>
        <v>#N/A</v>
      </c>
      <c r="F1026" s="6">
        <f t="shared" ref="F1026:F1089" si="64">IFERROR(D1026-E1026,D1026)</f>
        <v>13.831</v>
      </c>
      <c r="G1026" s="7">
        <f>VLOOKUP(A1026,[1]Sheet!B$3:G$2921,5,0)</f>
        <v>2863.04</v>
      </c>
      <c r="H1026" s="5" t="e">
        <f>VLOOKUP(A1026,N$3:S$1271,5,FALSE)</f>
        <v>#N/A</v>
      </c>
      <c r="I1026" s="6">
        <f t="shared" ref="I1026:I1089" si="65">IFERROR(G1026-H1026,G1026)</f>
        <v>2863.04</v>
      </c>
      <c r="J1026" s="7">
        <f>VLOOKUP(A1026,[1]Sheet!B$3:G$2921,6,0)</f>
        <v>6459.02</v>
      </c>
      <c r="K1026" s="8" t="e">
        <f t="shared" ref="K1026:K1089" si="66">VLOOKUP(A1026,N$3:S$1271,6,FALSE)</f>
        <v>#N/A</v>
      </c>
      <c r="L1026" s="6">
        <f t="shared" ref="L1026:L1089" si="67">IFERROR(J1026-K1026,J1026)</f>
        <v>6459.02</v>
      </c>
    </row>
    <row r="1027" spans="1:12" x14ac:dyDescent="0.25">
      <c r="A1027" s="9" t="s">
        <v>1026</v>
      </c>
      <c r="B1027" s="2" t="str">
        <f>VLOOKUP(A1027,[1]Sheet!B$3:G$2921,2,0)</f>
        <v>Сумiшi бетоннi готовi важкi, клас бетону В7,
5 [М100], крупнiсть заповнювача бiльше 10
до 20 мм</v>
      </c>
      <c r="C1027" s="3" t="str">
        <f>VLOOKUP(A1027,[1]Sheet!B$3:G$2921,3,0)</f>
        <v>м3</v>
      </c>
      <c r="D1027" s="4">
        <v>1.9074</v>
      </c>
      <c r="E1027" s="5" t="e">
        <f>VLOOKUP(A1027,N$3:S$1271,4,FALSE)</f>
        <v>#N/A</v>
      </c>
      <c r="F1027" s="6">
        <f t="shared" si="64"/>
        <v>1.9074</v>
      </c>
      <c r="G1027" s="7">
        <f>VLOOKUP(A1027,[1]Sheet!B$3:G$2921,5,0)</f>
        <v>2464.86</v>
      </c>
      <c r="H1027" s="5" t="e">
        <f>VLOOKUP(A1027,N$3:S$1271,5,FALSE)</f>
        <v>#N/A</v>
      </c>
      <c r="I1027" s="6">
        <f t="shared" si="65"/>
        <v>2464.86</v>
      </c>
      <c r="J1027" s="7">
        <f>VLOOKUP(A1027,[1]Sheet!B$3:G$2921,6,0)</f>
        <v>804.53</v>
      </c>
      <c r="K1027" s="8" t="e">
        <f t="shared" si="66"/>
        <v>#N/A</v>
      </c>
      <c r="L1027" s="6">
        <f t="shared" si="67"/>
        <v>804.53</v>
      </c>
    </row>
    <row r="1028" spans="1:12" x14ac:dyDescent="0.25">
      <c r="A1028" s="9" t="s">
        <v>1027</v>
      </c>
      <c r="B1028" s="2" t="str">
        <f>VLOOKUP(A1028,[1]Sheet!B$3:G$2921,2,0)</f>
        <v>Сумiшi бетоннi готовi важкi, клас бетону В10
[М150], крупнiсть заповнювача бiльше 10 до
20 мм</v>
      </c>
      <c r="C1028" s="3" t="str">
        <f>VLOOKUP(A1028,[1]Sheet!B$3:G$2921,3,0)</f>
        <v>м3</v>
      </c>
      <c r="D1028" s="4">
        <v>0.44879999999999998</v>
      </c>
      <c r="E1028" s="5" t="e">
        <f>VLOOKUP(A1028,N$3:S$1271,4,FALSE)</f>
        <v>#N/A</v>
      </c>
      <c r="F1028" s="6">
        <f t="shared" si="64"/>
        <v>0.44879999999999998</v>
      </c>
      <c r="G1028" s="7">
        <f>VLOOKUP(A1028,[1]Sheet!B$3:G$2921,5,0)</f>
        <v>2675.31</v>
      </c>
      <c r="H1028" s="5" t="e">
        <f>VLOOKUP(A1028,N$3:S$1271,5,FALSE)</f>
        <v>#N/A</v>
      </c>
      <c r="I1028" s="6">
        <f t="shared" si="65"/>
        <v>2675.31</v>
      </c>
      <c r="J1028" s="7">
        <f>VLOOKUP(A1028,[1]Sheet!B$3:G$2921,6,0)</f>
        <v>654.91999999999996</v>
      </c>
      <c r="K1028" s="8" t="e">
        <f t="shared" si="66"/>
        <v>#N/A</v>
      </c>
      <c r="L1028" s="6">
        <f t="shared" si="67"/>
        <v>654.91999999999996</v>
      </c>
    </row>
    <row r="1029" spans="1:12" x14ac:dyDescent="0.25">
      <c r="A1029" s="9" t="s">
        <v>1028</v>
      </c>
      <c r="B1029" s="2" t="str">
        <f>VLOOKUP(A1029,[1]Sheet!B$3:G$2921,2,0)</f>
        <v>Сумiшi бетоннi готовi важкi, клас бетону В20
[М250], крупнiсть заповнювача 10 мм i
менше</v>
      </c>
      <c r="C1029" s="3" t="str">
        <f>VLOOKUP(A1029,[1]Sheet!B$3:G$2921,3,0)</f>
        <v>м3</v>
      </c>
      <c r="D1029" s="4">
        <v>0.42993000000000003</v>
      </c>
      <c r="E1029" s="5" t="e">
        <f>VLOOKUP(A1029,N$3:S$1271,4,FALSE)</f>
        <v>#N/A</v>
      </c>
      <c r="F1029" s="6">
        <f t="shared" si="64"/>
        <v>0.42993000000000003</v>
      </c>
      <c r="G1029" s="7">
        <f>VLOOKUP(A1029,[1]Sheet!B$3:G$2921,5,0)</f>
        <v>2934.96</v>
      </c>
      <c r="H1029" s="5" t="e">
        <f>VLOOKUP(A1029,N$3:S$1271,5,FALSE)</f>
        <v>#N/A</v>
      </c>
      <c r="I1029" s="6">
        <f t="shared" si="65"/>
        <v>2934.96</v>
      </c>
      <c r="J1029" s="7">
        <f>VLOOKUP(A1029,[1]Sheet!B$3:G$2921,6,0)</f>
        <v>1261.83</v>
      </c>
      <c r="K1029" s="8" t="e">
        <f t="shared" si="66"/>
        <v>#N/A</v>
      </c>
      <c r="L1029" s="6">
        <f t="shared" si="67"/>
        <v>1261.83</v>
      </c>
    </row>
    <row r="1030" spans="1:12" x14ac:dyDescent="0.25">
      <c r="A1030" s="9" t="s">
        <v>1029</v>
      </c>
      <c r="B1030" s="2" t="str">
        <f>VLOOKUP(A1030,[1]Sheet!B$3:G$2921,2,0)</f>
        <v>Розчин готовий кладковий важкий
цементний, марка М75</v>
      </c>
      <c r="C1030" s="3" t="str">
        <f>VLOOKUP(A1030,[1]Sheet!B$3:G$2921,3,0)</f>
        <v>м3</v>
      </c>
      <c r="D1030" s="4">
        <v>4.08</v>
      </c>
      <c r="E1030" s="5" t="e">
        <f>VLOOKUP(A1030,N$3:S$1271,4,FALSE)</f>
        <v>#N/A</v>
      </c>
      <c r="F1030" s="6">
        <f t="shared" si="64"/>
        <v>4.08</v>
      </c>
      <c r="G1030" s="7">
        <f>VLOOKUP(A1030,[1]Sheet!B$3:G$2921,5,0)</f>
        <v>2186.92</v>
      </c>
      <c r="H1030" s="5" t="e">
        <f>VLOOKUP(A1030,N$3:S$1271,5,FALSE)</f>
        <v>#N/A</v>
      </c>
      <c r="I1030" s="6">
        <f t="shared" si="65"/>
        <v>2186.92</v>
      </c>
      <c r="J1030" s="7">
        <f>VLOOKUP(A1030,[1]Sheet!B$3:G$2921,6,0)</f>
        <v>1312.15</v>
      </c>
      <c r="K1030" s="8" t="e">
        <f t="shared" si="66"/>
        <v>#N/A</v>
      </c>
      <c r="L1030" s="6">
        <f t="shared" si="67"/>
        <v>1312.15</v>
      </c>
    </row>
    <row r="1031" spans="1:12" x14ac:dyDescent="0.25">
      <c r="A1031" s="9" t="s">
        <v>1030</v>
      </c>
      <c r="B1031" s="2" t="str">
        <f>VLOOKUP(A1031,[1]Sheet!B$3:G$2921,2,0)</f>
        <v>Розчин готовий кладковий важкий
цементний, марка М200</v>
      </c>
      <c r="C1031" s="3" t="str">
        <f>VLOOKUP(A1031,[1]Sheet!B$3:G$2921,3,0)</f>
        <v>м3</v>
      </c>
      <c r="D1031" s="4">
        <v>4.6308000000000002E-2</v>
      </c>
      <c r="E1031" s="5" t="e">
        <f>VLOOKUP(A1031,N$3:S$1271,4,FALSE)</f>
        <v>#N/A</v>
      </c>
      <c r="F1031" s="6">
        <f t="shared" si="64"/>
        <v>4.6308000000000002E-2</v>
      </c>
      <c r="G1031" s="7">
        <f>VLOOKUP(A1031,[1]Sheet!B$3:G$2921,5,0)</f>
        <v>2381.52</v>
      </c>
      <c r="H1031" s="5" t="e">
        <f>VLOOKUP(A1031,N$3:S$1271,5,FALSE)</f>
        <v>#N/A</v>
      </c>
      <c r="I1031" s="6">
        <f t="shared" si="65"/>
        <v>2381.52</v>
      </c>
      <c r="J1031" s="7">
        <f>VLOOKUP(A1031,[1]Sheet!B$3:G$2921,6,0)</f>
        <v>97.17</v>
      </c>
      <c r="K1031" s="8" t="e">
        <f t="shared" si="66"/>
        <v>#N/A</v>
      </c>
      <c r="L1031" s="6">
        <f t="shared" si="67"/>
        <v>97.17</v>
      </c>
    </row>
    <row r="1032" spans="1:12" x14ac:dyDescent="0.25">
      <c r="A1032" s="9" t="s">
        <v>1031</v>
      </c>
      <c r="B1032" s="2" t="str">
        <f>VLOOKUP(A1032,[1]Sheet!B$3:G$2921,2,0)</f>
        <v>Розчин мурувальний важкий цементний,
марка М400</v>
      </c>
      <c r="C1032" s="3" t="str">
        <f>VLOOKUP(A1032,[1]Sheet!B$3:G$2921,3,0)</f>
        <v>м3</v>
      </c>
      <c r="D1032" s="4">
        <v>0.59007000000000009</v>
      </c>
      <c r="E1032" s="5" t="e">
        <f>VLOOKUP(A1032,N$3:S$1271,4,FALSE)</f>
        <v>#N/A</v>
      </c>
      <c r="F1032" s="6">
        <f t="shared" si="64"/>
        <v>0.59007000000000009</v>
      </c>
      <c r="G1032" s="7">
        <f>VLOOKUP(A1032,[1]Sheet!B$3:G$2921,5,0)</f>
        <v>3434.14</v>
      </c>
      <c r="H1032" s="5" t="e">
        <f>VLOOKUP(A1032,N$3:S$1271,5,FALSE)</f>
        <v>#N/A</v>
      </c>
      <c r="I1032" s="6">
        <f t="shared" si="65"/>
        <v>3434.14</v>
      </c>
      <c r="J1032" s="7">
        <f>VLOOKUP(A1032,[1]Sheet!B$3:G$2921,6,0)</f>
        <v>2026.38</v>
      </c>
      <c r="K1032" s="8" t="e">
        <f t="shared" si="66"/>
        <v>#N/A</v>
      </c>
      <c r="L1032" s="6">
        <f t="shared" si="67"/>
        <v>2026.38</v>
      </c>
    </row>
    <row r="1033" spans="1:12" x14ac:dyDescent="0.25">
      <c r="A1033" s="9" t="s">
        <v>1032</v>
      </c>
      <c r="B1033" s="2" t="str">
        <f>VLOOKUP(A1033,[1]Sheet!B$3:G$2921,2,0)</f>
        <v>Дрібнорозмірна тротуарна плитка Н=0,06м</v>
      </c>
      <c r="C1033" s="3" t="str">
        <f>VLOOKUP(A1033,[1]Sheet!B$3:G$2921,3,0)</f>
        <v>м2</v>
      </c>
      <c r="D1033" s="4">
        <v>187.86</v>
      </c>
      <c r="E1033" s="5" t="e">
        <f>VLOOKUP(A1033,N$3:S$1271,4,FALSE)</f>
        <v>#N/A</v>
      </c>
      <c r="F1033" s="6">
        <f t="shared" si="64"/>
        <v>187.86</v>
      </c>
      <c r="G1033" s="7">
        <f>VLOOKUP(A1033,[1]Sheet!B$3:G$2921,5,0)</f>
        <v>265.05</v>
      </c>
      <c r="H1033" s="5" t="e">
        <f>VLOOKUP(A1033,N$3:S$1271,5,FALSE)</f>
        <v>#N/A</v>
      </c>
      <c r="I1033" s="6">
        <f t="shared" si="65"/>
        <v>265.05</v>
      </c>
      <c r="J1033" s="7">
        <f>VLOOKUP(A1033,[1]Sheet!B$3:G$2921,6,0)</f>
        <v>49792.29</v>
      </c>
      <c r="K1033" s="8" t="e">
        <f t="shared" si="66"/>
        <v>#N/A</v>
      </c>
      <c r="L1033" s="6">
        <f t="shared" si="67"/>
        <v>49792.29</v>
      </c>
    </row>
    <row r="1034" spans="1:12" x14ac:dyDescent="0.25">
      <c r="A1034" s="9" t="s">
        <v>1033</v>
      </c>
      <c r="B1034" s="2" t="str">
        <f>VLOOKUP(A1034,[1]Sheet!B$3:G$2921,2,0)</f>
        <v>Блоки газобетонні</v>
      </c>
      <c r="C1034" s="3" t="str">
        <f>VLOOKUP(A1034,[1]Sheet!B$3:G$2921,3,0)</f>
        <v>м3</v>
      </c>
      <c r="D1034" s="4">
        <v>33.304000000000002</v>
      </c>
      <c r="E1034" s="5" t="e">
        <f>VLOOKUP(A1034,N$3:S$1271,4,FALSE)</f>
        <v>#N/A</v>
      </c>
      <c r="F1034" s="6">
        <f t="shared" si="64"/>
        <v>33.304000000000002</v>
      </c>
      <c r="G1034" s="7">
        <f>VLOOKUP(A1034,[1]Sheet!B$3:G$2921,5,0)</f>
        <v>1319.39</v>
      </c>
      <c r="H1034" s="5" t="e">
        <f>VLOOKUP(A1034,N$3:S$1271,5,FALSE)</f>
        <v>#N/A</v>
      </c>
      <c r="I1034" s="6">
        <f t="shared" si="65"/>
        <v>1319.39</v>
      </c>
      <c r="J1034" s="7">
        <f>VLOOKUP(A1034,[1]Sheet!B$3:G$2921,6,0)</f>
        <v>39085.61</v>
      </c>
      <c r="K1034" s="8" t="e">
        <f t="shared" si="66"/>
        <v>#N/A</v>
      </c>
      <c r="L1034" s="6">
        <f t="shared" si="67"/>
        <v>39085.61</v>
      </c>
    </row>
    <row r="1035" spans="1:12" x14ac:dyDescent="0.25">
      <c r="A1035" s="9" t="s">
        <v>1034</v>
      </c>
      <c r="B1035" s="2" t="str">
        <f>VLOOKUP(A1035,[1]Sheet!B$3:G$2921,2,0)</f>
        <v>Листи гiпсокартоннi, товщина 12 мм</v>
      </c>
      <c r="C1035" s="3" t="str">
        <f>VLOOKUP(A1035,[1]Sheet!B$3:G$2921,3,0)</f>
        <v>м2</v>
      </c>
      <c r="D1035" s="4">
        <v>23.52</v>
      </c>
      <c r="E1035" s="5" t="e">
        <f>VLOOKUP(A1035,N$3:S$1271,4,FALSE)</f>
        <v>#N/A</v>
      </c>
      <c r="F1035" s="6">
        <f t="shared" si="64"/>
        <v>23.52</v>
      </c>
      <c r="G1035" s="7">
        <f>VLOOKUP(A1035,[1]Sheet!B$3:G$2921,5,0)</f>
        <v>100.25</v>
      </c>
      <c r="H1035" s="5" t="e">
        <f>VLOOKUP(A1035,N$3:S$1271,5,FALSE)</f>
        <v>#N/A</v>
      </c>
      <c r="I1035" s="6">
        <f t="shared" si="65"/>
        <v>100.25</v>
      </c>
      <c r="J1035" s="7">
        <f>VLOOKUP(A1035,[1]Sheet!B$3:G$2921,6,0)</f>
        <v>1494.73</v>
      </c>
      <c r="K1035" s="8" t="e">
        <f t="shared" si="66"/>
        <v>#N/A</v>
      </c>
      <c r="L1035" s="6">
        <f t="shared" si="67"/>
        <v>1494.73</v>
      </c>
    </row>
    <row r="1036" spans="1:12" x14ac:dyDescent="0.25">
      <c r="A1036" s="9" t="s">
        <v>1035</v>
      </c>
      <c r="B1036" s="2" t="str">
        <f>VLOOKUP(A1036,[1]Sheet!B$3:G$2921,2,0)</f>
        <v>Настановна коробка для клавішних
вимикачів, прихованого монтажу</v>
      </c>
      <c r="C1036" s="3" t="str">
        <f>VLOOKUP(A1036,[1]Sheet!B$3:G$2921,3,0)</f>
        <v>шт</v>
      </c>
      <c r="D1036" s="4">
        <v>46</v>
      </c>
      <c r="E1036" s="5" t="e">
        <f>VLOOKUP(A1036,N$3:S$1271,4,FALSE)</f>
        <v>#N/A</v>
      </c>
      <c r="F1036" s="6">
        <f t="shared" si="64"/>
        <v>46</v>
      </c>
      <c r="G1036" s="7">
        <f>VLOOKUP(A1036,[1]Sheet!B$3:G$2921,5,0)</f>
        <v>3.77</v>
      </c>
      <c r="H1036" s="5" t="e">
        <f>VLOOKUP(A1036,N$3:S$1271,5,FALSE)</f>
        <v>#N/A</v>
      </c>
      <c r="I1036" s="6">
        <f t="shared" si="65"/>
        <v>3.77</v>
      </c>
      <c r="J1036" s="7">
        <f>VLOOKUP(A1036,[1]Sheet!B$3:G$2921,6,0)</f>
        <v>173.42</v>
      </c>
      <c r="K1036" s="8" t="e">
        <f t="shared" si="66"/>
        <v>#N/A</v>
      </c>
      <c r="L1036" s="6">
        <f t="shared" si="67"/>
        <v>173.42</v>
      </c>
    </row>
    <row r="1037" spans="1:12" x14ac:dyDescent="0.25">
      <c r="A1037" s="9" t="s">
        <v>1036</v>
      </c>
      <c r="B1037" s="2" t="str">
        <f>VLOOKUP(A1037,[1]Sheet!B$3:G$2921,2,0)</f>
        <v>Кабель силовий з алюмінієвими жилами з
ПВХ ізоляцією, броньований, зовнішній
покрив шланг з ПВХ пластику. ТУМИ 344-
74_ перерiзом 4х50 мм2 АВБбШв-1 кВ</v>
      </c>
      <c r="C1037" s="3" t="str">
        <f>VLOOKUP(A1037,[1]Sheet!B$3:G$2921,3,0)</f>
        <v>1000м</v>
      </c>
      <c r="D1037" s="4">
        <v>7.5480000000000019E-2</v>
      </c>
      <c r="E1037" s="5" t="e">
        <f>VLOOKUP(A1037,N$3:S$1271,4,FALSE)</f>
        <v>#N/A</v>
      </c>
      <c r="F1037" s="6">
        <f t="shared" si="64"/>
        <v>7.5480000000000019E-2</v>
      </c>
      <c r="G1037" s="7">
        <f>VLOOKUP(A1037,[1]Sheet!B$3:G$2921,5,0)</f>
        <v>44655.01</v>
      </c>
      <c r="H1037" s="5" t="e">
        <f>VLOOKUP(A1037,N$3:S$1271,5,FALSE)</f>
        <v>#N/A</v>
      </c>
      <c r="I1037" s="6">
        <f t="shared" si="65"/>
        <v>44655.01</v>
      </c>
      <c r="J1037" s="7">
        <f>VLOOKUP(A1037,[1]Sheet!B$3:G$2921,6,0)</f>
        <v>3370.56</v>
      </c>
      <c r="K1037" s="8" t="e">
        <f t="shared" si="66"/>
        <v>#N/A</v>
      </c>
      <c r="L1037" s="6">
        <f t="shared" si="67"/>
        <v>3370.56</v>
      </c>
    </row>
    <row r="1038" spans="1:12" x14ac:dyDescent="0.25">
      <c r="A1038" s="9" t="s">
        <v>1037</v>
      </c>
      <c r="B1038" s="2" t="str">
        <f>VLOOKUP(A1038,[1]Sheet!B$3:G$2921,2,0)</f>
        <v>Огорожа з анодованрго алюмінію системи
"Круг" ф. "LIZARD" (Н=0,93м)</v>
      </c>
      <c r="C1038" s="3" t="str">
        <f>VLOOKUP(A1038,[1]Sheet!B$3:G$2921,3,0)</f>
        <v>м</v>
      </c>
      <c r="D1038" s="4">
        <v>62.27</v>
      </c>
      <c r="E1038" s="5" t="e">
        <f>VLOOKUP(A1038,N$3:S$1271,4,FALSE)</f>
        <v>#N/A</v>
      </c>
      <c r="F1038" s="6">
        <f t="shared" si="64"/>
        <v>62.27</v>
      </c>
      <c r="G1038" s="7">
        <f>VLOOKUP(A1038,[1]Sheet!B$3:G$2921,5,0)</f>
        <v>2009.16</v>
      </c>
      <c r="H1038" s="5" t="e">
        <f>VLOOKUP(A1038,N$3:S$1271,5,FALSE)</f>
        <v>#N/A</v>
      </c>
      <c r="I1038" s="6">
        <f t="shared" si="65"/>
        <v>2009.16</v>
      </c>
      <c r="J1038" s="7">
        <f>VLOOKUP(A1038,[1]Sheet!B$3:G$2921,6,0)</f>
        <v>109559.49</v>
      </c>
      <c r="K1038" s="8" t="e">
        <f t="shared" si="66"/>
        <v>#N/A</v>
      </c>
      <c r="L1038" s="6">
        <f t="shared" si="67"/>
        <v>109559.49</v>
      </c>
    </row>
    <row r="1039" spans="1:12" x14ac:dyDescent="0.25">
      <c r="A1039" s="9" t="s">
        <v>1038</v>
      </c>
      <c r="B1039" s="2" t="str">
        <f>VLOOKUP(A1039,[1]Sheet!B$3:G$2921,2,0)</f>
        <v>Труба гофрована ПВХ діам.20мм</v>
      </c>
      <c r="C1039" s="3" t="str">
        <f>VLOOKUP(A1039,[1]Sheet!B$3:G$2921,3,0)</f>
        <v>м</v>
      </c>
      <c r="D1039" s="4">
        <v>1473.86</v>
      </c>
      <c r="E1039" s="5" t="e">
        <f>VLOOKUP(A1039,N$3:S$1271,4,FALSE)</f>
        <v>#N/A</v>
      </c>
      <c r="F1039" s="6">
        <f t="shared" si="64"/>
        <v>1473.86</v>
      </c>
      <c r="G1039" s="7">
        <f>VLOOKUP(A1039,[1]Sheet!B$3:G$2921,5,0)</f>
        <v>8.74</v>
      </c>
      <c r="H1039" s="5" t="e">
        <f>VLOOKUP(A1039,N$3:S$1271,5,FALSE)</f>
        <v>#N/A</v>
      </c>
      <c r="I1039" s="6">
        <f t="shared" si="65"/>
        <v>8.74</v>
      </c>
      <c r="J1039" s="7">
        <f>VLOOKUP(A1039,[1]Sheet!B$3:G$2921,6,0)</f>
        <v>11945.83</v>
      </c>
      <c r="K1039" s="8" t="e">
        <f t="shared" si="66"/>
        <v>#N/A</v>
      </c>
      <c r="L1039" s="6">
        <f t="shared" si="67"/>
        <v>11945.83</v>
      </c>
    </row>
    <row r="1040" spans="1:12" x14ac:dyDescent="0.25">
      <c r="A1040" s="9" t="s">
        <v>1039</v>
      </c>
      <c r="B1040" s="2" t="str">
        <f>VLOOKUP(A1040,[1]Sheet!B$3:G$2921,2,0)</f>
        <v>Труба гнучка гофрована з самозатухающого
ПВХ Ду=25 мм</v>
      </c>
      <c r="C1040" s="3" t="str">
        <f>VLOOKUP(A1040,[1]Sheet!B$3:G$2921,3,0)</f>
        <v>м</v>
      </c>
      <c r="D1040" s="4">
        <v>68</v>
      </c>
      <c r="E1040" s="5" t="e">
        <f>VLOOKUP(A1040,N$3:S$1271,4,FALSE)</f>
        <v>#N/A</v>
      </c>
      <c r="F1040" s="6">
        <f t="shared" si="64"/>
        <v>68</v>
      </c>
      <c r="G1040" s="7">
        <f>VLOOKUP(A1040,[1]Sheet!B$3:G$2921,5,0)</f>
        <v>19.97</v>
      </c>
      <c r="H1040" s="5" t="e">
        <f>VLOOKUP(A1040,N$3:S$1271,5,FALSE)</f>
        <v>#N/A</v>
      </c>
      <c r="I1040" s="6">
        <f t="shared" si="65"/>
        <v>19.97</v>
      </c>
      <c r="J1040" s="7">
        <f>VLOOKUP(A1040,[1]Sheet!B$3:G$2921,6,0)</f>
        <v>1298.05</v>
      </c>
      <c r="K1040" s="8" t="e">
        <f t="shared" si="66"/>
        <v>#N/A</v>
      </c>
      <c r="L1040" s="6">
        <f t="shared" si="67"/>
        <v>1298.05</v>
      </c>
    </row>
    <row r="1041" spans="1:12" x14ac:dyDescent="0.25">
      <c r="A1041" s="9" t="s">
        <v>1040</v>
      </c>
      <c r="B1041" s="2" t="str">
        <f>VLOOKUP(A1041,[1]Sheet!B$3:G$2921,2,0)</f>
        <v>Труба гнучка гофрована з самозатухающого
ПВХ Ду=40 мм</v>
      </c>
      <c r="C1041" s="3" t="str">
        <f>VLOOKUP(A1041,[1]Sheet!B$3:G$2921,3,0)</f>
        <v>м</v>
      </c>
      <c r="D1041" s="4">
        <v>17</v>
      </c>
      <c r="E1041" s="5" t="e">
        <f>VLOOKUP(A1041,N$3:S$1271,4,FALSE)</f>
        <v>#N/A</v>
      </c>
      <c r="F1041" s="6">
        <f t="shared" si="64"/>
        <v>17</v>
      </c>
      <c r="G1041" s="7">
        <f>VLOOKUP(A1041,[1]Sheet!B$3:G$2921,5,0)</f>
        <v>26.9</v>
      </c>
      <c r="H1041" s="5" t="e">
        <f>VLOOKUP(A1041,N$3:S$1271,5,FALSE)</f>
        <v>#N/A</v>
      </c>
      <c r="I1041" s="6">
        <f t="shared" si="65"/>
        <v>26.9</v>
      </c>
      <c r="J1041" s="7">
        <f>VLOOKUP(A1041,[1]Sheet!B$3:G$2921,6,0)</f>
        <v>457.3</v>
      </c>
      <c r="K1041" s="8" t="e">
        <f t="shared" si="66"/>
        <v>#N/A</v>
      </c>
      <c r="L1041" s="6">
        <f t="shared" si="67"/>
        <v>457.3</v>
      </c>
    </row>
    <row r="1042" spans="1:12" x14ac:dyDescent="0.25">
      <c r="A1042" s="9" t="s">
        <v>1041</v>
      </c>
      <c r="B1042" s="2" t="str">
        <f>VLOOKUP(A1042,[1]Sheet!B$3:G$2921,2,0)</f>
        <v>Муфта перехідна внутрішня/зовнішня
D25x20 Wavin</v>
      </c>
      <c r="C1042" s="3" t="str">
        <f>VLOOKUP(A1042,[1]Sheet!B$3:G$2921,3,0)</f>
        <v>10шт</v>
      </c>
      <c r="D1042" s="4">
        <v>1.2000000000000002</v>
      </c>
      <c r="E1042" s="5" t="e">
        <f>VLOOKUP(A1042,N$3:S$1271,4,FALSE)</f>
        <v>#N/A</v>
      </c>
      <c r="F1042" s="6">
        <f t="shared" si="64"/>
        <v>1.2000000000000002</v>
      </c>
      <c r="G1042" s="7">
        <f>VLOOKUP(A1042,[1]Sheet!B$3:G$2921,5,0)</f>
        <v>70.67</v>
      </c>
      <c r="H1042" s="5" t="e">
        <f>VLOOKUP(A1042,N$3:S$1271,5,FALSE)</f>
        <v>#N/A</v>
      </c>
      <c r="I1042" s="6">
        <f t="shared" si="65"/>
        <v>70.67</v>
      </c>
      <c r="J1042" s="7">
        <f>VLOOKUP(A1042,[1]Sheet!B$3:G$2921,6,0)</f>
        <v>42.4</v>
      </c>
      <c r="K1042" s="8" t="e">
        <f t="shared" si="66"/>
        <v>#N/A</v>
      </c>
      <c r="L1042" s="6">
        <f t="shared" si="67"/>
        <v>42.4</v>
      </c>
    </row>
    <row r="1043" spans="1:12" x14ac:dyDescent="0.25">
      <c r="A1043" s="9" t="s">
        <v>1042</v>
      </c>
      <c r="B1043" s="2" t="str">
        <f>VLOOKUP(A1043,[1]Sheet!B$3:G$2921,2,0)</f>
        <v>Муфта перехідна D32x20 Wavin</v>
      </c>
      <c r="C1043" s="3" t="str">
        <f>VLOOKUP(A1043,[1]Sheet!B$3:G$2921,3,0)</f>
        <v>10шт</v>
      </c>
      <c r="D1043" s="4">
        <v>0.8</v>
      </c>
      <c r="E1043" s="5" t="e">
        <f>VLOOKUP(A1043,N$3:S$1271,4,FALSE)</f>
        <v>#N/A</v>
      </c>
      <c r="F1043" s="6">
        <f t="shared" si="64"/>
        <v>0.8</v>
      </c>
      <c r="G1043" s="7">
        <f>VLOOKUP(A1043,[1]Sheet!B$3:G$2921,5,0)</f>
        <v>117.76</v>
      </c>
      <c r="H1043" s="5" t="e">
        <f>VLOOKUP(A1043,N$3:S$1271,5,FALSE)</f>
        <v>#N/A</v>
      </c>
      <c r="I1043" s="6">
        <f t="shared" si="65"/>
        <v>117.76</v>
      </c>
      <c r="J1043" s="7">
        <f>VLOOKUP(A1043,[1]Sheet!B$3:G$2921,6,0)</f>
        <v>47.1</v>
      </c>
      <c r="K1043" s="8" t="e">
        <f t="shared" si="66"/>
        <v>#N/A</v>
      </c>
      <c r="L1043" s="6">
        <f t="shared" si="67"/>
        <v>47.1</v>
      </c>
    </row>
    <row r="1044" spans="1:12" x14ac:dyDescent="0.25">
      <c r="A1044" s="9" t="s">
        <v>1043</v>
      </c>
      <c r="B1044" s="2" t="str">
        <f>VLOOKUP(A1044,[1]Sheet!B$3:G$2921,2,0)</f>
        <v>Муфта перехідна D40x20 Wavin</v>
      </c>
      <c r="C1044" s="3" t="str">
        <f>VLOOKUP(A1044,[1]Sheet!B$3:G$2921,3,0)</f>
        <v>10шт</v>
      </c>
      <c r="D1044" s="4">
        <v>0.60000000000000009</v>
      </c>
      <c r="E1044" s="5" t="e">
        <f>VLOOKUP(A1044,N$3:S$1271,4,FALSE)</f>
        <v>#N/A</v>
      </c>
      <c r="F1044" s="6">
        <f t="shared" si="64"/>
        <v>0.60000000000000009</v>
      </c>
      <c r="G1044" s="7">
        <f>VLOOKUP(A1044,[1]Sheet!B$3:G$2921,5,0)</f>
        <v>157.04</v>
      </c>
      <c r="H1044" s="5" t="e">
        <f>VLOOKUP(A1044,N$3:S$1271,5,FALSE)</f>
        <v>#N/A</v>
      </c>
      <c r="I1044" s="6">
        <f t="shared" si="65"/>
        <v>157.04</v>
      </c>
      <c r="J1044" s="7">
        <f>VLOOKUP(A1044,[1]Sheet!B$3:G$2921,6,0)</f>
        <v>31.41</v>
      </c>
      <c r="K1044" s="8" t="e">
        <f t="shared" si="66"/>
        <v>#N/A</v>
      </c>
      <c r="L1044" s="6">
        <f t="shared" si="67"/>
        <v>31.41</v>
      </c>
    </row>
    <row r="1045" spans="1:12" x14ac:dyDescent="0.25">
      <c r="A1045" s="9" t="s">
        <v>1044</v>
      </c>
      <c r="B1045" s="2" t="str">
        <f>VLOOKUP(A1045,[1]Sheet!B$3:G$2921,2,0)</f>
        <v>Муфта перехідна D63x32 Wavin</v>
      </c>
      <c r="C1045" s="3" t="str">
        <f>VLOOKUP(A1045,[1]Sheet!B$3:G$2921,3,0)</f>
        <v>10шт</v>
      </c>
      <c r="D1045" s="4">
        <v>0.1</v>
      </c>
      <c r="E1045" s="5" t="e">
        <f>VLOOKUP(A1045,N$3:S$1271,4,FALSE)</f>
        <v>#N/A</v>
      </c>
      <c r="F1045" s="6">
        <f t="shared" si="64"/>
        <v>0.1</v>
      </c>
      <c r="G1045" s="7">
        <f>VLOOKUP(A1045,[1]Sheet!B$3:G$2921,5,0)</f>
        <v>361.23</v>
      </c>
      <c r="H1045" s="5" t="e">
        <f>VLOOKUP(A1045,N$3:S$1271,5,FALSE)</f>
        <v>#N/A</v>
      </c>
      <c r="I1045" s="6">
        <f t="shared" si="65"/>
        <v>361.23</v>
      </c>
      <c r="J1045" s="7">
        <f>VLOOKUP(A1045,[1]Sheet!B$3:G$2921,6,0)</f>
        <v>36.119999999999997</v>
      </c>
      <c r="K1045" s="8" t="e">
        <f t="shared" si="66"/>
        <v>#N/A</v>
      </c>
      <c r="L1045" s="6">
        <f t="shared" si="67"/>
        <v>36.119999999999997</v>
      </c>
    </row>
    <row r="1046" spans="1:12" x14ac:dyDescent="0.25">
      <c r="A1046" s="9" t="s">
        <v>1045</v>
      </c>
      <c r="B1046" s="2" t="str">
        <f>VLOOKUP(A1046,[1]Sheet!B$3:G$2921,2,0)</f>
        <v>Перехiд поліпропіленовий з металевою
внутрішньою різьбою D32x1" Wavin</v>
      </c>
      <c r="C1046" s="3" t="str">
        <f>VLOOKUP(A1046,[1]Sheet!B$3:G$2921,3,0)</f>
        <v>10шт</v>
      </c>
      <c r="D1046" s="4">
        <v>0.1</v>
      </c>
      <c r="E1046" s="5" t="e">
        <f>VLOOKUP(A1046,N$3:S$1271,4,FALSE)</f>
        <v>#N/A</v>
      </c>
      <c r="F1046" s="6">
        <f t="shared" si="64"/>
        <v>0.1</v>
      </c>
      <c r="G1046" s="7">
        <f>VLOOKUP(A1046,[1]Sheet!B$3:G$2921,5,0)</f>
        <v>821.77</v>
      </c>
      <c r="H1046" s="5" t="e">
        <f>VLOOKUP(A1046,N$3:S$1271,5,FALSE)</f>
        <v>#N/A</v>
      </c>
      <c r="I1046" s="6">
        <f t="shared" si="65"/>
        <v>821.77</v>
      </c>
      <c r="J1046" s="7">
        <f>VLOOKUP(A1046,[1]Sheet!B$3:G$2921,6,0)</f>
        <v>82.18</v>
      </c>
      <c r="K1046" s="8" t="e">
        <f t="shared" si="66"/>
        <v>#N/A</v>
      </c>
      <c r="L1046" s="6">
        <f t="shared" si="67"/>
        <v>82.18</v>
      </c>
    </row>
    <row r="1047" spans="1:12" x14ac:dyDescent="0.25">
      <c r="A1047" s="9" t="s">
        <v>1046</v>
      </c>
      <c r="B1047" s="2" t="str">
        <f>VLOOKUP(A1047,[1]Sheet!B$3:G$2921,2,0)</f>
        <v>Перехiд поліпропіленовий з металевою
внутрішньою різьбою D40x5/4" Wavin</v>
      </c>
      <c r="C1047" s="3" t="str">
        <f>VLOOKUP(A1047,[1]Sheet!B$3:G$2921,3,0)</f>
        <v>10шт</v>
      </c>
      <c r="D1047" s="4">
        <v>0.2</v>
      </c>
      <c r="E1047" s="5" t="e">
        <f>VLOOKUP(A1047,N$3:S$1271,4,FALSE)</f>
        <v>#N/A</v>
      </c>
      <c r="F1047" s="6">
        <f t="shared" si="64"/>
        <v>0.2</v>
      </c>
      <c r="G1047" s="7">
        <f>VLOOKUP(A1047,[1]Sheet!B$3:G$2921,5,0)</f>
        <v>2002.72</v>
      </c>
      <c r="H1047" s="5" t="e">
        <f>VLOOKUP(A1047,N$3:S$1271,5,FALSE)</f>
        <v>#N/A</v>
      </c>
      <c r="I1047" s="6">
        <f t="shared" si="65"/>
        <v>2002.72</v>
      </c>
      <c r="J1047" s="7">
        <f>VLOOKUP(A1047,[1]Sheet!B$3:G$2921,6,0)</f>
        <v>400.54</v>
      </c>
      <c r="K1047" s="8" t="e">
        <f t="shared" si="66"/>
        <v>#N/A</v>
      </c>
      <c r="L1047" s="6">
        <f t="shared" si="67"/>
        <v>400.54</v>
      </c>
    </row>
    <row r="1048" spans="1:12" x14ac:dyDescent="0.25">
      <c r="A1048" s="9" t="s">
        <v>1047</v>
      </c>
      <c r="B1048" s="2" t="str">
        <f>VLOOKUP(A1048,[1]Sheet!B$3:G$2921,2,0)</f>
        <v>Угольник 90_ внутрішній/зовнішній D 20</v>
      </c>
      <c r="C1048" s="3" t="str">
        <f>VLOOKUP(A1048,[1]Sheet!B$3:G$2921,3,0)</f>
        <v>10шт</v>
      </c>
      <c r="D1048" s="4">
        <v>1.2000000000000002</v>
      </c>
      <c r="E1048" s="5" t="e">
        <f>VLOOKUP(A1048,N$3:S$1271,4,FALSE)</f>
        <v>#N/A</v>
      </c>
      <c r="F1048" s="6">
        <f t="shared" si="64"/>
        <v>1.2000000000000002</v>
      </c>
      <c r="G1048" s="7">
        <f>VLOOKUP(A1048,[1]Sheet!B$3:G$2921,5,0)</f>
        <v>90.39</v>
      </c>
      <c r="H1048" s="5" t="e">
        <f>VLOOKUP(A1048,N$3:S$1271,5,FALSE)</f>
        <v>#N/A</v>
      </c>
      <c r="I1048" s="6">
        <f t="shared" si="65"/>
        <v>90.39</v>
      </c>
      <c r="J1048" s="7">
        <f>VLOOKUP(A1048,[1]Sheet!B$3:G$2921,6,0)</f>
        <v>54.23</v>
      </c>
      <c r="K1048" s="8" t="e">
        <f t="shared" si="66"/>
        <v>#N/A</v>
      </c>
      <c r="L1048" s="6">
        <f t="shared" si="67"/>
        <v>54.23</v>
      </c>
    </row>
    <row r="1049" spans="1:12" x14ac:dyDescent="0.25">
      <c r="A1049" s="9" t="s">
        <v>1048</v>
      </c>
      <c r="B1049" s="2" t="str">
        <f>VLOOKUP(A1049,[1]Sheet!B$3:G$2921,2,0)</f>
        <v>Труби полівінілхлорідна гладка, Ду=25 мм</v>
      </c>
      <c r="C1049" s="3" t="str">
        <f>VLOOKUP(A1049,[1]Sheet!B$3:G$2921,3,0)</f>
        <v>10м</v>
      </c>
      <c r="D1049" s="4">
        <v>7.1</v>
      </c>
      <c r="E1049" s="5" t="e">
        <f>VLOOKUP(A1049,N$3:S$1271,4,FALSE)</f>
        <v>#N/A</v>
      </c>
      <c r="F1049" s="6">
        <f t="shared" si="64"/>
        <v>7.1</v>
      </c>
      <c r="G1049" s="7">
        <f>VLOOKUP(A1049,[1]Sheet!B$3:G$2921,5,0)</f>
        <v>119.35</v>
      </c>
      <c r="H1049" s="5" t="e">
        <f>VLOOKUP(A1049,N$3:S$1271,5,FALSE)</f>
        <v>#N/A</v>
      </c>
      <c r="I1049" s="6">
        <f t="shared" si="65"/>
        <v>119.35</v>
      </c>
      <c r="J1049" s="7">
        <f>VLOOKUP(A1049,[1]Sheet!B$3:G$2921,6,0)</f>
        <v>847.39</v>
      </c>
      <c r="K1049" s="8" t="e">
        <f t="shared" si="66"/>
        <v>#N/A</v>
      </c>
      <c r="L1049" s="6">
        <f t="shared" si="67"/>
        <v>847.39</v>
      </c>
    </row>
    <row r="1050" spans="1:12" x14ac:dyDescent="0.25">
      <c r="A1050" s="9" t="s">
        <v>1049</v>
      </c>
      <c r="B1050" s="2" t="str">
        <f>VLOOKUP(A1050,[1]Sheet!B$3:G$2921,2,0)</f>
        <v>Труба полiвінілхлорідна, гладка Ду= 40 мм</v>
      </c>
      <c r="C1050" s="3" t="str">
        <f>VLOOKUP(A1050,[1]Sheet!B$3:G$2921,3,0)</f>
        <v>10м</v>
      </c>
      <c r="D1050" s="4">
        <v>1.8</v>
      </c>
      <c r="E1050" s="5" t="e">
        <f>VLOOKUP(A1050,N$3:S$1271,4,FALSE)</f>
        <v>#N/A</v>
      </c>
      <c r="F1050" s="6">
        <f t="shared" si="64"/>
        <v>1.8</v>
      </c>
      <c r="G1050" s="7">
        <f>VLOOKUP(A1050,[1]Sheet!B$3:G$2921,5,0)</f>
        <v>264.75</v>
      </c>
      <c r="H1050" s="5" t="e">
        <f>VLOOKUP(A1050,N$3:S$1271,5,FALSE)</f>
        <v>#N/A</v>
      </c>
      <c r="I1050" s="6">
        <f t="shared" si="65"/>
        <v>264.75</v>
      </c>
      <c r="J1050" s="7">
        <f>VLOOKUP(A1050,[1]Sheet!B$3:G$2921,6,0)</f>
        <v>79.430000000000007</v>
      </c>
      <c r="K1050" s="8" t="e">
        <f t="shared" si="66"/>
        <v>#N/A</v>
      </c>
      <c r="L1050" s="6">
        <f t="shared" si="67"/>
        <v>79.430000000000007</v>
      </c>
    </row>
    <row r="1051" spans="1:12" x14ac:dyDescent="0.25">
      <c r="A1051" s="9" t="s">
        <v>1050</v>
      </c>
      <c r="B1051" s="2" t="str">
        <f>VLOOKUP(A1051,[1]Sheet!B$3:G$2921,2,0)</f>
        <v>Труби полівінілхлорідна гладка, Ду=63 мм</v>
      </c>
      <c r="C1051" s="3" t="str">
        <f>VLOOKUP(A1051,[1]Sheet!B$3:G$2921,3,0)</f>
        <v>10м</v>
      </c>
      <c r="D1051" s="4">
        <v>1.8</v>
      </c>
      <c r="E1051" s="5" t="e">
        <f>VLOOKUP(A1051,N$3:S$1271,4,FALSE)</f>
        <v>#N/A</v>
      </c>
      <c r="F1051" s="6">
        <f t="shared" si="64"/>
        <v>1.8</v>
      </c>
      <c r="G1051" s="7">
        <f>VLOOKUP(A1051,[1]Sheet!B$3:G$2921,5,0)</f>
        <v>620.16</v>
      </c>
      <c r="H1051" s="5" t="e">
        <f>VLOOKUP(A1051,N$3:S$1271,5,FALSE)</f>
        <v>#N/A</v>
      </c>
      <c r="I1051" s="6">
        <f t="shared" si="65"/>
        <v>620.16</v>
      </c>
      <c r="J1051" s="7">
        <f>VLOOKUP(A1051,[1]Sheet!B$3:G$2921,6,0)</f>
        <v>1116.29</v>
      </c>
      <c r="K1051" s="8" t="e">
        <f t="shared" si="66"/>
        <v>#N/A</v>
      </c>
      <c r="L1051" s="6">
        <f t="shared" si="67"/>
        <v>1116.29</v>
      </c>
    </row>
    <row r="1052" spans="1:12" x14ac:dyDescent="0.25">
      <c r="A1052" s="9" t="s">
        <v>1051</v>
      </c>
      <c r="B1052" s="2" t="str">
        <f>VLOOKUP(A1052,[1]Sheet!B$3:G$2921,2,0)</f>
        <v>Труби напiрнi з полiетилену низького тиску,
тип важкий, зовнiшнiй дiаметр 63 мм</v>
      </c>
      <c r="C1052" s="3" t="str">
        <f>VLOOKUP(A1052,[1]Sheet!B$3:G$2921,3,0)</f>
        <v>10м</v>
      </c>
      <c r="D1052" s="4">
        <v>1.7000000000000002</v>
      </c>
      <c r="E1052" s="5" t="e">
        <f>VLOOKUP(A1052,N$3:S$1271,4,FALSE)</f>
        <v>#N/A</v>
      </c>
      <c r="F1052" s="6">
        <f t="shared" si="64"/>
        <v>1.7000000000000002</v>
      </c>
      <c r="G1052" s="7">
        <f>VLOOKUP(A1052,[1]Sheet!B$3:G$2921,5,0)</f>
        <v>806.08</v>
      </c>
      <c r="H1052" s="5" t="e">
        <f>VLOOKUP(A1052,N$3:S$1271,5,FALSE)</f>
        <v>#N/A</v>
      </c>
      <c r="I1052" s="6">
        <f t="shared" si="65"/>
        <v>806.08</v>
      </c>
      <c r="J1052" s="7">
        <f>VLOOKUP(A1052,[1]Sheet!B$3:G$2921,6,0)</f>
        <v>1370.34</v>
      </c>
      <c r="K1052" s="8" t="e">
        <f t="shared" si="66"/>
        <v>#N/A</v>
      </c>
      <c r="L1052" s="6">
        <f t="shared" si="67"/>
        <v>1370.34</v>
      </c>
    </row>
    <row r="1053" spans="1:12" x14ac:dyDescent="0.25">
      <c r="A1053" s="9" t="s">
        <v>1052</v>
      </c>
      <c r="B1053" s="2" t="str">
        <f>VLOOKUP(A1053,[1]Sheet!B$3:G$2921,2,0)</f>
        <v>Вiдвод 90 град. зварний ПЕ100 SDR7, Ру до
1МПа  Dn 110</v>
      </c>
      <c r="C1053" s="3" t="str">
        <f>VLOOKUP(A1053,[1]Sheet!B$3:G$2921,3,0)</f>
        <v>шт</v>
      </c>
      <c r="D1053" s="4">
        <v>5</v>
      </c>
      <c r="E1053" s="5" t="e">
        <f>VLOOKUP(A1053,N$3:S$1271,4,FALSE)</f>
        <v>#N/A</v>
      </c>
      <c r="F1053" s="6">
        <f t="shared" si="64"/>
        <v>5</v>
      </c>
      <c r="G1053" s="7">
        <f>VLOOKUP(A1053,[1]Sheet!B$3:G$2921,5,0)</f>
        <v>172.62</v>
      </c>
      <c r="H1053" s="5" t="e">
        <f>VLOOKUP(A1053,N$3:S$1271,5,FALSE)</f>
        <v>#N/A</v>
      </c>
      <c r="I1053" s="6">
        <f t="shared" si="65"/>
        <v>172.62</v>
      </c>
      <c r="J1053" s="7">
        <f>VLOOKUP(A1053,[1]Sheet!B$3:G$2921,6,0)</f>
        <v>517.86</v>
      </c>
      <c r="K1053" s="8" t="e">
        <f t="shared" si="66"/>
        <v>#N/A</v>
      </c>
      <c r="L1053" s="6">
        <f t="shared" si="67"/>
        <v>517.86</v>
      </c>
    </row>
    <row r="1054" spans="1:12" x14ac:dyDescent="0.25">
      <c r="A1054" s="9" t="s">
        <v>1053</v>
      </c>
      <c r="B1054" s="2" t="str">
        <f>VLOOKUP(A1054,[1]Sheet!B$3:G$2921,2,0)</f>
        <v>Фланець сталевий вільний на Ру до !,0 МПа 
дiаметр 150 мм</v>
      </c>
      <c r="C1054" s="3" t="str">
        <f>VLOOKUP(A1054,[1]Sheet!B$3:G$2921,3,0)</f>
        <v>шт</v>
      </c>
      <c r="D1054" s="4">
        <v>1</v>
      </c>
      <c r="E1054" s="5" t="e">
        <f>VLOOKUP(A1054,N$3:S$1271,4,FALSE)</f>
        <v>#N/A</v>
      </c>
      <c r="F1054" s="6">
        <f t="shared" si="64"/>
        <v>1</v>
      </c>
      <c r="G1054" s="7">
        <f>VLOOKUP(A1054,[1]Sheet!B$3:G$2921,5,0)</f>
        <v>1002.68</v>
      </c>
      <c r="H1054" s="5" t="e">
        <f>VLOOKUP(A1054,N$3:S$1271,5,FALSE)</f>
        <v>#N/A</v>
      </c>
      <c r="I1054" s="6">
        <f t="shared" si="65"/>
        <v>1002.68</v>
      </c>
      <c r="J1054" s="7">
        <f>VLOOKUP(A1054,[1]Sheet!B$3:G$2921,6,0)</f>
        <v>1002.68</v>
      </c>
      <c r="K1054" s="8" t="e">
        <f t="shared" si="66"/>
        <v>#N/A</v>
      </c>
      <c r="L1054" s="6">
        <f t="shared" si="67"/>
        <v>1002.68</v>
      </c>
    </row>
    <row r="1055" spans="1:12" x14ac:dyDescent="0.25">
      <c r="A1055" s="9" t="s">
        <v>1054</v>
      </c>
      <c r="B1055" s="2" t="str">
        <f>VLOOKUP(A1055,[1]Sheet!B$3:G$2921,2,0)</f>
        <v>Вiдводи гнутi пiд кутом 90 град. iз сталi
марки 20, радiус кривизни 1,5 Ду, Ру 10 МПа
[100 кгс/см2], дiаметр умовного проходу 65
мм, зовнiшнiй дiаметр 76 мм, товщина
стiнки 3,5 мм</v>
      </c>
      <c r="C1055" s="3" t="str">
        <f>VLOOKUP(A1055,[1]Sheet!B$3:G$2921,3,0)</f>
        <v>шт</v>
      </c>
      <c r="D1055" s="4">
        <v>10</v>
      </c>
      <c r="E1055" s="5" t="e">
        <f>VLOOKUP(A1055,N$3:S$1271,4,FALSE)</f>
        <v>#N/A</v>
      </c>
      <c r="F1055" s="6">
        <f t="shared" si="64"/>
        <v>10</v>
      </c>
      <c r="G1055" s="7">
        <f>VLOOKUP(A1055,[1]Sheet!B$3:G$2921,5,0)</f>
        <v>103.44</v>
      </c>
      <c r="H1055" s="5" t="e">
        <f>VLOOKUP(A1055,N$3:S$1271,5,FALSE)</f>
        <v>#N/A</v>
      </c>
      <c r="I1055" s="6">
        <f t="shared" si="65"/>
        <v>103.44</v>
      </c>
      <c r="J1055" s="7">
        <f>VLOOKUP(A1055,[1]Sheet!B$3:G$2921,6,0)</f>
        <v>1034.4000000000001</v>
      </c>
      <c r="K1055" s="8" t="e">
        <f t="shared" si="66"/>
        <v>#N/A</v>
      </c>
      <c r="L1055" s="6">
        <f t="shared" si="67"/>
        <v>1034.4000000000001</v>
      </c>
    </row>
    <row r="1056" spans="1:12" x14ac:dyDescent="0.25">
      <c r="A1056" s="9" t="s">
        <v>1055</v>
      </c>
      <c r="B1056" s="2" t="str">
        <f>VLOOKUP(A1056,[1]Sheet!B$3:G$2921,2,0)</f>
        <v>Вiдводи гнутi пiд кутом 90 град. iз сталi
марки 20, радiус кривизни 1,5 Ду, Ру 10 МПа
[100 кгс/см2], дiаметр умовного проходу 80
мм, зовнiшнiй дiаметр 89 мм, товщина
стiнки 3,5 мм</v>
      </c>
      <c r="C1056" s="3" t="str">
        <f>VLOOKUP(A1056,[1]Sheet!B$3:G$2921,3,0)</f>
        <v>шт</v>
      </c>
      <c r="D1056" s="4">
        <v>16</v>
      </c>
      <c r="E1056" s="5" t="e">
        <f>VLOOKUP(A1056,N$3:S$1271,4,FALSE)</f>
        <v>#N/A</v>
      </c>
      <c r="F1056" s="6">
        <f t="shared" si="64"/>
        <v>16</v>
      </c>
      <c r="G1056" s="7">
        <f>VLOOKUP(A1056,[1]Sheet!B$3:G$2921,5,0)</f>
        <v>138.79</v>
      </c>
      <c r="H1056" s="5" t="e">
        <f>VLOOKUP(A1056,N$3:S$1271,5,FALSE)</f>
        <v>#N/A</v>
      </c>
      <c r="I1056" s="6">
        <f t="shared" si="65"/>
        <v>138.79</v>
      </c>
      <c r="J1056" s="7">
        <f>VLOOKUP(A1056,[1]Sheet!B$3:G$2921,6,0)</f>
        <v>2220.64</v>
      </c>
      <c r="K1056" s="8" t="e">
        <f t="shared" si="66"/>
        <v>#N/A</v>
      </c>
      <c r="L1056" s="6">
        <f t="shared" si="67"/>
        <v>2220.64</v>
      </c>
    </row>
    <row r="1057" spans="1:12" x14ac:dyDescent="0.25">
      <c r="A1057" s="9" t="s">
        <v>1056</v>
      </c>
      <c r="B1057" s="2" t="str">
        <f>VLOOKUP(A1057,[1]Sheet!B$3:G$2921,2,0)</f>
        <v>Трiйник сталевий безшовний приварний
равнопрохідний,  D219х6,0</v>
      </c>
      <c r="C1057" s="3" t="str">
        <f>VLOOKUP(A1057,[1]Sheet!B$3:G$2921,3,0)</f>
        <v>шт</v>
      </c>
      <c r="D1057" s="4">
        <v>3</v>
      </c>
      <c r="E1057" s="5" t="e">
        <f>VLOOKUP(A1057,N$3:S$1271,4,FALSE)</f>
        <v>#N/A</v>
      </c>
      <c r="F1057" s="6">
        <f t="shared" si="64"/>
        <v>3</v>
      </c>
      <c r="G1057" s="7">
        <f>VLOOKUP(A1057,[1]Sheet!B$3:G$2921,5,0)</f>
        <v>1243.79</v>
      </c>
      <c r="H1057" s="5" t="e">
        <f>VLOOKUP(A1057,N$3:S$1271,5,FALSE)</f>
        <v>#N/A</v>
      </c>
      <c r="I1057" s="6">
        <f t="shared" si="65"/>
        <v>1243.79</v>
      </c>
      <c r="J1057" s="7">
        <f>VLOOKUP(A1057,[1]Sheet!B$3:G$2921,6,0)</f>
        <v>3731.37</v>
      </c>
      <c r="K1057" s="8" t="e">
        <f t="shared" si="66"/>
        <v>#N/A</v>
      </c>
      <c r="L1057" s="6">
        <f t="shared" si="67"/>
        <v>3731.37</v>
      </c>
    </row>
    <row r="1058" spans="1:12" x14ac:dyDescent="0.25">
      <c r="A1058" s="9" t="s">
        <v>1057</v>
      </c>
      <c r="B1058" s="2" t="str">
        <f>VLOOKUP(A1058,[1]Sheet!B$3:G$2921,2,0)</f>
        <v>Трiйник сталевий безшовний приварний
перехідний,  D219х108</v>
      </c>
      <c r="C1058" s="3" t="str">
        <f>VLOOKUP(A1058,[1]Sheet!B$3:G$2921,3,0)</f>
        <v>шт</v>
      </c>
      <c r="D1058" s="4">
        <v>4</v>
      </c>
      <c r="E1058" s="5" t="e">
        <f>VLOOKUP(A1058,N$3:S$1271,4,FALSE)</f>
        <v>#N/A</v>
      </c>
      <c r="F1058" s="6">
        <f t="shared" si="64"/>
        <v>4</v>
      </c>
      <c r="G1058" s="7">
        <f>VLOOKUP(A1058,[1]Sheet!B$3:G$2921,5,0)</f>
        <v>5496.88</v>
      </c>
      <c r="H1058" s="5" t="e">
        <f>VLOOKUP(A1058,N$3:S$1271,5,FALSE)</f>
        <v>#N/A</v>
      </c>
      <c r="I1058" s="6">
        <f t="shared" si="65"/>
        <v>5496.88</v>
      </c>
      <c r="J1058" s="7">
        <f>VLOOKUP(A1058,[1]Sheet!B$3:G$2921,6,0)</f>
        <v>21987.52</v>
      </c>
      <c r="K1058" s="8" t="e">
        <f t="shared" si="66"/>
        <v>#N/A</v>
      </c>
      <c r="L1058" s="6">
        <f t="shared" si="67"/>
        <v>21987.52</v>
      </c>
    </row>
    <row r="1059" spans="1:12" x14ac:dyDescent="0.25">
      <c r="A1059" s="9" t="s">
        <v>1058</v>
      </c>
      <c r="B1059" s="2" t="str">
        <f>VLOOKUP(A1059,[1]Sheet!B$3:G$2921,2,0)</f>
        <v>Трiйник сталевий безшовний приварний
перехідний,  D219х6,0-159х6,0</v>
      </c>
      <c r="C1059" s="3" t="str">
        <f>VLOOKUP(A1059,[1]Sheet!B$3:G$2921,3,0)</f>
        <v>шт</v>
      </c>
      <c r="D1059" s="4">
        <v>3</v>
      </c>
      <c r="E1059" s="5" t="e">
        <f>VLOOKUP(A1059,N$3:S$1271,4,FALSE)</f>
        <v>#N/A</v>
      </c>
      <c r="F1059" s="6">
        <f t="shared" si="64"/>
        <v>3</v>
      </c>
      <c r="G1059" s="7">
        <f>VLOOKUP(A1059,[1]Sheet!B$3:G$2921,5,0)</f>
        <v>8524.2199999999993</v>
      </c>
      <c r="H1059" s="5" t="e">
        <f>VLOOKUP(A1059,N$3:S$1271,5,FALSE)</f>
        <v>#N/A</v>
      </c>
      <c r="I1059" s="6">
        <f t="shared" si="65"/>
        <v>8524.2199999999993</v>
      </c>
      <c r="J1059" s="7">
        <f>VLOOKUP(A1059,[1]Sheet!B$3:G$2921,6,0)</f>
        <v>25572.66</v>
      </c>
      <c r="K1059" s="8" t="e">
        <f t="shared" si="66"/>
        <v>#N/A</v>
      </c>
      <c r="L1059" s="6">
        <f t="shared" si="67"/>
        <v>25572.66</v>
      </c>
    </row>
    <row r="1060" spans="1:12" x14ac:dyDescent="0.25">
      <c r="A1060" s="9" t="s">
        <v>1059</v>
      </c>
      <c r="B1060" s="2" t="str">
        <f>VLOOKUP(A1060,[1]Sheet!B$3:G$2921,2,0)</f>
        <v>Переходи штампованi концентричнi,
зовнiшнiй дiаметр та товщина стiнки 45х2,5-
38х2,0 мм</v>
      </c>
      <c r="C1060" s="3" t="str">
        <f>VLOOKUP(A1060,[1]Sheet!B$3:G$2921,3,0)</f>
        <v>шт</v>
      </c>
      <c r="D1060" s="4">
        <v>11</v>
      </c>
      <c r="E1060" s="5" t="e">
        <f>VLOOKUP(A1060,N$3:S$1271,4,FALSE)</f>
        <v>#N/A</v>
      </c>
      <c r="F1060" s="6">
        <f t="shared" si="64"/>
        <v>11</v>
      </c>
      <c r="G1060" s="7">
        <f>VLOOKUP(A1060,[1]Sheet!B$3:G$2921,5,0)</f>
        <v>47.51</v>
      </c>
      <c r="H1060" s="5" t="e">
        <f>VLOOKUP(A1060,N$3:S$1271,5,FALSE)</f>
        <v>#N/A</v>
      </c>
      <c r="I1060" s="6">
        <f t="shared" si="65"/>
        <v>47.51</v>
      </c>
      <c r="J1060" s="7">
        <f>VLOOKUP(A1060,[1]Sheet!B$3:G$2921,6,0)</f>
        <v>95.02</v>
      </c>
      <c r="K1060" s="8" t="e">
        <f t="shared" si="66"/>
        <v>#N/A</v>
      </c>
      <c r="L1060" s="6">
        <f t="shared" si="67"/>
        <v>95.02</v>
      </c>
    </row>
    <row r="1061" spans="1:12" x14ac:dyDescent="0.25">
      <c r="A1061" s="9" t="s">
        <v>1060</v>
      </c>
      <c r="B1061" s="2" t="str">
        <f>VLOOKUP(A1061,[1]Sheet!B$3:G$2921,2,0)</f>
        <v>Переходи штампованi концентричнi,
дiаметр умовного проходу 65х40 мм,
зовнiшнiй дiаметр та товщина стiнки 76х3,5-
45х2,5 мм</v>
      </c>
      <c r="C1061" s="3" t="str">
        <f>VLOOKUP(A1061,[1]Sheet!B$3:G$2921,3,0)</f>
        <v>шт</v>
      </c>
      <c r="D1061" s="4">
        <v>2</v>
      </c>
      <c r="E1061" s="5" t="e">
        <f>VLOOKUP(A1061,N$3:S$1271,4,FALSE)</f>
        <v>#N/A</v>
      </c>
      <c r="F1061" s="6">
        <f t="shared" si="64"/>
        <v>2</v>
      </c>
      <c r="G1061" s="7">
        <f>VLOOKUP(A1061,[1]Sheet!B$3:G$2921,5,0)</f>
        <v>122.33</v>
      </c>
      <c r="H1061" s="5" t="e">
        <f>VLOOKUP(A1061,N$3:S$1271,5,FALSE)</f>
        <v>#N/A</v>
      </c>
      <c r="I1061" s="6">
        <f t="shared" si="65"/>
        <v>122.33</v>
      </c>
      <c r="J1061" s="7">
        <f>VLOOKUP(A1061,[1]Sheet!B$3:G$2921,6,0)</f>
        <v>244.66</v>
      </c>
      <c r="K1061" s="8" t="e">
        <f t="shared" si="66"/>
        <v>#N/A</v>
      </c>
      <c r="L1061" s="6">
        <f t="shared" si="67"/>
        <v>244.66</v>
      </c>
    </row>
    <row r="1062" spans="1:12" x14ac:dyDescent="0.25">
      <c r="A1062" s="9" t="s">
        <v>1061</v>
      </c>
      <c r="B1062" s="2" t="str">
        <f>VLOOKUP(A1062,[1]Sheet!B$3:G$2921,2,0)</f>
        <v>Переходи штампованi концентричнi,
дiаметр умовного проходу 80х65 мм,
зовнiшнiй дiаметр та товщина стiнки 89х4,0-
76х3,5 мм</v>
      </c>
      <c r="C1062" s="3" t="str">
        <f>VLOOKUP(A1062,[1]Sheet!B$3:G$2921,3,0)</f>
        <v>шт</v>
      </c>
      <c r="D1062" s="4">
        <v>2</v>
      </c>
      <c r="E1062" s="5" t="e">
        <f>VLOOKUP(A1062,N$3:S$1271,4,FALSE)</f>
        <v>#N/A</v>
      </c>
      <c r="F1062" s="6">
        <f t="shared" si="64"/>
        <v>2</v>
      </c>
      <c r="G1062" s="7">
        <f>VLOOKUP(A1062,[1]Sheet!B$3:G$2921,5,0)</f>
        <v>130.49</v>
      </c>
      <c r="H1062" s="5" t="e">
        <f>VLOOKUP(A1062,N$3:S$1271,5,FALSE)</f>
        <v>#N/A</v>
      </c>
      <c r="I1062" s="6">
        <f t="shared" si="65"/>
        <v>130.49</v>
      </c>
      <c r="J1062" s="7">
        <f>VLOOKUP(A1062,[1]Sheet!B$3:G$2921,6,0)</f>
        <v>260.98</v>
      </c>
      <c r="K1062" s="8" t="e">
        <f t="shared" si="66"/>
        <v>#N/A</v>
      </c>
      <c r="L1062" s="6">
        <f t="shared" si="67"/>
        <v>260.98</v>
      </c>
    </row>
    <row r="1063" spans="1:12" x14ac:dyDescent="0.25">
      <c r="A1063" s="9" t="s">
        <v>1062</v>
      </c>
      <c r="B1063" s="2" t="str">
        <f>VLOOKUP(A1063,[1]Sheet!B$3:G$2921,2,0)</f>
        <v>Переходи штампованi концентричнi,
дiаметр умовного проходу 80х50 мм,
зовнiшнiй дiаметр та товщина стiнки 89х3,5-
57х3 мм</v>
      </c>
      <c r="C1063" s="3" t="str">
        <f>VLOOKUP(A1063,[1]Sheet!B$3:G$2921,3,0)</f>
        <v>шт</v>
      </c>
      <c r="D1063" s="4">
        <v>2</v>
      </c>
      <c r="E1063" s="5" t="e">
        <f>VLOOKUP(A1063,N$3:S$1271,4,FALSE)</f>
        <v>#N/A</v>
      </c>
      <c r="F1063" s="6">
        <f t="shared" si="64"/>
        <v>2</v>
      </c>
      <c r="G1063" s="7">
        <f>VLOOKUP(A1063,[1]Sheet!B$3:G$2921,5,0)</f>
        <v>130.49</v>
      </c>
      <c r="H1063" s="5" t="e">
        <f>VLOOKUP(A1063,N$3:S$1271,5,FALSE)</f>
        <v>#N/A</v>
      </c>
      <c r="I1063" s="6">
        <f t="shared" si="65"/>
        <v>130.49</v>
      </c>
      <c r="J1063" s="7">
        <f>VLOOKUP(A1063,[1]Sheet!B$3:G$2921,6,0)</f>
        <v>260.98</v>
      </c>
      <c r="K1063" s="8" t="e">
        <f t="shared" si="66"/>
        <v>#N/A</v>
      </c>
      <c r="L1063" s="6">
        <f t="shared" si="67"/>
        <v>260.98</v>
      </c>
    </row>
    <row r="1064" spans="1:12" x14ac:dyDescent="0.25">
      <c r="A1064" s="9" t="s">
        <v>1063</v>
      </c>
      <c r="B1064" s="2" t="str">
        <f>VLOOKUP(A1064,[1]Sheet!B$3:G$2921,2,0)</f>
        <v>Заглушки елiптичнi з вуглецевої сталi марки
20, дiаметр умовного проходу 100 мм,
зовнiшнiй дiаметр 108 мм, товщина стiнки 4,
0 мм</v>
      </c>
      <c r="C1064" s="3" t="str">
        <f>VLOOKUP(A1064,[1]Sheet!B$3:G$2921,3,0)</f>
        <v>шт</v>
      </c>
      <c r="D1064" s="4">
        <v>4</v>
      </c>
      <c r="E1064" s="5" t="e">
        <f>VLOOKUP(A1064,N$3:S$1271,4,FALSE)</f>
        <v>#N/A</v>
      </c>
      <c r="F1064" s="6">
        <f t="shared" si="64"/>
        <v>4</v>
      </c>
      <c r="G1064" s="7">
        <f>VLOOKUP(A1064,[1]Sheet!B$3:G$2921,5,0)</f>
        <v>73.53</v>
      </c>
      <c r="H1064" s="5" t="e">
        <f>VLOOKUP(A1064,N$3:S$1271,5,FALSE)</f>
        <v>#N/A</v>
      </c>
      <c r="I1064" s="6">
        <f t="shared" si="65"/>
        <v>73.53</v>
      </c>
      <c r="J1064" s="7">
        <f>VLOOKUP(A1064,[1]Sheet!B$3:G$2921,6,0)</f>
        <v>294.12</v>
      </c>
      <c r="K1064" s="8" t="e">
        <f t="shared" si="66"/>
        <v>#N/A</v>
      </c>
      <c r="L1064" s="6">
        <f t="shared" si="67"/>
        <v>294.12</v>
      </c>
    </row>
    <row r="1065" spans="1:12" x14ac:dyDescent="0.25">
      <c r="A1065" s="9" t="s">
        <v>1064</v>
      </c>
      <c r="B1065" s="2" t="str">
        <f>VLOOKUP(A1065,[1]Sheet!B$3:G$2921,2,0)</f>
        <v>Заглушка сталева безшовна приварна
елiптична, виконання 2, D 219х8,0</v>
      </c>
      <c r="C1065" s="3" t="str">
        <f>VLOOKUP(A1065,[1]Sheet!B$3:G$2921,3,0)</f>
        <v>шт</v>
      </c>
      <c r="D1065" s="4">
        <v>4</v>
      </c>
      <c r="E1065" s="5" t="e">
        <f>VLOOKUP(A1065,N$3:S$1271,4,FALSE)</f>
        <v>#N/A</v>
      </c>
      <c r="F1065" s="6">
        <f t="shared" si="64"/>
        <v>4</v>
      </c>
      <c r="G1065" s="7">
        <f>VLOOKUP(A1065,[1]Sheet!B$3:G$2921,5,0)</f>
        <v>261.58999999999997</v>
      </c>
      <c r="H1065" s="5" t="e">
        <f>VLOOKUP(A1065,N$3:S$1271,5,FALSE)</f>
        <v>#N/A</v>
      </c>
      <c r="I1065" s="6">
        <f t="shared" si="65"/>
        <v>261.58999999999997</v>
      </c>
      <c r="J1065" s="7">
        <f>VLOOKUP(A1065,[1]Sheet!B$3:G$2921,6,0)</f>
        <v>1046.3599999999999</v>
      </c>
      <c r="K1065" s="8" t="e">
        <f t="shared" si="66"/>
        <v>#N/A</v>
      </c>
      <c r="L1065" s="6">
        <f t="shared" si="67"/>
        <v>1046.3599999999999</v>
      </c>
    </row>
    <row r="1066" spans="1:12" x14ac:dyDescent="0.25">
      <c r="A1066" s="9" t="s">
        <v>1065</v>
      </c>
      <c r="B1066" s="2" t="str">
        <f>VLOOKUP(A1066,[1]Sheet!B$3:G$2921,2,0)</f>
        <v>Опори рухомi приварнi для сталевих
трубопроводiв, з iзоляцiєю, тип ОПП-2,
висота опори 150 мм, дiаметр умовного
проходу 70 мм</v>
      </c>
      <c r="C1066" s="3" t="str">
        <f>VLOOKUP(A1066,[1]Sheet!B$3:G$2921,3,0)</f>
        <v>шт</v>
      </c>
      <c r="D1066" s="4">
        <v>2</v>
      </c>
      <c r="E1066" s="5" t="e">
        <f>VLOOKUP(A1066,N$3:S$1271,4,FALSE)</f>
        <v>#N/A</v>
      </c>
      <c r="F1066" s="6">
        <f t="shared" si="64"/>
        <v>2</v>
      </c>
      <c r="G1066" s="7">
        <f>VLOOKUP(A1066,[1]Sheet!B$3:G$2921,5,0)</f>
        <v>136.02000000000001</v>
      </c>
      <c r="H1066" s="5" t="e">
        <f>VLOOKUP(A1066,N$3:S$1271,5,FALSE)</f>
        <v>#N/A</v>
      </c>
      <c r="I1066" s="6">
        <f t="shared" si="65"/>
        <v>136.02000000000001</v>
      </c>
      <c r="J1066" s="7">
        <f>VLOOKUP(A1066,[1]Sheet!B$3:G$2921,6,0)</f>
        <v>272.04000000000002</v>
      </c>
      <c r="K1066" s="8" t="e">
        <f t="shared" si="66"/>
        <v>#N/A</v>
      </c>
      <c r="L1066" s="6">
        <f t="shared" si="67"/>
        <v>272.04000000000002</v>
      </c>
    </row>
    <row r="1067" spans="1:12" x14ac:dyDescent="0.25">
      <c r="A1067" s="9" t="s">
        <v>1066</v>
      </c>
      <c r="B1067" s="2" t="str">
        <f>VLOOKUP(A1067,[1]Sheet!B$3:G$2921,2,0)</f>
        <v>Ущільнення</v>
      </c>
      <c r="C1067" s="3" t="str">
        <f>VLOOKUP(A1067,[1]Sheet!B$3:G$2921,3,0)</f>
        <v>шт</v>
      </c>
      <c r="D1067" s="4">
        <v>26</v>
      </c>
      <c r="E1067" s="5" t="e">
        <f>VLOOKUP(A1067,N$3:S$1271,4,FALSE)</f>
        <v>#N/A</v>
      </c>
      <c r="F1067" s="6">
        <f t="shared" si="64"/>
        <v>26</v>
      </c>
      <c r="G1067" s="7">
        <f>VLOOKUP(A1067,[1]Sheet!B$3:G$2921,5,0)</f>
        <v>177.34</v>
      </c>
      <c r="H1067" s="5" t="e">
        <f>VLOOKUP(A1067,N$3:S$1271,5,FALSE)</f>
        <v>#N/A</v>
      </c>
      <c r="I1067" s="6">
        <f t="shared" si="65"/>
        <v>177.34</v>
      </c>
      <c r="J1067" s="7">
        <f>VLOOKUP(A1067,[1]Sheet!B$3:G$2921,6,0)</f>
        <v>4610.84</v>
      </c>
      <c r="K1067" s="8" t="e">
        <f t="shared" si="66"/>
        <v>#N/A</v>
      </c>
      <c r="L1067" s="6">
        <f t="shared" si="67"/>
        <v>4610.84</v>
      </c>
    </row>
    <row r="1068" spans="1:12" x14ac:dyDescent="0.25">
      <c r="A1068" s="9" t="s">
        <v>1067</v>
      </c>
      <c r="B1068" s="2" t="str">
        <f>VLOOKUP(A1068,[1]Sheet!B$3:G$2921,2,0)</f>
        <v>Брухт металевий
(зворотнi матерiали)</v>
      </c>
      <c r="C1068" s="3" t="str">
        <f>VLOOKUP(A1068,[1]Sheet!B$3:G$2921,3,0)</f>
        <v>т</v>
      </c>
      <c r="D1068" s="4">
        <v>3.8350199999999992</v>
      </c>
      <c r="E1068" s="5" t="e">
        <f>VLOOKUP(A1068,N$3:S$1271,4,FALSE)</f>
        <v>#N/A</v>
      </c>
      <c r="F1068" s="6">
        <f t="shared" si="64"/>
        <v>3.8350199999999992</v>
      </c>
      <c r="G1068" s="7" t="str">
        <f>VLOOKUP(A1068,[1]Sheet!B$3:G$2921,5,0)</f>
        <v xml:space="preserve">   -   </v>
      </c>
      <c r="H1068" s="5" t="e">
        <f>VLOOKUP(A1068,N$3:S$1271,5,FALSE)</f>
        <v>#N/A</v>
      </c>
      <c r="I1068" s="6" t="str">
        <f t="shared" si="65"/>
        <v xml:space="preserve">   -   </v>
      </c>
      <c r="J1068" s="7" t="str">
        <f>VLOOKUP(A1068,[1]Sheet!B$3:G$2921,6,0)</f>
        <v xml:space="preserve">   -   </v>
      </c>
      <c r="K1068" s="8" t="e">
        <f t="shared" si="66"/>
        <v>#N/A</v>
      </c>
      <c r="L1068" s="6" t="str">
        <f t="shared" si="67"/>
        <v xml:space="preserve">   -   </v>
      </c>
    </row>
    <row r="1069" spans="1:12" x14ac:dyDescent="0.25">
      <c r="A1069" s="9" t="s">
        <v>1068</v>
      </c>
      <c r="B1069" s="2" t="str">
        <f>VLOOKUP(A1069,[1]Sheet!B$3:G$2921,2,0)</f>
        <v>Наконечники кабельні алюмiнiєвi для
опресування 50-10-12-А-УХЛЗ</v>
      </c>
      <c r="C1069" s="3" t="str">
        <f>VLOOKUP(A1069,[1]Sheet!B$3:G$2921,3,0)</f>
        <v>100шт</v>
      </c>
      <c r="D1069" s="4">
        <v>0.08</v>
      </c>
      <c r="E1069" s="5" t="e">
        <f>VLOOKUP(A1069,N$3:S$1271,4,FALSE)</f>
        <v>#N/A</v>
      </c>
      <c r="F1069" s="6">
        <f t="shared" si="64"/>
        <v>0.08</v>
      </c>
      <c r="G1069" s="7">
        <f>VLOOKUP(A1069,[1]Sheet!B$3:G$2921,5,0)</f>
        <v>705.92</v>
      </c>
      <c r="H1069" s="5" t="e">
        <f>VLOOKUP(A1069,N$3:S$1271,5,FALSE)</f>
        <v>#N/A</v>
      </c>
      <c r="I1069" s="6">
        <f t="shared" si="65"/>
        <v>705.92</v>
      </c>
      <c r="J1069" s="7">
        <f>VLOOKUP(A1069,[1]Sheet!B$3:G$2921,6,0)</f>
        <v>56.47</v>
      </c>
      <c r="K1069" s="8" t="e">
        <f t="shared" si="66"/>
        <v>#N/A</v>
      </c>
      <c r="L1069" s="6">
        <f t="shared" si="67"/>
        <v>56.47</v>
      </c>
    </row>
    <row r="1070" spans="1:12" x14ac:dyDescent="0.25">
      <c r="A1070" s="9" t="s">
        <v>1069</v>
      </c>
      <c r="B1070" s="2" t="str">
        <f>VLOOKUP(A1070,[1]Sheet!B$3:G$2921,2,0)</f>
        <v>Шланг гнучкий в оплітці з алюмінієвого
сплаву l=40см, діам.15мм</v>
      </c>
      <c r="C1070" s="3" t="str">
        <f>VLOOKUP(A1070,[1]Sheet!B$3:G$2921,3,0)</f>
        <v>шт</v>
      </c>
      <c r="D1070" s="4">
        <v>22</v>
      </c>
      <c r="E1070" s="5" t="e">
        <f>VLOOKUP(A1070,N$3:S$1271,4,FALSE)</f>
        <v>#N/A</v>
      </c>
      <c r="F1070" s="6">
        <f t="shared" si="64"/>
        <v>22</v>
      </c>
      <c r="G1070" s="7">
        <f>VLOOKUP(A1070,[1]Sheet!B$3:G$2921,5,0)</f>
        <v>137.34</v>
      </c>
      <c r="H1070" s="5" t="e">
        <f>VLOOKUP(A1070,N$3:S$1271,5,FALSE)</f>
        <v>#N/A</v>
      </c>
      <c r="I1070" s="6">
        <f t="shared" si="65"/>
        <v>137.34</v>
      </c>
      <c r="J1070" s="7">
        <f>VLOOKUP(A1070,[1]Sheet!B$3:G$2921,6,0)</f>
        <v>1098.72</v>
      </c>
      <c r="K1070" s="8" t="e">
        <f t="shared" si="66"/>
        <v>#N/A</v>
      </c>
      <c r="L1070" s="6">
        <f t="shared" si="67"/>
        <v>1098.72</v>
      </c>
    </row>
    <row r="1071" spans="1:12" x14ac:dyDescent="0.25">
      <c r="A1071" s="9" t="s">
        <v>1070</v>
      </c>
      <c r="B1071" s="2" t="str">
        <f>VLOOKUP(A1071,[1]Sheet!B$3:G$2921,2,0)</f>
        <v>Скоба L=40мм</v>
      </c>
      <c r="C1071" s="3" t="str">
        <f>VLOOKUP(A1071,[1]Sheet!B$3:G$2921,3,0)</f>
        <v>100шт</v>
      </c>
      <c r="D1071" s="4">
        <v>38.840000000000003</v>
      </c>
      <c r="E1071" s="5" t="e">
        <f>VLOOKUP(A1071,N$3:S$1271,4,FALSE)</f>
        <v>#N/A</v>
      </c>
      <c r="F1071" s="6">
        <f t="shared" si="64"/>
        <v>38.840000000000003</v>
      </c>
      <c r="G1071" s="7">
        <f>VLOOKUP(A1071,[1]Sheet!B$3:G$2921,5,0)</f>
        <v>21.24</v>
      </c>
      <c r="H1071" s="5" t="e">
        <f>VLOOKUP(A1071,N$3:S$1271,5,FALSE)</f>
        <v>#N/A</v>
      </c>
      <c r="I1071" s="6">
        <f t="shared" si="65"/>
        <v>21.24</v>
      </c>
      <c r="J1071" s="7">
        <f>VLOOKUP(A1071,[1]Sheet!B$3:G$2921,6,0)</f>
        <v>798.62</v>
      </c>
      <c r="K1071" s="8" t="e">
        <f t="shared" si="66"/>
        <v>#N/A</v>
      </c>
      <c r="L1071" s="6">
        <f t="shared" si="67"/>
        <v>798.62</v>
      </c>
    </row>
    <row r="1072" spans="1:12" x14ac:dyDescent="0.25">
      <c r="A1072" s="9" t="s">
        <v>1071</v>
      </c>
      <c r="B1072" s="2" t="str">
        <f>VLOOKUP(A1072,[1]Sheet!B$3:G$2921,2,0)</f>
        <v>Трос металевий, дiаметр 6 мм</v>
      </c>
      <c r="C1072" s="3" t="str">
        <f>VLOOKUP(A1072,[1]Sheet!B$3:G$2921,3,0)</f>
        <v>м</v>
      </c>
      <c r="D1072" s="4">
        <v>26</v>
      </c>
      <c r="E1072" s="5" t="e">
        <f>VLOOKUP(A1072,N$3:S$1271,4,FALSE)</f>
        <v>#N/A</v>
      </c>
      <c r="F1072" s="6">
        <f t="shared" si="64"/>
        <v>26</v>
      </c>
      <c r="G1072" s="7">
        <f>VLOOKUP(A1072,[1]Sheet!B$3:G$2921,5,0)</f>
        <v>25.72</v>
      </c>
      <c r="H1072" s="5" t="e">
        <f>VLOOKUP(A1072,N$3:S$1271,5,FALSE)</f>
        <v>#N/A</v>
      </c>
      <c r="I1072" s="6">
        <f t="shared" si="65"/>
        <v>25.72</v>
      </c>
      <c r="J1072" s="7">
        <f>VLOOKUP(A1072,[1]Sheet!B$3:G$2921,6,0)</f>
        <v>668.72</v>
      </c>
      <c r="K1072" s="8" t="e">
        <f t="shared" si="66"/>
        <v>#N/A</v>
      </c>
      <c r="L1072" s="6">
        <f t="shared" si="67"/>
        <v>668.72</v>
      </c>
    </row>
    <row r="1073" spans="1:12" x14ac:dyDescent="0.25">
      <c r="A1073" s="9" t="s">
        <v>1072</v>
      </c>
      <c r="B1073" s="2" t="str">
        <f>VLOOKUP(A1073,[1]Sheet!B$3:G$2921,2,0)</f>
        <v>Трубка мiдна з термоізолятором d=6,35х0,76</v>
      </c>
      <c r="C1073" s="3" t="str">
        <f>VLOOKUP(A1073,[1]Sheet!B$3:G$2921,3,0)</f>
        <v>м</v>
      </c>
      <c r="D1073" s="4">
        <v>35</v>
      </c>
      <c r="E1073" s="5" t="e">
        <f>VLOOKUP(A1073,N$3:S$1271,4,FALSE)</f>
        <v>#N/A</v>
      </c>
      <c r="F1073" s="6">
        <f t="shared" si="64"/>
        <v>35</v>
      </c>
      <c r="G1073" s="7">
        <f>VLOOKUP(A1073,[1]Sheet!B$3:G$2921,5,0)</f>
        <v>54.11</v>
      </c>
      <c r="H1073" s="5" t="e">
        <f>VLOOKUP(A1073,N$3:S$1271,5,FALSE)</f>
        <v>#N/A</v>
      </c>
      <c r="I1073" s="6">
        <f t="shared" si="65"/>
        <v>54.11</v>
      </c>
      <c r="J1073" s="7">
        <f>VLOOKUP(A1073,[1]Sheet!B$3:G$2921,6,0)</f>
        <v>270.55</v>
      </c>
      <c r="K1073" s="8" t="e">
        <f t="shared" si="66"/>
        <v>#N/A</v>
      </c>
      <c r="L1073" s="6">
        <f t="shared" si="67"/>
        <v>270.55</v>
      </c>
    </row>
    <row r="1074" spans="1:12" x14ac:dyDescent="0.25">
      <c r="A1074" s="9" t="s">
        <v>1073</v>
      </c>
      <c r="B1074" s="2" t="str">
        <f>VLOOKUP(A1074,[1]Sheet!B$3:G$2921,2,0)</f>
        <v>Трубка мiдна з термоізолятором d=12,7х0,89</v>
      </c>
      <c r="C1074" s="3" t="str">
        <f>VLOOKUP(A1074,[1]Sheet!B$3:G$2921,3,0)</f>
        <v>м</v>
      </c>
      <c r="D1074" s="4">
        <v>5</v>
      </c>
      <c r="E1074" s="5" t="e">
        <f>VLOOKUP(A1074,N$3:S$1271,4,FALSE)</f>
        <v>#N/A</v>
      </c>
      <c r="F1074" s="6">
        <f t="shared" si="64"/>
        <v>5</v>
      </c>
      <c r="G1074" s="7">
        <f>VLOOKUP(A1074,[1]Sheet!B$3:G$2921,5,0)</f>
        <v>121.38</v>
      </c>
      <c r="H1074" s="5" t="e">
        <f>VLOOKUP(A1074,N$3:S$1271,5,FALSE)</f>
        <v>#N/A</v>
      </c>
      <c r="I1074" s="6">
        <f t="shared" si="65"/>
        <v>121.38</v>
      </c>
      <c r="J1074" s="7">
        <f>VLOOKUP(A1074,[1]Sheet!B$3:G$2921,6,0)</f>
        <v>606.9</v>
      </c>
      <c r="K1074" s="8" t="e">
        <f t="shared" si="66"/>
        <v>#N/A</v>
      </c>
      <c r="L1074" s="6">
        <f t="shared" si="67"/>
        <v>606.9</v>
      </c>
    </row>
    <row r="1075" spans="1:12" x14ac:dyDescent="0.25">
      <c r="A1075" s="9" t="s">
        <v>1074</v>
      </c>
      <c r="B1075" s="2" t="str">
        <f>VLOOKUP(A1075,[1]Sheet!B$3:G$2921,2,0)</f>
        <v>Трубка мiдна з термоізолятором d=9,52х0,81</v>
      </c>
      <c r="C1075" s="3" t="str">
        <f>VLOOKUP(A1075,[1]Sheet!B$3:G$2921,3,0)</f>
        <v>м</v>
      </c>
      <c r="D1075" s="4">
        <v>35</v>
      </c>
      <c r="E1075" s="5" t="e">
        <f>VLOOKUP(A1075,N$3:S$1271,4,FALSE)</f>
        <v>#N/A</v>
      </c>
      <c r="F1075" s="6">
        <f t="shared" si="64"/>
        <v>35</v>
      </c>
      <c r="G1075" s="7">
        <f>VLOOKUP(A1075,[1]Sheet!B$3:G$2921,5,0)</f>
        <v>92.33</v>
      </c>
      <c r="H1075" s="5" t="e">
        <f>VLOOKUP(A1075,N$3:S$1271,5,FALSE)</f>
        <v>#N/A</v>
      </c>
      <c r="I1075" s="6">
        <f t="shared" si="65"/>
        <v>92.33</v>
      </c>
      <c r="J1075" s="7">
        <f>VLOOKUP(A1075,[1]Sheet!B$3:G$2921,6,0)</f>
        <v>1846.6</v>
      </c>
      <c r="K1075" s="8" t="e">
        <f t="shared" si="66"/>
        <v>#N/A</v>
      </c>
      <c r="L1075" s="6">
        <f t="shared" si="67"/>
        <v>1846.6</v>
      </c>
    </row>
    <row r="1076" spans="1:12" x14ac:dyDescent="0.25">
      <c r="A1076" s="9" t="s">
        <v>1075</v>
      </c>
      <c r="B1076" s="2" t="str">
        <f>VLOOKUP(A1076,[1]Sheet!B$3:G$2921,2,0)</f>
        <v>Трубка мiдна з термоізолятором d=15,87х0,
89</v>
      </c>
      <c r="C1076" s="3" t="str">
        <f>VLOOKUP(A1076,[1]Sheet!B$3:G$2921,3,0)</f>
        <v>м</v>
      </c>
      <c r="D1076" s="4">
        <v>5</v>
      </c>
      <c r="E1076" s="5" t="e">
        <f>VLOOKUP(A1076,N$3:S$1271,4,FALSE)</f>
        <v>#N/A</v>
      </c>
      <c r="F1076" s="6">
        <f t="shared" si="64"/>
        <v>5</v>
      </c>
      <c r="G1076" s="7">
        <f>VLOOKUP(A1076,[1]Sheet!B$3:G$2921,5,0)</f>
        <v>129.84</v>
      </c>
      <c r="H1076" s="5" t="e">
        <f>VLOOKUP(A1076,N$3:S$1271,5,FALSE)</f>
        <v>#N/A</v>
      </c>
      <c r="I1076" s="6">
        <f t="shared" si="65"/>
        <v>129.84</v>
      </c>
      <c r="J1076" s="7">
        <f>VLOOKUP(A1076,[1]Sheet!B$3:G$2921,6,0)</f>
        <v>649.20000000000005</v>
      </c>
      <c r="K1076" s="8" t="e">
        <f t="shared" si="66"/>
        <v>#N/A</v>
      </c>
      <c r="L1076" s="6">
        <f t="shared" si="67"/>
        <v>649.20000000000005</v>
      </c>
    </row>
    <row r="1077" spans="1:12" x14ac:dyDescent="0.25">
      <c r="A1077" s="9" t="s">
        <v>1076</v>
      </c>
      <c r="B1077" s="2" t="str">
        <f>VLOOKUP(A1077,[1]Sheet!B$3:G$2921,2,0)</f>
        <v>Штуцер для шланга к зливному крану
"ГЕРЦ" ду 15</v>
      </c>
      <c r="C1077" s="3" t="str">
        <f>VLOOKUP(A1077,[1]Sheet!B$3:G$2921,3,0)</f>
        <v>шт</v>
      </c>
      <c r="D1077" s="4">
        <v>12</v>
      </c>
      <c r="E1077" s="5" t="e">
        <f>VLOOKUP(A1077,N$3:S$1271,4,FALSE)</f>
        <v>#N/A</v>
      </c>
      <c r="F1077" s="6">
        <f t="shared" si="64"/>
        <v>12</v>
      </c>
      <c r="G1077" s="7">
        <f>VLOOKUP(A1077,[1]Sheet!B$3:G$2921,5,0)</f>
        <v>107.58</v>
      </c>
      <c r="H1077" s="5" t="e">
        <f>VLOOKUP(A1077,N$3:S$1271,5,FALSE)</f>
        <v>#N/A</v>
      </c>
      <c r="I1077" s="6">
        <f t="shared" si="65"/>
        <v>107.58</v>
      </c>
      <c r="J1077" s="7">
        <f>VLOOKUP(A1077,[1]Sheet!B$3:G$2921,6,0)</f>
        <v>107.58</v>
      </c>
      <c r="K1077" s="8" t="e">
        <f t="shared" si="66"/>
        <v>#N/A</v>
      </c>
      <c r="L1077" s="6">
        <f t="shared" si="67"/>
        <v>107.58</v>
      </c>
    </row>
    <row r="1078" spans="1:12" x14ac:dyDescent="0.25">
      <c r="A1078" s="9" t="s">
        <v>1077</v>
      </c>
      <c r="B1078" s="2" t="str">
        <f>VLOOKUP(A1078,[1]Sheet!B$3:G$2921,2,0)</f>
        <v>Гiльза RAUTITAN PX для запресовки, діам.
16</v>
      </c>
      <c r="C1078" s="3" t="str">
        <f>VLOOKUP(A1078,[1]Sheet!B$3:G$2921,3,0)</f>
        <v>шт</v>
      </c>
      <c r="D1078" s="4">
        <v>850</v>
      </c>
      <c r="E1078" s="5" t="e">
        <f>VLOOKUP(A1078,N$3:S$1271,4,FALSE)</f>
        <v>#N/A</v>
      </c>
      <c r="F1078" s="6">
        <f t="shared" si="64"/>
        <v>850</v>
      </c>
      <c r="G1078" s="7">
        <f>VLOOKUP(A1078,[1]Sheet!B$3:G$2921,5,0)</f>
        <v>27.72</v>
      </c>
      <c r="H1078" s="5" t="e">
        <f>VLOOKUP(A1078,N$3:S$1271,5,FALSE)</f>
        <v>#N/A</v>
      </c>
      <c r="I1078" s="6">
        <f t="shared" si="65"/>
        <v>27.72</v>
      </c>
      <c r="J1078" s="7">
        <f>VLOOKUP(A1078,[1]Sheet!B$3:G$2921,6,0)</f>
        <v>388.08</v>
      </c>
      <c r="K1078" s="8" t="e">
        <f t="shared" si="66"/>
        <v>#N/A</v>
      </c>
      <c r="L1078" s="6">
        <f t="shared" si="67"/>
        <v>388.08</v>
      </c>
    </row>
    <row r="1079" spans="1:12" x14ac:dyDescent="0.25">
      <c r="A1079" s="9" t="s">
        <v>1078</v>
      </c>
      <c r="B1079" s="2" t="str">
        <f>VLOOKUP(A1079,[1]Sheet!B$3:G$2921,2,0)</f>
        <v>Саморіз 3,5х35мм</v>
      </c>
      <c r="C1079" s="3" t="str">
        <f>VLOOKUP(A1079,[1]Sheet!B$3:G$2921,3,0)</f>
        <v>шт</v>
      </c>
      <c r="D1079" s="4">
        <v>100</v>
      </c>
      <c r="E1079" s="5" t="e">
        <f>VLOOKUP(A1079,N$3:S$1271,4,FALSE)</f>
        <v>#N/A</v>
      </c>
      <c r="F1079" s="6">
        <f t="shared" si="64"/>
        <v>100</v>
      </c>
      <c r="G1079" s="7">
        <f>VLOOKUP(A1079,[1]Sheet!B$3:G$2921,5,0)</f>
        <v>0.21</v>
      </c>
      <c r="H1079" s="5" t="e">
        <f>VLOOKUP(A1079,N$3:S$1271,5,FALSE)</f>
        <v>#N/A</v>
      </c>
      <c r="I1079" s="6">
        <f t="shared" si="65"/>
        <v>0.21</v>
      </c>
      <c r="J1079" s="7">
        <f>VLOOKUP(A1079,[1]Sheet!B$3:G$2921,6,0)</f>
        <v>21</v>
      </c>
      <c r="K1079" s="8" t="e">
        <f t="shared" si="66"/>
        <v>#N/A</v>
      </c>
      <c r="L1079" s="6">
        <f t="shared" si="67"/>
        <v>21</v>
      </c>
    </row>
    <row r="1080" spans="1:12" x14ac:dyDescent="0.25">
      <c r="A1080" s="9" t="s">
        <v>1079</v>
      </c>
      <c r="B1080" s="2" t="str">
        <f>VLOOKUP(A1080,[1]Sheet!B$3:G$2921,2,0)</f>
        <v>Дюбель 6х60</v>
      </c>
      <c r="C1080" s="3" t="str">
        <f>VLOOKUP(A1080,[1]Sheet!B$3:G$2921,3,0)</f>
        <v>шт</v>
      </c>
      <c r="D1080" s="4">
        <v>594</v>
      </c>
      <c r="E1080" s="5" t="e">
        <f>VLOOKUP(A1080,N$3:S$1271,4,FALSE)</f>
        <v>#N/A</v>
      </c>
      <c r="F1080" s="6">
        <f t="shared" si="64"/>
        <v>594</v>
      </c>
      <c r="G1080" s="7">
        <f>VLOOKUP(A1080,[1]Sheet!B$3:G$2921,5,0)</f>
        <v>0.65</v>
      </c>
      <c r="H1080" s="5" t="e">
        <f>VLOOKUP(A1080,N$3:S$1271,5,FALSE)</f>
        <v>#N/A</v>
      </c>
      <c r="I1080" s="6">
        <f t="shared" si="65"/>
        <v>0.65</v>
      </c>
      <c r="J1080" s="7">
        <f>VLOOKUP(A1080,[1]Sheet!B$3:G$2921,6,0)</f>
        <v>48.75</v>
      </c>
      <c r="K1080" s="8" t="e">
        <f t="shared" si="66"/>
        <v>#N/A</v>
      </c>
      <c r="L1080" s="6">
        <f t="shared" si="67"/>
        <v>48.75</v>
      </c>
    </row>
    <row r="1081" spans="1:12" x14ac:dyDescent="0.25">
      <c r="A1081" s="9" t="s">
        <v>1080</v>
      </c>
      <c r="B1081" s="2" t="str">
        <f>VLOOKUP(A1081,[1]Sheet!B$3:G$2921,2,0)</f>
        <v>Саморіз по металу 5,5х32мм</v>
      </c>
      <c r="C1081" s="3" t="str">
        <f>VLOOKUP(A1081,[1]Sheet!B$3:G$2921,3,0)</f>
        <v>100шт</v>
      </c>
      <c r="D1081" s="4">
        <v>23.32</v>
      </c>
      <c r="E1081" s="5" t="e">
        <f>VLOOKUP(A1081,N$3:S$1271,4,FALSE)</f>
        <v>#N/A</v>
      </c>
      <c r="F1081" s="6">
        <f t="shared" si="64"/>
        <v>23.32</v>
      </c>
      <c r="G1081" s="7">
        <f>VLOOKUP(A1081,[1]Sheet!B$3:G$2921,5,0)</f>
        <v>155.41</v>
      </c>
      <c r="H1081" s="5" t="e">
        <f>VLOOKUP(A1081,N$3:S$1271,5,FALSE)</f>
        <v>#N/A</v>
      </c>
      <c r="I1081" s="6">
        <f t="shared" si="65"/>
        <v>155.41</v>
      </c>
      <c r="J1081" s="7">
        <f>VLOOKUP(A1081,[1]Sheet!B$3:G$2921,6,0)</f>
        <v>2293.85</v>
      </c>
      <c r="K1081" s="8" t="e">
        <f t="shared" si="66"/>
        <v>#N/A</v>
      </c>
      <c r="L1081" s="6">
        <f t="shared" si="67"/>
        <v>2293.85</v>
      </c>
    </row>
    <row r="1082" spans="1:12" x14ac:dyDescent="0.25">
      <c r="A1082" s="9" t="s">
        <v>1081</v>
      </c>
      <c r="B1082" s="2" t="str">
        <f>VLOOKUP(A1082,[1]Sheet!B$3:G$2921,2,0)</f>
        <v>Саморіз 4,8х19</v>
      </c>
      <c r="C1082" s="3" t="str">
        <f>VLOOKUP(A1082,[1]Sheet!B$3:G$2921,3,0)</f>
        <v>100шт</v>
      </c>
      <c r="D1082" s="4">
        <v>40.209999999999994</v>
      </c>
      <c r="E1082" s="5" t="e">
        <f>VLOOKUP(A1082,N$3:S$1271,4,FALSE)</f>
        <v>#N/A</v>
      </c>
      <c r="F1082" s="6">
        <f t="shared" si="64"/>
        <v>40.209999999999994</v>
      </c>
      <c r="G1082" s="7">
        <f>VLOOKUP(A1082,[1]Sheet!B$3:G$2921,5,0)</f>
        <v>99.88</v>
      </c>
      <c r="H1082" s="5" t="e">
        <f>VLOOKUP(A1082,N$3:S$1271,5,FALSE)</f>
        <v>#N/A</v>
      </c>
      <c r="I1082" s="6">
        <f t="shared" si="65"/>
        <v>99.88</v>
      </c>
      <c r="J1082" s="7">
        <f>VLOOKUP(A1082,[1]Sheet!B$3:G$2921,6,0)</f>
        <v>2586.89</v>
      </c>
      <c r="K1082" s="8" t="e">
        <f t="shared" si="66"/>
        <v>#N/A</v>
      </c>
      <c r="L1082" s="6">
        <f t="shared" si="67"/>
        <v>2586.89</v>
      </c>
    </row>
    <row r="1083" spans="1:12" x14ac:dyDescent="0.25">
      <c r="A1083" s="9" t="s">
        <v>1082</v>
      </c>
      <c r="B1083" s="2" t="str">
        <f>VLOOKUP(A1083,[1]Sheet!B$3:G$2921,2,0)</f>
        <v>Саморіз по металу 4,8х25мм</v>
      </c>
      <c r="C1083" s="3" t="str">
        <f>VLOOKUP(A1083,[1]Sheet!B$3:G$2921,3,0)</f>
        <v>100шт</v>
      </c>
      <c r="D1083" s="4">
        <v>63.879999999999995</v>
      </c>
      <c r="E1083" s="5" t="e">
        <f>VLOOKUP(A1083,N$3:S$1271,4,FALSE)</f>
        <v>#N/A</v>
      </c>
      <c r="F1083" s="6">
        <f t="shared" si="64"/>
        <v>63.879999999999995</v>
      </c>
      <c r="G1083" s="7">
        <f>VLOOKUP(A1083,[1]Sheet!B$3:G$2921,5,0)</f>
        <v>147.34</v>
      </c>
      <c r="H1083" s="5" t="e">
        <f>VLOOKUP(A1083,N$3:S$1271,5,FALSE)</f>
        <v>#N/A</v>
      </c>
      <c r="I1083" s="6">
        <f t="shared" si="65"/>
        <v>147.34</v>
      </c>
      <c r="J1083" s="7">
        <f>VLOOKUP(A1083,[1]Sheet!B$3:G$2921,6,0)</f>
        <v>5657.86</v>
      </c>
      <c r="K1083" s="8" t="e">
        <f t="shared" si="66"/>
        <v>#N/A</v>
      </c>
      <c r="L1083" s="6">
        <f t="shared" si="67"/>
        <v>5657.86</v>
      </c>
    </row>
    <row r="1084" spans="1:12" x14ac:dyDescent="0.25">
      <c r="A1084" s="9" t="s">
        <v>1083</v>
      </c>
      <c r="B1084" s="2" t="str">
        <f>VLOOKUP(A1084,[1]Sheet!B$3:G$2921,2,0)</f>
        <v>Саморіз по металу 5,5х25мм</v>
      </c>
      <c r="C1084" s="3" t="str">
        <f>VLOOKUP(A1084,[1]Sheet!B$3:G$2921,3,0)</f>
        <v>100шт</v>
      </c>
      <c r="D1084" s="4">
        <v>41.55</v>
      </c>
      <c r="E1084" s="5" t="e">
        <f>VLOOKUP(A1084,N$3:S$1271,4,FALSE)</f>
        <v>#N/A</v>
      </c>
      <c r="F1084" s="6">
        <f t="shared" si="64"/>
        <v>41.55</v>
      </c>
      <c r="G1084" s="7">
        <f>VLOOKUP(A1084,[1]Sheet!B$3:G$2921,5,0)</f>
        <v>123.75</v>
      </c>
      <c r="H1084" s="5" t="e">
        <f>VLOOKUP(A1084,N$3:S$1271,5,FALSE)</f>
        <v>#N/A</v>
      </c>
      <c r="I1084" s="6">
        <f t="shared" si="65"/>
        <v>123.75</v>
      </c>
      <c r="J1084" s="7">
        <f>VLOOKUP(A1084,[1]Sheet!B$3:G$2921,6,0)</f>
        <v>1410.75</v>
      </c>
      <c r="K1084" s="8" t="e">
        <f t="shared" si="66"/>
        <v>#N/A</v>
      </c>
      <c r="L1084" s="6">
        <f t="shared" si="67"/>
        <v>1410.75</v>
      </c>
    </row>
    <row r="1085" spans="1:12" x14ac:dyDescent="0.25">
      <c r="A1085" s="9" t="s">
        <v>1084</v>
      </c>
      <c r="B1085" s="2" t="str">
        <f>VLOOKUP(A1085,[1]Sheet!B$3:G$2921,2,0)</f>
        <v>Саморіз по металу 5,5х50мм</v>
      </c>
      <c r="C1085" s="3" t="str">
        <f>VLOOKUP(A1085,[1]Sheet!B$3:G$2921,3,0)</f>
        <v>100шт</v>
      </c>
      <c r="D1085" s="4">
        <v>3.64</v>
      </c>
      <c r="E1085" s="5" t="e">
        <f>VLOOKUP(A1085,N$3:S$1271,4,FALSE)</f>
        <v>#N/A</v>
      </c>
      <c r="F1085" s="6">
        <f t="shared" si="64"/>
        <v>3.64</v>
      </c>
      <c r="G1085" s="7">
        <f>VLOOKUP(A1085,[1]Sheet!B$3:G$2921,5,0)</f>
        <v>119.81</v>
      </c>
      <c r="H1085" s="5" t="e">
        <f>VLOOKUP(A1085,N$3:S$1271,5,FALSE)</f>
        <v>#N/A</v>
      </c>
      <c r="I1085" s="6">
        <f t="shared" si="65"/>
        <v>119.81</v>
      </c>
      <c r="J1085" s="7">
        <f>VLOOKUP(A1085,[1]Sheet!B$3:G$2921,6,0)</f>
        <v>436.11</v>
      </c>
      <c r="K1085" s="8" t="e">
        <f t="shared" si="66"/>
        <v>#N/A</v>
      </c>
      <c r="L1085" s="6">
        <f t="shared" si="67"/>
        <v>436.11</v>
      </c>
    </row>
    <row r="1086" spans="1:12" x14ac:dyDescent="0.25">
      <c r="A1086" s="9" t="s">
        <v>1085</v>
      </c>
      <c r="B1086" s="2" t="str">
        <f>VLOOKUP(A1086,[1]Sheet!B$3:G$2921,2,0)</f>
        <v>Дюбель 12х100 мм</v>
      </c>
      <c r="C1086" s="3" t="str">
        <f>VLOOKUP(A1086,[1]Sheet!B$3:G$2921,3,0)</f>
        <v>100шт</v>
      </c>
      <c r="D1086" s="4">
        <v>0.92999999999999994</v>
      </c>
      <c r="E1086" s="5" t="e">
        <f>VLOOKUP(A1086,N$3:S$1271,4,FALSE)</f>
        <v>#N/A</v>
      </c>
      <c r="F1086" s="6">
        <f t="shared" si="64"/>
        <v>0.92999999999999994</v>
      </c>
      <c r="G1086" s="7">
        <f>VLOOKUP(A1086,[1]Sheet!B$3:G$2921,5,0)</f>
        <v>384.03</v>
      </c>
      <c r="H1086" s="5" t="e">
        <f>VLOOKUP(A1086,N$3:S$1271,5,FALSE)</f>
        <v>#N/A</v>
      </c>
      <c r="I1086" s="6">
        <f t="shared" si="65"/>
        <v>384.03</v>
      </c>
      <c r="J1086" s="7">
        <f>VLOOKUP(A1086,[1]Sheet!B$3:G$2921,6,0)</f>
        <v>84.49</v>
      </c>
      <c r="K1086" s="8" t="e">
        <f t="shared" si="66"/>
        <v>#N/A</v>
      </c>
      <c r="L1086" s="6">
        <f t="shared" si="67"/>
        <v>84.49</v>
      </c>
    </row>
    <row r="1087" spans="1:12" x14ac:dyDescent="0.25">
      <c r="A1087" s="9" t="s">
        <v>1086</v>
      </c>
      <c r="B1087" s="2" t="str">
        <f>VLOOKUP(A1087,[1]Sheet!B$3:G$2921,2,0)</f>
        <v>Заглушка Д-110 (CIV110)</v>
      </c>
      <c r="C1087" s="3" t="str">
        <f>VLOOKUP(A1087,[1]Sheet!B$3:G$2921,3,0)</f>
        <v>100шт</v>
      </c>
      <c r="D1087" s="4">
        <v>0.02</v>
      </c>
      <c r="E1087" s="5" t="e">
        <f>VLOOKUP(A1087,N$3:S$1271,4,FALSE)</f>
        <v>#N/A</v>
      </c>
      <c r="F1087" s="6">
        <f t="shared" si="64"/>
        <v>0.02</v>
      </c>
      <c r="G1087" s="7">
        <f>VLOOKUP(A1087,[1]Sheet!B$3:G$2921,5,0)</f>
        <v>32121.13</v>
      </c>
      <c r="H1087" s="5" t="e">
        <f>VLOOKUP(A1087,N$3:S$1271,5,FALSE)</f>
        <v>#N/A</v>
      </c>
      <c r="I1087" s="6">
        <f t="shared" si="65"/>
        <v>32121.13</v>
      </c>
      <c r="J1087" s="7">
        <f>VLOOKUP(A1087,[1]Sheet!B$3:G$2921,6,0)</f>
        <v>642.41999999999996</v>
      </c>
      <c r="K1087" s="8" t="e">
        <f t="shared" si="66"/>
        <v>#N/A</v>
      </c>
      <c r="L1087" s="6">
        <f t="shared" si="67"/>
        <v>642.41999999999996</v>
      </c>
    </row>
    <row r="1088" spans="1:12" x14ac:dyDescent="0.25">
      <c r="A1088" s="9" t="s">
        <v>1087</v>
      </c>
      <c r="B1088" s="2" t="str">
        <f>VLOOKUP(A1088,[1]Sheet!B$3:G$2921,2,0)</f>
        <v>Заглушка сталева безшовна приварна
еліптична Д-159мм</v>
      </c>
      <c r="C1088" s="3" t="str">
        <f>VLOOKUP(A1088,[1]Sheet!B$3:G$2921,3,0)</f>
        <v>шт</v>
      </c>
      <c r="D1088" s="4">
        <v>1</v>
      </c>
      <c r="E1088" s="5" t="e">
        <f>VLOOKUP(A1088,N$3:S$1271,4,FALSE)</f>
        <v>#N/A</v>
      </c>
      <c r="F1088" s="6">
        <f t="shared" si="64"/>
        <v>1</v>
      </c>
      <c r="G1088" s="7">
        <f>VLOOKUP(A1088,[1]Sheet!B$3:G$2921,5,0)</f>
        <v>156.57</v>
      </c>
      <c r="H1088" s="5" t="e">
        <f>VLOOKUP(A1088,N$3:S$1271,5,FALSE)</f>
        <v>#N/A</v>
      </c>
      <c r="I1088" s="6">
        <f t="shared" si="65"/>
        <v>156.57</v>
      </c>
      <c r="J1088" s="7">
        <f>VLOOKUP(A1088,[1]Sheet!B$3:G$2921,6,0)</f>
        <v>156.57</v>
      </c>
      <c r="K1088" s="8" t="e">
        <f t="shared" si="66"/>
        <v>#N/A</v>
      </c>
      <c r="L1088" s="6">
        <f t="shared" si="67"/>
        <v>156.57</v>
      </c>
    </row>
    <row r="1089" spans="1:12" x14ac:dyDescent="0.25">
      <c r="A1089" s="9" t="s">
        <v>1088</v>
      </c>
      <c r="B1089" s="2" t="str">
        <f>VLOOKUP(A1089,[1]Sheet!B$3:G$2921,2,0)</f>
        <v>Забиття кiнцеве</v>
      </c>
      <c r="C1089" s="3" t="str">
        <f>VLOOKUP(A1089,[1]Sheet!B$3:G$2921,3,0)</f>
        <v>комплект</v>
      </c>
      <c r="D1089" s="4">
        <v>2.04</v>
      </c>
      <c r="E1089" s="5" t="e">
        <f>VLOOKUP(A1089,N$3:S$1271,4,FALSE)</f>
        <v>#N/A</v>
      </c>
      <c r="F1089" s="6">
        <f t="shared" si="64"/>
        <v>2.04</v>
      </c>
      <c r="G1089" s="7">
        <f>VLOOKUP(A1089,[1]Sheet!B$3:G$2921,5,0)</f>
        <v>627.32000000000005</v>
      </c>
      <c r="H1089" s="5" t="e">
        <f>VLOOKUP(A1089,N$3:S$1271,5,FALSE)</f>
        <v>#N/A</v>
      </c>
      <c r="I1089" s="6">
        <f t="shared" si="65"/>
        <v>627.32000000000005</v>
      </c>
      <c r="J1089" s="7">
        <f>VLOOKUP(A1089,[1]Sheet!B$3:G$2921,6,0)</f>
        <v>1279.73</v>
      </c>
      <c r="K1089" s="8" t="e">
        <f t="shared" si="66"/>
        <v>#N/A</v>
      </c>
      <c r="L1089" s="6">
        <f t="shared" si="67"/>
        <v>1279.73</v>
      </c>
    </row>
    <row r="1090" spans="1:12" x14ac:dyDescent="0.25">
      <c r="A1090" s="9" t="s">
        <v>1089</v>
      </c>
      <c r="B1090" s="2" t="str">
        <f>VLOOKUP(A1090,[1]Sheet!B$3:G$2921,2,0)</f>
        <v>Бобишки БК 1/2"</v>
      </c>
      <c r="C1090" s="3" t="str">
        <f>VLOOKUP(A1090,[1]Sheet!B$3:G$2921,3,0)</f>
        <v>шт</v>
      </c>
      <c r="D1090" s="4">
        <v>15</v>
      </c>
      <c r="E1090" s="5" t="e">
        <f>VLOOKUP(A1090,N$3:S$1271,4,FALSE)</f>
        <v>#N/A</v>
      </c>
      <c r="F1090" s="6">
        <f t="shared" ref="F1090:F1151" si="68">IFERROR(D1090-E1090,D1090)</f>
        <v>15</v>
      </c>
      <c r="G1090" s="7">
        <f>VLOOKUP(A1090,[1]Sheet!B$3:G$2921,5,0)</f>
        <v>90.33</v>
      </c>
      <c r="H1090" s="5" t="e">
        <f>VLOOKUP(A1090,N$3:S$1271,5,FALSE)</f>
        <v>#N/A</v>
      </c>
      <c r="I1090" s="6">
        <f t="shared" ref="I1090:I1151" si="69">IFERROR(G1090-H1090,G1090)</f>
        <v>90.33</v>
      </c>
      <c r="J1090" s="7">
        <f>VLOOKUP(A1090,[1]Sheet!B$3:G$2921,6,0)</f>
        <v>993.63</v>
      </c>
      <c r="K1090" s="8" t="e">
        <f t="shared" ref="K1090:K1151" si="70">VLOOKUP(A1090,N$3:S$1271,6,FALSE)</f>
        <v>#N/A</v>
      </c>
      <c r="L1090" s="6">
        <f t="shared" ref="L1090:L1151" si="71">IFERROR(J1090-K1090,J1090)</f>
        <v>993.63</v>
      </c>
    </row>
    <row r="1091" spans="1:12" x14ac:dyDescent="0.25">
      <c r="A1091" s="9" t="s">
        <v>1090</v>
      </c>
      <c r="B1091" s="2" t="str">
        <f>VLOOKUP(A1091,[1]Sheet!B$3:G$2921,2,0)</f>
        <v>Лоток перфорований 50х50 L=2м (35250)</v>
      </c>
      <c r="C1091" s="3" t="str">
        <f>VLOOKUP(A1091,[1]Sheet!B$3:G$2921,3,0)</f>
        <v>шт</v>
      </c>
      <c r="D1091" s="4">
        <v>8</v>
      </c>
      <c r="E1091" s="5" t="e">
        <f>VLOOKUP(A1091,N$3:S$1271,4,FALSE)</f>
        <v>#N/A</v>
      </c>
      <c r="F1091" s="6">
        <f t="shared" si="68"/>
        <v>8</v>
      </c>
      <c r="G1091" s="7">
        <f>VLOOKUP(A1091,[1]Sheet!B$3:G$2921,5,0)</f>
        <v>95.4</v>
      </c>
      <c r="H1091" s="5" t="e">
        <f>VLOOKUP(A1091,N$3:S$1271,5,FALSE)</f>
        <v>#N/A</v>
      </c>
      <c r="I1091" s="6">
        <f t="shared" si="69"/>
        <v>95.4</v>
      </c>
      <c r="J1091" s="7">
        <f>VLOOKUP(A1091,[1]Sheet!B$3:G$2921,6,0)</f>
        <v>763.2</v>
      </c>
      <c r="K1091" s="8" t="e">
        <f t="shared" si="70"/>
        <v>#N/A</v>
      </c>
      <c r="L1091" s="6">
        <f t="shared" si="71"/>
        <v>763.2</v>
      </c>
    </row>
    <row r="1092" spans="1:12" x14ac:dyDescent="0.25">
      <c r="A1092" s="9" t="s">
        <v>1091</v>
      </c>
      <c r="B1092" s="2" t="str">
        <f>VLOOKUP(A1092,[1]Sheet!B$3:G$2921,2,0)</f>
        <v>Кут СРО 90 горизонтальний 90_ 50х50
(36000)</v>
      </c>
      <c r="C1092" s="3" t="str">
        <f>VLOOKUP(A1092,[1]Sheet!B$3:G$2921,3,0)</f>
        <v>шт</v>
      </c>
      <c r="D1092" s="4">
        <v>2</v>
      </c>
      <c r="E1092" s="5" t="e">
        <f>VLOOKUP(A1092,N$3:S$1271,4,FALSE)</f>
        <v>#N/A</v>
      </c>
      <c r="F1092" s="6">
        <f t="shared" si="68"/>
        <v>2</v>
      </c>
      <c r="G1092" s="7">
        <f>VLOOKUP(A1092,[1]Sheet!B$3:G$2921,5,0)</f>
        <v>131.77000000000001</v>
      </c>
      <c r="H1092" s="5" t="e">
        <f>VLOOKUP(A1092,N$3:S$1271,5,FALSE)</f>
        <v>#N/A</v>
      </c>
      <c r="I1092" s="6">
        <f t="shared" si="69"/>
        <v>131.77000000000001</v>
      </c>
      <c r="J1092" s="7">
        <f>VLOOKUP(A1092,[1]Sheet!B$3:G$2921,6,0)</f>
        <v>263.54000000000002</v>
      </c>
      <c r="K1092" s="8" t="e">
        <f t="shared" si="70"/>
        <v>#N/A</v>
      </c>
      <c r="L1092" s="6">
        <f t="shared" si="71"/>
        <v>263.54000000000002</v>
      </c>
    </row>
    <row r="1093" spans="1:12" x14ac:dyDescent="0.25">
      <c r="A1093" s="9" t="s">
        <v>1092</v>
      </c>
      <c r="B1093" s="2" t="str">
        <f>VLOOKUP(A1093,[1]Sheet!B$3:G$2921,2,0)</f>
        <v>Кришка з заземленням на лоток осн. 50 L
2000 (35510)</v>
      </c>
      <c r="C1093" s="3" t="str">
        <f>VLOOKUP(A1093,[1]Sheet!B$3:G$2921,3,0)</f>
        <v>шт</v>
      </c>
      <c r="D1093" s="4">
        <v>8</v>
      </c>
      <c r="E1093" s="5" t="e">
        <f>VLOOKUP(A1093,N$3:S$1271,4,FALSE)</f>
        <v>#N/A</v>
      </c>
      <c r="F1093" s="6">
        <f t="shared" si="68"/>
        <v>8</v>
      </c>
      <c r="G1093" s="7">
        <f>VLOOKUP(A1093,[1]Sheet!B$3:G$2921,5,0)</f>
        <v>50.12</v>
      </c>
      <c r="H1093" s="5" t="e">
        <f>VLOOKUP(A1093,N$3:S$1271,5,FALSE)</f>
        <v>#N/A</v>
      </c>
      <c r="I1093" s="6">
        <f t="shared" si="69"/>
        <v>50.12</v>
      </c>
      <c r="J1093" s="7">
        <f>VLOOKUP(A1093,[1]Sheet!B$3:G$2921,6,0)</f>
        <v>400.96</v>
      </c>
      <c r="K1093" s="8" t="e">
        <f t="shared" si="70"/>
        <v>#N/A</v>
      </c>
      <c r="L1093" s="6">
        <f t="shared" si="71"/>
        <v>400.96</v>
      </c>
    </row>
    <row r="1094" spans="1:12" x14ac:dyDescent="0.25">
      <c r="A1094" s="9" t="s">
        <v>1093</v>
      </c>
      <c r="B1094" s="2" t="str">
        <f>VLOOKUP(A1094,[1]Sheet!B$3:G$2921,2,0)</f>
        <v>Соединитель лотков шарнирний GSVH50
(30013)</v>
      </c>
      <c r="C1094" s="3" t="str">
        <f>VLOOKUP(A1094,[1]Sheet!B$3:G$2921,3,0)</f>
        <v>шт</v>
      </c>
      <c r="D1094" s="4">
        <v>6</v>
      </c>
      <c r="E1094" s="5" t="e">
        <f>VLOOKUP(A1094,N$3:S$1271,4,FALSE)</f>
        <v>#N/A</v>
      </c>
      <c r="F1094" s="6">
        <f t="shared" si="68"/>
        <v>6</v>
      </c>
      <c r="G1094" s="7">
        <f>VLOOKUP(A1094,[1]Sheet!B$3:G$2921,5,0)</f>
        <v>40.22</v>
      </c>
      <c r="H1094" s="5" t="e">
        <f>VLOOKUP(A1094,N$3:S$1271,5,FALSE)</f>
        <v>#N/A</v>
      </c>
      <c r="I1094" s="6">
        <f t="shared" si="69"/>
        <v>40.22</v>
      </c>
      <c r="J1094" s="7">
        <f>VLOOKUP(A1094,[1]Sheet!B$3:G$2921,6,0)</f>
        <v>241.32</v>
      </c>
      <c r="K1094" s="8" t="e">
        <f t="shared" si="70"/>
        <v>#N/A</v>
      </c>
      <c r="L1094" s="6">
        <f t="shared" si="71"/>
        <v>241.32</v>
      </c>
    </row>
    <row r="1095" spans="1:12" x14ac:dyDescent="0.25">
      <c r="A1095" s="9" t="s">
        <v>1094</v>
      </c>
      <c r="B1095" s="2" t="str">
        <f>VLOOKUP(A1095,[1]Sheet!B$3:G$2921,2,0)</f>
        <v>Скоби однолапкові</v>
      </c>
      <c r="C1095" s="3" t="str">
        <f>VLOOKUP(A1095,[1]Sheet!B$3:G$2921,3,0)</f>
        <v>шт</v>
      </c>
      <c r="D1095" s="4">
        <v>100</v>
      </c>
      <c r="E1095" s="5" t="e">
        <f>VLOOKUP(A1095,N$3:S$1271,4,FALSE)</f>
        <v>#N/A</v>
      </c>
      <c r="F1095" s="6">
        <f t="shared" si="68"/>
        <v>100</v>
      </c>
      <c r="G1095" s="7">
        <f>VLOOKUP(A1095,[1]Sheet!B$3:G$2921,5,0)</f>
        <v>3.45</v>
      </c>
      <c r="H1095" s="5" t="e">
        <f>VLOOKUP(A1095,N$3:S$1271,5,FALSE)</f>
        <v>#N/A</v>
      </c>
      <c r="I1095" s="6">
        <f t="shared" si="69"/>
        <v>3.45</v>
      </c>
      <c r="J1095" s="7">
        <f>VLOOKUP(A1095,[1]Sheet!B$3:G$2921,6,0)</f>
        <v>345</v>
      </c>
      <c r="K1095" s="8" t="e">
        <f t="shared" si="70"/>
        <v>#N/A</v>
      </c>
      <c r="L1095" s="6">
        <f t="shared" si="71"/>
        <v>345</v>
      </c>
    </row>
    <row r="1096" spans="1:12" x14ac:dyDescent="0.25">
      <c r="A1096" s="9" t="s">
        <v>1095</v>
      </c>
      <c r="B1096" s="2" t="str">
        <f>VLOOKUP(A1096,[1]Sheet!B$3:G$2921,2,0)</f>
        <v>Жолоб фіксуючий, для РЕ - труб, діам.16/17
"REHAU"</v>
      </c>
      <c r="C1096" s="3" t="str">
        <f>VLOOKUP(A1096,[1]Sheet!B$3:G$2921,3,0)</f>
        <v>м</v>
      </c>
      <c r="D1096" s="4">
        <v>557</v>
      </c>
      <c r="E1096" s="5" t="e">
        <f>VLOOKUP(A1096,N$3:S$1271,4,FALSE)</f>
        <v>#N/A</v>
      </c>
      <c r="F1096" s="6">
        <f t="shared" si="68"/>
        <v>557</v>
      </c>
      <c r="G1096" s="7">
        <f>VLOOKUP(A1096,[1]Sheet!B$3:G$2921,5,0)</f>
        <v>52.17</v>
      </c>
      <c r="H1096" s="5" t="e">
        <f>VLOOKUP(A1096,N$3:S$1271,5,FALSE)</f>
        <v>#N/A</v>
      </c>
      <c r="I1096" s="6">
        <f t="shared" si="69"/>
        <v>52.17</v>
      </c>
      <c r="J1096" s="7">
        <f>VLOOKUP(A1096,[1]Sheet!B$3:G$2921,6,0)</f>
        <v>782.55</v>
      </c>
      <c r="K1096" s="8" t="e">
        <f t="shared" si="70"/>
        <v>#N/A</v>
      </c>
      <c r="L1096" s="6">
        <f t="shared" si="71"/>
        <v>782.55</v>
      </c>
    </row>
    <row r="1097" spans="1:12" x14ac:dyDescent="0.25">
      <c r="A1097" s="9" t="s">
        <v>1096</v>
      </c>
      <c r="B1097" s="2" t="str">
        <f>VLOOKUP(A1097,[1]Sheet!B$3:G$2921,2,0)</f>
        <v>Коробка відгалужувальна для трубної
проводки</v>
      </c>
      <c r="C1097" s="3" t="str">
        <f>VLOOKUP(A1097,[1]Sheet!B$3:G$2921,3,0)</f>
        <v>100шт</v>
      </c>
      <c r="D1097" s="4">
        <v>0.95</v>
      </c>
      <c r="E1097" s="5" t="e">
        <f>VLOOKUP(A1097,N$3:S$1271,4,FALSE)</f>
        <v>#N/A</v>
      </c>
      <c r="F1097" s="6">
        <f t="shared" si="68"/>
        <v>0.95</v>
      </c>
      <c r="G1097" s="7">
        <f>VLOOKUP(A1097,[1]Sheet!B$3:G$2921,5,0)</f>
        <v>3186.77</v>
      </c>
      <c r="H1097" s="5" t="e">
        <f>VLOOKUP(A1097,N$3:S$1271,5,FALSE)</f>
        <v>#N/A</v>
      </c>
      <c r="I1097" s="6">
        <f t="shared" si="69"/>
        <v>3186.77</v>
      </c>
      <c r="J1097" s="7">
        <f>VLOOKUP(A1097,[1]Sheet!B$3:G$2921,6,0)</f>
        <v>2390.08</v>
      </c>
      <c r="K1097" s="8" t="e">
        <f t="shared" si="70"/>
        <v>#N/A</v>
      </c>
      <c r="L1097" s="6">
        <f t="shared" si="71"/>
        <v>2390.08</v>
      </c>
    </row>
    <row r="1098" spans="1:12" x14ac:dyDescent="0.25">
      <c r="A1098" s="9" t="s">
        <v>1097</v>
      </c>
      <c r="B1098" s="2" t="str">
        <f>VLOOKUP(A1098,[1]Sheet!B$3:G$2921,2,0)</f>
        <v>Стрiчка ФУМ 15м, 19х0,25мм</v>
      </c>
      <c r="C1098" s="3" t="str">
        <f>VLOOKUP(A1098,[1]Sheet!B$3:G$2921,3,0)</f>
        <v>шт</v>
      </c>
      <c r="D1098" s="4">
        <v>1</v>
      </c>
      <c r="E1098" s="5" t="e">
        <f>VLOOKUP(A1098,N$3:S$1271,4,FALSE)</f>
        <v>#N/A</v>
      </c>
      <c r="F1098" s="6">
        <f t="shared" si="68"/>
        <v>1</v>
      </c>
      <c r="G1098" s="7">
        <f>VLOOKUP(A1098,[1]Sheet!B$3:G$2921,5,0)</f>
        <v>38.270000000000003</v>
      </c>
      <c r="H1098" s="5" t="e">
        <f>VLOOKUP(A1098,N$3:S$1271,5,FALSE)</f>
        <v>#N/A</v>
      </c>
      <c r="I1098" s="6">
        <f t="shared" si="69"/>
        <v>38.270000000000003</v>
      </c>
      <c r="J1098" s="7">
        <f>VLOOKUP(A1098,[1]Sheet!B$3:G$2921,6,0)</f>
        <v>38.270000000000003</v>
      </c>
      <c r="K1098" s="8" t="e">
        <f t="shared" si="70"/>
        <v>#N/A</v>
      </c>
      <c r="L1098" s="6">
        <f t="shared" si="71"/>
        <v>38.270000000000003</v>
      </c>
    </row>
    <row r="1099" spans="1:12" x14ac:dyDescent="0.25">
      <c r="A1099" s="9" t="s">
        <v>1098</v>
      </c>
      <c r="B1099" s="2" t="str">
        <f>VLOOKUP(A1099,[1]Sheet!B$3:G$2921,2,0)</f>
        <v>Змащення для каналізації</v>
      </c>
      <c r="C1099" s="3" t="str">
        <f>VLOOKUP(A1099,[1]Sheet!B$3:G$2921,3,0)</f>
        <v>кг</v>
      </c>
      <c r="D1099" s="4">
        <v>0.60000000000000009</v>
      </c>
      <c r="E1099" s="5" t="e">
        <f>VLOOKUP(A1099,N$3:S$1271,4,FALSE)</f>
        <v>#N/A</v>
      </c>
      <c r="F1099" s="6">
        <f t="shared" si="68"/>
        <v>0.60000000000000009</v>
      </c>
      <c r="G1099" s="7">
        <f>VLOOKUP(A1099,[1]Sheet!B$3:G$2921,5,0)</f>
        <v>949.71</v>
      </c>
      <c r="H1099" s="5" t="e">
        <f>VLOOKUP(A1099,N$3:S$1271,5,FALSE)</f>
        <v>#N/A</v>
      </c>
      <c r="I1099" s="6">
        <f t="shared" si="69"/>
        <v>949.71</v>
      </c>
      <c r="J1099" s="7">
        <f>VLOOKUP(A1099,[1]Sheet!B$3:G$2921,6,0)</f>
        <v>569.83000000000004</v>
      </c>
      <c r="K1099" s="8" t="e">
        <f t="shared" si="70"/>
        <v>#N/A</v>
      </c>
      <c r="L1099" s="6">
        <f t="shared" si="71"/>
        <v>569.83000000000004</v>
      </c>
    </row>
    <row r="1100" spans="1:12" x14ac:dyDescent="0.25">
      <c r="A1100" s="9" t="s">
        <v>1099</v>
      </c>
      <c r="B1100" s="2" t="str">
        <f>VLOOKUP(A1100,[1]Sheet!B$3:G$2921,2,0)</f>
        <v>Лампи світлодіодні А60е 7W E27 4100K 220V</v>
      </c>
      <c r="C1100" s="3" t="str">
        <f>VLOOKUP(A1100,[1]Sheet!B$3:G$2921,3,0)</f>
        <v>шт</v>
      </c>
      <c r="D1100" s="4">
        <v>16</v>
      </c>
      <c r="E1100" s="5" t="e">
        <f>VLOOKUP(A1100,N$3:S$1271,4,FALSE)</f>
        <v>#N/A</v>
      </c>
      <c r="F1100" s="6">
        <f t="shared" si="68"/>
        <v>16</v>
      </c>
      <c r="G1100" s="7">
        <f>VLOOKUP(A1100,[1]Sheet!B$3:G$2921,5,0)</f>
        <v>72.97</v>
      </c>
      <c r="H1100" s="5" t="e">
        <f>VLOOKUP(A1100,N$3:S$1271,5,FALSE)</f>
        <v>#N/A</v>
      </c>
      <c r="I1100" s="6">
        <f t="shared" si="69"/>
        <v>72.97</v>
      </c>
      <c r="J1100" s="7">
        <f>VLOOKUP(A1100,[1]Sheet!B$3:G$2921,6,0)</f>
        <v>1167.52</v>
      </c>
      <c r="K1100" s="8" t="e">
        <f t="shared" si="70"/>
        <v>#N/A</v>
      </c>
      <c r="L1100" s="6">
        <f t="shared" si="71"/>
        <v>1167.52</v>
      </c>
    </row>
    <row r="1101" spans="1:12" x14ac:dyDescent="0.25">
      <c r="A1101" s="9" t="s">
        <v>1100</v>
      </c>
      <c r="B1101" s="2" t="str">
        <f>VLOOKUP(A1101,[1]Sheet!B$3:G$2921,2,0)</f>
        <v>Прожектор світлодіодний, потужністю 100
Вт, ступінь захисту ІР 65 ART-LED "MAXUS"</v>
      </c>
      <c r="C1101" s="3" t="str">
        <f>VLOOKUP(A1101,[1]Sheet!B$3:G$2921,3,0)</f>
        <v>шт</v>
      </c>
      <c r="D1101" s="4">
        <v>23</v>
      </c>
      <c r="E1101" s="5" t="e">
        <f>VLOOKUP(A1101,N$3:S$1271,4,FALSE)</f>
        <v>#N/A</v>
      </c>
      <c r="F1101" s="6">
        <f t="shared" si="68"/>
        <v>23</v>
      </c>
      <c r="G1101" s="7">
        <f>VLOOKUP(A1101,[1]Sheet!B$3:G$2921,5,0)</f>
        <v>1516.49</v>
      </c>
      <c r="H1101" s="5" t="e">
        <f>VLOOKUP(A1101,N$3:S$1271,5,FALSE)</f>
        <v>#N/A</v>
      </c>
      <c r="I1101" s="6">
        <f t="shared" si="69"/>
        <v>1516.49</v>
      </c>
      <c r="J1101" s="7">
        <f>VLOOKUP(A1101,[1]Sheet!B$3:G$2921,6,0)</f>
        <v>34879.269999999997</v>
      </c>
      <c r="K1101" s="8" t="e">
        <f t="shared" si="70"/>
        <v>#N/A</v>
      </c>
      <c r="L1101" s="6">
        <f t="shared" si="71"/>
        <v>34879.269999999997</v>
      </c>
    </row>
    <row r="1102" spans="1:12" x14ac:dyDescent="0.25">
      <c r="A1102" s="9" t="s">
        <v>1101</v>
      </c>
      <c r="B1102" s="2" t="str">
        <f>VLOOKUP(A1102,[1]Sheet!B$3:G$2921,2,0)</f>
        <v>Свiтильник для саун, розсіювач з
жаростійкого скла</v>
      </c>
      <c r="C1102" s="3" t="str">
        <f>VLOOKUP(A1102,[1]Sheet!B$3:G$2921,3,0)</f>
        <v>шт</v>
      </c>
      <c r="D1102" s="4">
        <v>1</v>
      </c>
      <c r="E1102" s="5" t="e">
        <f>VLOOKUP(A1102,N$3:S$1271,4,FALSE)</f>
        <v>#N/A</v>
      </c>
      <c r="F1102" s="6">
        <f t="shared" si="68"/>
        <v>1</v>
      </c>
      <c r="G1102" s="7">
        <f>VLOOKUP(A1102,[1]Sheet!B$3:G$2921,5,0)</f>
        <v>609.52</v>
      </c>
      <c r="H1102" s="5" t="e">
        <f>VLOOKUP(A1102,N$3:S$1271,5,FALSE)</f>
        <v>#N/A</v>
      </c>
      <c r="I1102" s="6">
        <f t="shared" si="69"/>
        <v>609.52</v>
      </c>
      <c r="J1102" s="7">
        <f>VLOOKUP(A1102,[1]Sheet!B$3:G$2921,6,0)</f>
        <v>609.52</v>
      </c>
      <c r="K1102" s="8" t="e">
        <f t="shared" si="70"/>
        <v>#N/A</v>
      </c>
      <c r="L1102" s="6">
        <f t="shared" si="71"/>
        <v>609.52</v>
      </c>
    </row>
    <row r="1103" spans="1:12" x14ac:dyDescent="0.25">
      <c r="A1103" s="9" t="s">
        <v>1102</v>
      </c>
      <c r="B1103" s="2" t="str">
        <f>VLOOKUP(A1103,[1]Sheet!B$3:G$2921,2,0)</f>
        <v>Геотекстиль Tipp Tex BS16</v>
      </c>
      <c r="C1103" s="3" t="str">
        <f>VLOOKUP(A1103,[1]Sheet!B$3:G$2921,3,0)</f>
        <v>м2</v>
      </c>
      <c r="D1103" s="4">
        <v>1593.02</v>
      </c>
      <c r="E1103" s="5" t="e">
        <f>VLOOKUP(A1103,N$3:S$1271,4,FALSE)</f>
        <v>#N/A</v>
      </c>
      <c r="F1103" s="6">
        <f t="shared" si="68"/>
        <v>1593.02</v>
      </c>
      <c r="G1103" s="7">
        <f>VLOOKUP(A1103,[1]Sheet!B$3:G$2921,5,0)</f>
        <v>41.08</v>
      </c>
      <c r="H1103" s="5" t="e">
        <f>VLOOKUP(A1103,N$3:S$1271,5,FALSE)</f>
        <v>#N/A</v>
      </c>
      <c r="I1103" s="6">
        <f t="shared" si="69"/>
        <v>41.08</v>
      </c>
      <c r="J1103" s="7">
        <f>VLOOKUP(A1103,[1]Sheet!B$3:G$2921,6,0)</f>
        <v>64302.52</v>
      </c>
      <c r="K1103" s="8" t="e">
        <f t="shared" si="70"/>
        <v>#N/A</v>
      </c>
      <c r="L1103" s="6">
        <f t="shared" si="71"/>
        <v>64302.52</v>
      </c>
    </row>
    <row r="1104" spans="1:12" x14ac:dyDescent="0.25">
      <c r="A1104" s="9" t="s">
        <v>1103</v>
      </c>
      <c r="B1104" s="2" t="str">
        <f>VLOOKUP(A1104,[1]Sheet!B$3:G$2921,2,0)</f>
        <v>Проводи силовi з полiвiнiлхлоридною
iзоляцiєю з мiдною жилою пiдвищеної
гнучкостi, марка ПВЗ, перерiз 1 мм2</v>
      </c>
      <c r="C1104" s="3" t="str">
        <f>VLOOKUP(A1104,[1]Sheet!B$3:G$2921,3,0)</f>
        <v>1000м</v>
      </c>
      <c r="D1104" s="4">
        <v>0.05</v>
      </c>
      <c r="E1104" s="5" t="e">
        <f>VLOOKUP(A1104,N$3:S$1271,4,FALSE)</f>
        <v>#N/A</v>
      </c>
      <c r="F1104" s="6">
        <f t="shared" si="68"/>
        <v>0.05</v>
      </c>
      <c r="G1104" s="7">
        <f>VLOOKUP(A1104,[1]Sheet!B$3:G$2921,5,0)</f>
        <v>3120.36</v>
      </c>
      <c r="H1104" s="5" t="e">
        <f>VLOOKUP(A1104,N$3:S$1271,5,FALSE)</f>
        <v>#N/A</v>
      </c>
      <c r="I1104" s="6">
        <f t="shared" si="69"/>
        <v>3120.36</v>
      </c>
      <c r="J1104" s="7">
        <f>VLOOKUP(A1104,[1]Sheet!B$3:G$2921,6,0)</f>
        <v>156.02000000000001</v>
      </c>
      <c r="K1104" s="8" t="e">
        <f t="shared" si="70"/>
        <v>#N/A</v>
      </c>
      <c r="L1104" s="6">
        <f t="shared" si="71"/>
        <v>156.02000000000001</v>
      </c>
    </row>
    <row r="1105" spans="1:12" x14ac:dyDescent="0.25">
      <c r="A1105" s="9" t="s">
        <v>1104</v>
      </c>
      <c r="B1105" s="2" t="str">
        <f>VLOOKUP(A1105,[1]Sheet!B$3:G$2921,2,0)</f>
        <v>Самонесучий ізольований провід
(зворотнi матерiали)</v>
      </c>
      <c r="C1105" s="3" t="str">
        <f>VLOOKUP(A1105,[1]Sheet!B$3:G$2921,3,0)</f>
        <v>1000м</v>
      </c>
      <c r="D1105" s="4">
        <v>0.09</v>
      </c>
      <c r="E1105" s="5" t="e">
        <f>VLOOKUP(A1105,N$3:S$1271,4,FALSE)</f>
        <v>#N/A</v>
      </c>
      <c r="F1105" s="6">
        <f t="shared" si="68"/>
        <v>0.09</v>
      </c>
      <c r="G1105" s="7" t="str">
        <f>VLOOKUP(A1105,[1]Sheet!B$3:G$2921,5,0)</f>
        <v xml:space="preserve">   -   </v>
      </c>
      <c r="H1105" s="5" t="e">
        <f>VLOOKUP(A1105,N$3:S$1271,5,FALSE)</f>
        <v>#N/A</v>
      </c>
      <c r="I1105" s="6" t="str">
        <f t="shared" si="69"/>
        <v xml:space="preserve">   -   </v>
      </c>
      <c r="J1105" s="7" t="str">
        <f>VLOOKUP(A1105,[1]Sheet!B$3:G$2921,6,0)</f>
        <v xml:space="preserve">   -   </v>
      </c>
      <c r="K1105" s="8" t="e">
        <f t="shared" si="70"/>
        <v>#N/A</v>
      </c>
      <c r="L1105" s="6" t="str">
        <f t="shared" si="71"/>
        <v xml:space="preserve">   -   </v>
      </c>
    </row>
    <row r="1106" spans="1:12" x14ac:dyDescent="0.25">
      <c r="A1106" s="9" t="s">
        <v>1105</v>
      </c>
      <c r="B1106" s="2" t="str">
        <f>VLOOKUP(A1106,[1]Sheet!B$3:G$2921,2,0)</f>
        <v>Фiльтр осадний Ду65 фланцевий із
фланцями у відповідь та кріпильними
виробами, Zetkama тип 821</v>
      </c>
      <c r="C1106" s="3" t="str">
        <f>VLOOKUP(A1106,[1]Sheet!B$3:G$2921,3,0)</f>
        <v>шт</v>
      </c>
      <c r="D1106" s="4">
        <v>7</v>
      </c>
      <c r="E1106" s="5" t="e">
        <f>VLOOKUP(A1106,N$3:S$1271,4,FALSE)</f>
        <v>#N/A</v>
      </c>
      <c r="F1106" s="6">
        <f t="shared" si="68"/>
        <v>7</v>
      </c>
      <c r="G1106" s="7">
        <f>VLOOKUP(A1106,[1]Sheet!B$3:G$2921,5,0)</f>
        <v>2304.21</v>
      </c>
      <c r="H1106" s="5" t="e">
        <f>VLOOKUP(A1106,N$3:S$1271,5,FALSE)</f>
        <v>#N/A</v>
      </c>
      <c r="I1106" s="6">
        <f t="shared" si="69"/>
        <v>2304.21</v>
      </c>
      <c r="J1106" s="7">
        <f>VLOOKUP(A1106,[1]Sheet!B$3:G$2921,6,0)</f>
        <v>2304.21</v>
      </c>
      <c r="K1106" s="8" t="e">
        <f t="shared" si="70"/>
        <v>#N/A</v>
      </c>
      <c r="L1106" s="6">
        <f t="shared" si="71"/>
        <v>2304.21</v>
      </c>
    </row>
    <row r="1107" spans="1:12" x14ac:dyDescent="0.25">
      <c r="A1107" s="9" t="s">
        <v>1106</v>
      </c>
      <c r="B1107" s="2" t="str">
        <f>VLOOKUP(A1107,[1]Sheet!B$3:G$2921,2,0)</f>
        <v>Метал для крiплення труб</v>
      </c>
      <c r="C1107" s="3" t="str">
        <f>VLOOKUP(A1107,[1]Sheet!B$3:G$2921,3,0)</f>
        <v>кг</v>
      </c>
      <c r="D1107" s="4">
        <v>2060</v>
      </c>
      <c r="E1107" s="5" t="e">
        <f>VLOOKUP(A1107,N$3:S$1271,4,FALSE)</f>
        <v>#N/A</v>
      </c>
      <c r="F1107" s="6">
        <f t="shared" si="68"/>
        <v>2060</v>
      </c>
      <c r="G1107" s="7">
        <f>VLOOKUP(A1107,[1]Sheet!B$3:G$2921,5,0)</f>
        <v>42.15</v>
      </c>
      <c r="H1107" s="5" t="e">
        <f>VLOOKUP(A1107,N$3:S$1271,5,FALSE)</f>
        <v>#N/A</v>
      </c>
      <c r="I1107" s="6">
        <f t="shared" si="69"/>
        <v>42.15</v>
      </c>
      <c r="J1107" s="7">
        <f>VLOOKUP(A1107,[1]Sheet!B$3:G$2921,6,0)</f>
        <v>4215</v>
      </c>
      <c r="K1107" s="8" t="e">
        <f t="shared" si="70"/>
        <v>#N/A</v>
      </c>
      <c r="L1107" s="6">
        <f t="shared" si="71"/>
        <v>4215</v>
      </c>
    </row>
    <row r="1108" spans="1:12" x14ac:dyDescent="0.25">
      <c r="A1108" s="9" t="s">
        <v>1107</v>
      </c>
      <c r="B1108" s="2" t="str">
        <f>VLOOKUP(A1108,[1]Sheet!B$3:G$2921,2,0)</f>
        <v>Різблення 1 1/2"</v>
      </c>
      <c r="C1108" s="3" t="str">
        <f>VLOOKUP(A1108,[1]Sheet!B$3:G$2921,3,0)</f>
        <v>шт</v>
      </c>
      <c r="D1108" s="4">
        <v>2</v>
      </c>
      <c r="E1108" s="5" t="e">
        <f>VLOOKUP(A1108,N$3:S$1271,4,FALSE)</f>
        <v>#N/A</v>
      </c>
      <c r="F1108" s="6">
        <f t="shared" si="68"/>
        <v>2</v>
      </c>
      <c r="G1108" s="7">
        <f>VLOOKUP(A1108,[1]Sheet!B$3:G$2921,5,0)</f>
        <v>31.72</v>
      </c>
      <c r="H1108" s="5" t="e">
        <f>VLOOKUP(A1108,N$3:S$1271,5,FALSE)</f>
        <v>#N/A</v>
      </c>
      <c r="I1108" s="6">
        <f t="shared" si="69"/>
        <v>31.72</v>
      </c>
      <c r="J1108" s="7">
        <f>VLOOKUP(A1108,[1]Sheet!B$3:G$2921,6,0)</f>
        <v>63.44</v>
      </c>
      <c r="K1108" s="8" t="e">
        <f t="shared" si="70"/>
        <v>#N/A</v>
      </c>
      <c r="L1108" s="6">
        <f t="shared" si="71"/>
        <v>63.44</v>
      </c>
    </row>
    <row r="1109" spans="1:12" x14ac:dyDescent="0.25">
      <c r="A1109" s="9" t="s">
        <v>1108</v>
      </c>
      <c r="B1109" s="2" t="str">
        <f>VLOOKUP(A1109,[1]Sheet!B$3:G$2921,2,0)</f>
        <v>Пластина для підігрівача ТПР -7-PN16/2-44-
TKTL76 з ущільненнями</v>
      </c>
      <c r="C1109" s="3" t="str">
        <f>VLOOKUP(A1109,[1]Sheet!B$3:G$2921,3,0)</f>
        <v>шт</v>
      </c>
      <c r="D1109" s="4">
        <v>18</v>
      </c>
      <c r="E1109" s="5" t="e">
        <f>VLOOKUP(A1109,N$3:S$1271,4,FALSE)</f>
        <v>#N/A</v>
      </c>
      <c r="F1109" s="6">
        <f t="shared" si="68"/>
        <v>18</v>
      </c>
      <c r="G1109" s="7">
        <f>VLOOKUP(A1109,[1]Sheet!B$3:G$2921,5,0)</f>
        <v>394.29</v>
      </c>
      <c r="H1109" s="5" t="e">
        <f>VLOOKUP(A1109,N$3:S$1271,5,FALSE)</f>
        <v>#N/A</v>
      </c>
      <c r="I1109" s="6">
        <f t="shared" si="69"/>
        <v>394.29</v>
      </c>
      <c r="J1109" s="7">
        <f>VLOOKUP(A1109,[1]Sheet!B$3:G$2921,6,0)</f>
        <v>7097.22</v>
      </c>
      <c r="K1109" s="8" t="e">
        <f t="shared" si="70"/>
        <v>#N/A</v>
      </c>
      <c r="L1109" s="6">
        <f t="shared" si="71"/>
        <v>7097.22</v>
      </c>
    </row>
    <row r="1110" spans="1:12" x14ac:dyDescent="0.25">
      <c r="A1110" s="9" t="s">
        <v>1109</v>
      </c>
      <c r="B1110" s="2" t="str">
        <f>VLOOKUP(A1110,[1]Sheet!B$3:G$2921,2,0)</f>
        <v>Американка 1 1/2"</v>
      </c>
      <c r="C1110" s="3" t="str">
        <f>VLOOKUP(A1110,[1]Sheet!B$3:G$2921,3,0)</f>
        <v>шт</v>
      </c>
      <c r="D1110" s="4">
        <v>4</v>
      </c>
      <c r="E1110" s="5" t="e">
        <f>VLOOKUP(A1110,N$3:S$1271,4,FALSE)</f>
        <v>#N/A</v>
      </c>
      <c r="F1110" s="6">
        <f t="shared" si="68"/>
        <v>4</v>
      </c>
      <c r="G1110" s="7">
        <f>VLOOKUP(A1110,[1]Sheet!B$3:G$2921,5,0)</f>
        <v>736.12</v>
      </c>
      <c r="H1110" s="5" t="e">
        <f>VLOOKUP(A1110,N$3:S$1271,5,FALSE)</f>
        <v>#N/A</v>
      </c>
      <c r="I1110" s="6">
        <f t="shared" si="69"/>
        <v>736.12</v>
      </c>
      <c r="J1110" s="7">
        <f>VLOOKUP(A1110,[1]Sheet!B$3:G$2921,6,0)</f>
        <v>2944.48</v>
      </c>
      <c r="K1110" s="8" t="e">
        <f t="shared" si="70"/>
        <v>#N/A</v>
      </c>
      <c r="L1110" s="6">
        <f t="shared" si="71"/>
        <v>2944.48</v>
      </c>
    </row>
    <row r="1111" spans="1:12" x14ac:dyDescent="0.25">
      <c r="A1111" s="9" t="s">
        <v>1110</v>
      </c>
      <c r="B1111" s="2" t="str">
        <f>VLOOKUP(A1111,[1]Sheet!B$3:G$2921,2,0)</f>
        <v>Клапан зворотнiй міжфланцевий із
фланцями та кріпильними виробами,
дiаметр 65 мм Gestra RK 41</v>
      </c>
      <c r="C1111" s="3" t="str">
        <f>VLOOKUP(A1111,[1]Sheet!B$3:G$2921,3,0)</f>
        <v>шт</v>
      </c>
      <c r="D1111" s="4">
        <v>3</v>
      </c>
      <c r="E1111" s="5" t="e">
        <f>VLOOKUP(A1111,N$3:S$1271,4,FALSE)</f>
        <v>#N/A</v>
      </c>
      <c r="F1111" s="6">
        <f t="shared" si="68"/>
        <v>3</v>
      </c>
      <c r="G1111" s="7">
        <f>VLOOKUP(A1111,[1]Sheet!B$3:G$2921,5,0)</f>
        <v>5645.74</v>
      </c>
      <c r="H1111" s="5" t="e">
        <f>VLOOKUP(A1111,N$3:S$1271,5,FALSE)</f>
        <v>#N/A</v>
      </c>
      <c r="I1111" s="6">
        <f t="shared" si="69"/>
        <v>5645.74</v>
      </c>
      <c r="J1111" s="7">
        <f>VLOOKUP(A1111,[1]Sheet!B$3:G$2921,6,0)</f>
        <v>11291.48</v>
      </c>
      <c r="K1111" s="8" t="e">
        <f t="shared" si="70"/>
        <v>#N/A</v>
      </c>
      <c r="L1111" s="6">
        <f t="shared" si="71"/>
        <v>11291.48</v>
      </c>
    </row>
    <row r="1112" spans="1:12" x14ac:dyDescent="0.25">
      <c r="A1112" s="9" t="s">
        <v>1111</v>
      </c>
      <c r="B1112" s="2" t="str">
        <f>VLOOKUP(A1112,[1]Sheet!B$3:G$2921,2,0)</f>
        <v>Каналізаційний затвор (зворотний клапан)
Dy 100</v>
      </c>
      <c r="C1112" s="3" t="str">
        <f>VLOOKUP(A1112,[1]Sheet!B$3:G$2921,3,0)</f>
        <v>шт</v>
      </c>
      <c r="D1112" s="4">
        <v>2</v>
      </c>
      <c r="E1112" s="5" t="e">
        <f>VLOOKUP(A1112,N$3:S$1271,4,FALSE)</f>
        <v>#N/A</v>
      </c>
      <c r="F1112" s="6">
        <f t="shared" si="68"/>
        <v>2</v>
      </c>
      <c r="G1112" s="7">
        <f>VLOOKUP(A1112,[1]Sheet!B$3:G$2921,5,0)</f>
        <v>2797.98</v>
      </c>
      <c r="H1112" s="5" t="e">
        <f>VLOOKUP(A1112,N$3:S$1271,5,FALSE)</f>
        <v>#N/A</v>
      </c>
      <c r="I1112" s="6">
        <f t="shared" si="69"/>
        <v>2797.98</v>
      </c>
      <c r="J1112" s="7">
        <f>VLOOKUP(A1112,[1]Sheet!B$3:G$2921,6,0)</f>
        <v>5595.96</v>
      </c>
      <c r="K1112" s="8" t="e">
        <f t="shared" si="70"/>
        <v>#N/A</v>
      </c>
      <c r="L1112" s="6">
        <f t="shared" si="71"/>
        <v>5595.96</v>
      </c>
    </row>
    <row r="1113" spans="1:12" x14ac:dyDescent="0.25">
      <c r="A1113" s="9" t="s">
        <v>1112</v>
      </c>
      <c r="B1113" s="2" t="str">
        <f>VLOOKUP(A1113,[1]Sheet!B$3:G$2921,2,0)</f>
        <v>Каналізаційний затвор (зворотний клапан)
Dy 150</v>
      </c>
      <c r="C1113" s="3" t="str">
        <f>VLOOKUP(A1113,[1]Sheet!B$3:G$2921,3,0)</f>
        <v>шт</v>
      </c>
      <c r="D1113" s="4">
        <v>2</v>
      </c>
      <c r="E1113" s="5" t="e">
        <f>VLOOKUP(A1113,N$3:S$1271,4,FALSE)</f>
        <v>#N/A</v>
      </c>
      <c r="F1113" s="6">
        <f t="shared" si="68"/>
        <v>2</v>
      </c>
      <c r="G1113" s="7">
        <f>VLOOKUP(A1113,[1]Sheet!B$3:G$2921,5,0)</f>
        <v>6072.09</v>
      </c>
      <c r="H1113" s="5" t="e">
        <f>VLOOKUP(A1113,N$3:S$1271,5,FALSE)</f>
        <v>#N/A</v>
      </c>
      <c r="I1113" s="6">
        <f t="shared" si="69"/>
        <v>6072.09</v>
      </c>
      <c r="J1113" s="7">
        <f>VLOOKUP(A1113,[1]Sheet!B$3:G$2921,6,0)</f>
        <v>12144.18</v>
      </c>
      <c r="K1113" s="8" t="e">
        <f t="shared" si="70"/>
        <v>#N/A</v>
      </c>
      <c r="L1113" s="6">
        <f t="shared" si="71"/>
        <v>12144.18</v>
      </c>
    </row>
    <row r="1114" spans="1:12" x14ac:dyDescent="0.25">
      <c r="A1114" s="9" t="s">
        <v>1113</v>
      </c>
      <c r="B1114" s="2" t="str">
        <f>VLOOKUP(A1114,[1]Sheet!B$3:G$2921,2,0)</f>
        <v>Кран кульовий муфтовий для води Ру до 1,6
МПа та Т до 150_С, DN 15 мм</v>
      </c>
      <c r="C1114" s="3" t="str">
        <f>VLOOKUP(A1114,[1]Sheet!B$3:G$2921,3,0)</f>
        <v>шт</v>
      </c>
      <c r="D1114" s="4">
        <v>31</v>
      </c>
      <c r="E1114" s="5" t="e">
        <f>VLOOKUP(A1114,N$3:S$1271,4,FALSE)</f>
        <v>#N/A</v>
      </c>
      <c r="F1114" s="6">
        <f t="shared" si="68"/>
        <v>31</v>
      </c>
      <c r="G1114" s="7">
        <f>VLOOKUP(A1114,[1]Sheet!B$3:G$2921,5,0)</f>
        <v>96.9</v>
      </c>
      <c r="H1114" s="5" t="e">
        <f>VLOOKUP(A1114,N$3:S$1271,5,FALSE)</f>
        <v>#N/A</v>
      </c>
      <c r="I1114" s="6">
        <f t="shared" si="69"/>
        <v>96.9</v>
      </c>
      <c r="J1114" s="7">
        <f>VLOOKUP(A1114,[1]Sheet!B$3:G$2921,6,0)</f>
        <v>1841.1</v>
      </c>
      <c r="K1114" s="8" t="e">
        <f t="shared" si="70"/>
        <v>#N/A</v>
      </c>
      <c r="L1114" s="6">
        <f t="shared" si="71"/>
        <v>1841.1</v>
      </c>
    </row>
    <row r="1115" spans="1:12" x14ac:dyDescent="0.25">
      <c r="A1115" s="9" t="s">
        <v>1114</v>
      </c>
      <c r="B1115" s="2" t="str">
        <f>VLOOKUP(A1115,[1]Sheet!B$3:G$2921,2,0)</f>
        <v>Кран кульовий муфтовий для води Ру до 1,6
МПа та Т до 150_С, DN 20 мм</v>
      </c>
      <c r="C1115" s="3" t="str">
        <f>VLOOKUP(A1115,[1]Sheet!B$3:G$2921,3,0)</f>
        <v>шт</v>
      </c>
      <c r="D1115" s="4">
        <v>21</v>
      </c>
      <c r="E1115" s="5" t="e">
        <f>VLOOKUP(A1115,N$3:S$1271,4,FALSE)</f>
        <v>#N/A</v>
      </c>
      <c r="F1115" s="6">
        <f t="shared" si="68"/>
        <v>21</v>
      </c>
      <c r="G1115" s="7">
        <f>VLOOKUP(A1115,[1]Sheet!B$3:G$2921,5,0)</f>
        <v>137.15</v>
      </c>
      <c r="H1115" s="5" t="e">
        <f>VLOOKUP(A1115,N$3:S$1271,5,FALSE)</f>
        <v>#N/A</v>
      </c>
      <c r="I1115" s="6">
        <f t="shared" si="69"/>
        <v>137.15</v>
      </c>
      <c r="J1115" s="7">
        <f>VLOOKUP(A1115,[1]Sheet!B$3:G$2921,6,0)</f>
        <v>411.45</v>
      </c>
      <c r="K1115" s="8" t="e">
        <f t="shared" si="70"/>
        <v>#N/A</v>
      </c>
      <c r="L1115" s="6">
        <f t="shared" si="71"/>
        <v>411.45</v>
      </c>
    </row>
    <row r="1116" spans="1:12" x14ac:dyDescent="0.25">
      <c r="A1116" s="9" t="s">
        <v>1115</v>
      </c>
      <c r="B1116" s="2" t="str">
        <f>VLOOKUP(A1116,[1]Sheet!B$3:G$2921,2,0)</f>
        <v>Автоматичний розповітрювач для води t=90-
65 С, Ру 1,0 МПа, ду 15 "Герц"</v>
      </c>
      <c r="C1116" s="3" t="str">
        <f>VLOOKUP(A1116,[1]Sheet!B$3:G$2921,3,0)</f>
        <v>шт</v>
      </c>
      <c r="D1116" s="4">
        <v>16</v>
      </c>
      <c r="E1116" s="5" t="e">
        <f>VLOOKUP(A1116,N$3:S$1271,4,FALSE)</f>
        <v>#N/A</v>
      </c>
      <c r="F1116" s="6">
        <f t="shared" si="68"/>
        <v>16</v>
      </c>
      <c r="G1116" s="7">
        <f>VLOOKUP(A1116,[1]Sheet!B$3:G$2921,5,0)</f>
        <v>323.14</v>
      </c>
      <c r="H1116" s="5" t="e">
        <f>VLOOKUP(A1116,N$3:S$1271,5,FALSE)</f>
        <v>#N/A</v>
      </c>
      <c r="I1116" s="6">
        <f t="shared" si="69"/>
        <v>323.14</v>
      </c>
      <c r="J1116" s="7">
        <f>VLOOKUP(A1116,[1]Sheet!B$3:G$2921,6,0)</f>
        <v>646.28</v>
      </c>
      <c r="K1116" s="8" t="e">
        <f t="shared" si="70"/>
        <v>#N/A</v>
      </c>
      <c r="L1116" s="6">
        <f t="shared" si="71"/>
        <v>646.28</v>
      </c>
    </row>
    <row r="1117" spans="1:12" x14ac:dyDescent="0.25">
      <c r="A1117" s="9" t="s">
        <v>1116</v>
      </c>
      <c r="B1117" s="2" t="str">
        <f>VLOOKUP(A1117,[1]Sheet!B$3:G$2921,2,0)</f>
        <v>Дренажний насос Optima FSP400C з
автоматичним  поплавковим вимикачем,
Q=4м3/ч, Н=5,0м, N=0,4квт</v>
      </c>
      <c r="C1117" s="3" t="str">
        <f>VLOOKUP(A1117,[1]Sheet!B$3:G$2921,3,0)</f>
        <v>шт</v>
      </c>
      <c r="D1117" s="4">
        <v>1</v>
      </c>
      <c r="E1117" s="5" t="e">
        <f>VLOOKUP(A1117,N$3:S$1271,4,FALSE)</f>
        <v>#N/A</v>
      </c>
      <c r="F1117" s="6">
        <f t="shared" si="68"/>
        <v>1</v>
      </c>
      <c r="G1117" s="7">
        <f>VLOOKUP(A1117,[1]Sheet!B$3:G$2921,5,0)</f>
        <v>1505.86</v>
      </c>
      <c r="H1117" s="5" t="e">
        <f>VLOOKUP(A1117,N$3:S$1271,5,FALSE)</f>
        <v>#N/A</v>
      </c>
      <c r="I1117" s="6">
        <f t="shared" si="69"/>
        <v>1505.86</v>
      </c>
      <c r="J1117" s="7">
        <f>VLOOKUP(A1117,[1]Sheet!B$3:G$2921,6,0)</f>
        <v>1505.86</v>
      </c>
      <c r="K1117" s="8" t="e">
        <f t="shared" si="70"/>
        <v>#N/A</v>
      </c>
      <c r="L1117" s="6">
        <f t="shared" si="71"/>
        <v>1505.86</v>
      </c>
    </row>
    <row r="1118" spans="1:12" x14ac:dyDescent="0.25">
      <c r="A1118" s="9" t="s">
        <v>1117</v>
      </c>
      <c r="B1118" s="2" t="str">
        <f>VLOOKUP(A1118,[1]Sheet!B$3:G$2921,2,0)</f>
        <v>Компенсаційний патрубок сталевий, дiаметр
100 мм</v>
      </c>
      <c r="C1118" s="3" t="str">
        <f>VLOOKUP(A1118,[1]Sheet!B$3:G$2921,3,0)</f>
        <v>шт</v>
      </c>
      <c r="D1118" s="4">
        <v>6</v>
      </c>
      <c r="E1118" s="5" t="e">
        <f>VLOOKUP(A1118,N$3:S$1271,4,FALSE)</f>
        <v>#N/A</v>
      </c>
      <c r="F1118" s="6">
        <f t="shared" si="68"/>
        <v>6</v>
      </c>
      <c r="G1118" s="7">
        <f>VLOOKUP(A1118,[1]Sheet!B$3:G$2921,5,0)</f>
        <v>358.29</v>
      </c>
      <c r="H1118" s="5" t="e">
        <f>VLOOKUP(A1118,N$3:S$1271,5,FALSE)</f>
        <v>#N/A</v>
      </c>
      <c r="I1118" s="6">
        <f t="shared" si="69"/>
        <v>358.29</v>
      </c>
      <c r="J1118" s="7">
        <f>VLOOKUP(A1118,[1]Sheet!B$3:G$2921,6,0)</f>
        <v>2149.7399999999998</v>
      </c>
      <c r="K1118" s="8" t="e">
        <f t="shared" si="70"/>
        <v>#N/A</v>
      </c>
      <c r="L1118" s="6">
        <f t="shared" si="71"/>
        <v>2149.7399999999998</v>
      </c>
    </row>
    <row r="1119" spans="1:12" x14ac:dyDescent="0.25">
      <c r="A1119" s="9" t="s">
        <v>1118</v>
      </c>
      <c r="B1119" s="2" t="str">
        <f>VLOOKUP(A1119,[1]Sheet!B$3:G$2921,2,0)</f>
        <v>Зворотнiй клапан, дiаметр 125 мм, L=100 
RSK 125 "OSTBERG"</v>
      </c>
      <c r="C1119" s="3" t="str">
        <f>VLOOKUP(A1119,[1]Sheet!B$3:G$2921,3,0)</f>
        <v>шт</v>
      </c>
      <c r="D1119" s="4">
        <v>8</v>
      </c>
      <c r="E1119" s="5" t="e">
        <f>VLOOKUP(A1119,N$3:S$1271,4,FALSE)</f>
        <v>#N/A</v>
      </c>
      <c r="F1119" s="6">
        <f t="shared" si="68"/>
        <v>8</v>
      </c>
      <c r="G1119" s="7">
        <f>VLOOKUP(A1119,[1]Sheet!B$3:G$2921,5,0)</f>
        <v>652.5</v>
      </c>
      <c r="H1119" s="5" t="e">
        <f>VLOOKUP(A1119,N$3:S$1271,5,FALSE)</f>
        <v>#N/A</v>
      </c>
      <c r="I1119" s="6">
        <f t="shared" si="69"/>
        <v>652.5</v>
      </c>
      <c r="J1119" s="7">
        <f>VLOOKUP(A1119,[1]Sheet!B$3:G$2921,6,0)</f>
        <v>652.5</v>
      </c>
      <c r="K1119" s="8" t="e">
        <f t="shared" si="70"/>
        <v>#N/A</v>
      </c>
      <c r="L1119" s="6">
        <f t="shared" si="71"/>
        <v>652.5</v>
      </c>
    </row>
    <row r="1120" spans="1:12" x14ac:dyDescent="0.25">
      <c r="A1120" s="9" t="s">
        <v>1119</v>
      </c>
      <c r="B1120" s="2" t="str">
        <f>VLOOKUP(A1120,[1]Sheet!B$3:G$2921,2,0)</f>
        <v>Автоматичний повітряник Ду15 мм, 80D
1/2"G "Ferrero"</v>
      </c>
      <c r="C1120" s="3" t="str">
        <f>VLOOKUP(A1120,[1]Sheet!B$3:G$2921,3,0)</f>
        <v>шт</v>
      </c>
      <c r="D1120" s="4">
        <v>4</v>
      </c>
      <c r="E1120" s="5" t="e">
        <f>VLOOKUP(A1120,N$3:S$1271,4,FALSE)</f>
        <v>#N/A</v>
      </c>
      <c r="F1120" s="6">
        <f t="shared" si="68"/>
        <v>4</v>
      </c>
      <c r="G1120" s="7">
        <f>VLOOKUP(A1120,[1]Sheet!B$3:G$2921,5,0)</f>
        <v>190.09</v>
      </c>
      <c r="H1120" s="5" t="e">
        <f>VLOOKUP(A1120,N$3:S$1271,5,FALSE)</f>
        <v>#N/A</v>
      </c>
      <c r="I1120" s="6">
        <f t="shared" si="69"/>
        <v>190.09</v>
      </c>
      <c r="J1120" s="7">
        <f>VLOOKUP(A1120,[1]Sheet!B$3:G$2921,6,0)</f>
        <v>380.18</v>
      </c>
      <c r="K1120" s="8" t="e">
        <f t="shared" si="70"/>
        <v>#N/A</v>
      </c>
      <c r="L1120" s="6">
        <f t="shared" si="71"/>
        <v>380.18</v>
      </c>
    </row>
    <row r="1121" spans="1:12" x14ac:dyDescent="0.25">
      <c r="A1121" s="9" t="s">
        <v>1120</v>
      </c>
      <c r="B1121" s="2" t="str">
        <f>VLOOKUP(A1121,[1]Sheet!B$3:G$2921,2,0)</f>
        <v>Заслінка дискова поворотна Ду65 мм, Ру1,
6МПа із фланцями та кріпильними
виробами, VFY-WH "Danfoss"</v>
      </c>
      <c r="C1121" s="3" t="str">
        <f>VLOOKUP(A1121,[1]Sheet!B$3:G$2921,3,0)</f>
        <v>шт</v>
      </c>
      <c r="D1121" s="4">
        <v>9</v>
      </c>
      <c r="E1121" s="5" t="e">
        <f>VLOOKUP(A1121,N$3:S$1271,4,FALSE)</f>
        <v>#N/A</v>
      </c>
      <c r="F1121" s="6">
        <f t="shared" si="68"/>
        <v>9</v>
      </c>
      <c r="G1121" s="7">
        <f>VLOOKUP(A1121,[1]Sheet!B$3:G$2921,5,0)</f>
        <v>2709.52</v>
      </c>
      <c r="H1121" s="5" t="e">
        <f>VLOOKUP(A1121,N$3:S$1271,5,FALSE)</f>
        <v>#N/A</v>
      </c>
      <c r="I1121" s="6">
        <f t="shared" si="69"/>
        <v>2709.52</v>
      </c>
      <c r="J1121" s="7">
        <f>VLOOKUP(A1121,[1]Sheet!B$3:G$2921,6,0)</f>
        <v>8128.56</v>
      </c>
      <c r="K1121" s="8" t="e">
        <f t="shared" si="70"/>
        <v>#N/A</v>
      </c>
      <c r="L1121" s="6">
        <f t="shared" si="71"/>
        <v>8128.56</v>
      </c>
    </row>
    <row r="1122" spans="1:12" x14ac:dyDescent="0.25">
      <c r="A1122" s="9" t="s">
        <v>1121</v>
      </c>
      <c r="B1122" s="2" t="str">
        <f>VLOOKUP(A1122,[1]Sheet!B$3:G$2921,2,0)</f>
        <v>Вентиль запірний кутовий, для відключення
радіатора, середовище - вода, t=90-65C, Ру
до 1,0 МПа, Ду 15 "ГЕРЦ-RL-1"</v>
      </c>
      <c r="C1122" s="3" t="str">
        <f>VLOOKUP(A1122,[1]Sheet!B$3:G$2921,3,0)</f>
        <v>шт</v>
      </c>
      <c r="D1122" s="4">
        <v>19</v>
      </c>
      <c r="E1122" s="5" t="e">
        <f>VLOOKUP(A1122,N$3:S$1271,4,FALSE)</f>
        <v>#N/A</v>
      </c>
      <c r="F1122" s="6">
        <f t="shared" si="68"/>
        <v>19</v>
      </c>
      <c r="G1122" s="7">
        <f>VLOOKUP(A1122,[1]Sheet!B$3:G$2921,5,0)</f>
        <v>336.18</v>
      </c>
      <c r="H1122" s="5" t="e">
        <f>VLOOKUP(A1122,N$3:S$1271,5,FALSE)</f>
        <v>#N/A</v>
      </c>
      <c r="I1122" s="6">
        <f t="shared" si="69"/>
        <v>336.18</v>
      </c>
      <c r="J1122" s="7">
        <f>VLOOKUP(A1122,[1]Sheet!B$3:G$2921,6,0)</f>
        <v>6387.42</v>
      </c>
      <c r="K1122" s="8" t="e">
        <f t="shared" si="70"/>
        <v>#N/A</v>
      </c>
      <c r="L1122" s="6">
        <f t="shared" si="71"/>
        <v>6387.42</v>
      </c>
    </row>
    <row r="1123" spans="1:12" x14ac:dyDescent="0.25">
      <c r="A1123" s="9" t="s">
        <v>1122</v>
      </c>
      <c r="B1123" s="2" t="str">
        <f>VLOOKUP(A1123,[1]Sheet!B$3:G$2921,2,0)</f>
        <v>Дросель-клапани круглого перерізу з
ніпельним з'єднанням дiаметр  100 мм ДКН-
ф100</v>
      </c>
      <c r="C1123" s="3" t="str">
        <f>VLOOKUP(A1123,[1]Sheet!B$3:G$2921,3,0)</f>
        <v>шт</v>
      </c>
      <c r="D1123" s="4">
        <v>4</v>
      </c>
      <c r="E1123" s="5" t="e">
        <f>VLOOKUP(A1123,N$3:S$1271,4,FALSE)</f>
        <v>#N/A</v>
      </c>
      <c r="F1123" s="6">
        <f t="shared" si="68"/>
        <v>4</v>
      </c>
      <c r="G1123" s="7">
        <f>VLOOKUP(A1123,[1]Sheet!B$3:G$2921,5,0)</f>
        <v>148.19999999999999</v>
      </c>
      <c r="H1123" s="5" t="e">
        <f>VLOOKUP(A1123,N$3:S$1271,5,FALSE)</f>
        <v>#N/A</v>
      </c>
      <c r="I1123" s="6">
        <f t="shared" si="69"/>
        <v>148.19999999999999</v>
      </c>
      <c r="J1123" s="7">
        <f>VLOOKUP(A1123,[1]Sheet!B$3:G$2921,6,0)</f>
        <v>148.19999999999999</v>
      </c>
      <c r="K1123" s="8" t="e">
        <f t="shared" si="70"/>
        <v>#N/A</v>
      </c>
      <c r="L1123" s="6">
        <f t="shared" si="71"/>
        <v>148.19999999999999</v>
      </c>
    </row>
    <row r="1124" spans="1:12" x14ac:dyDescent="0.25">
      <c r="A1124" s="9" t="s">
        <v>1123</v>
      </c>
      <c r="B1124" s="2" t="str">
        <f>VLOOKUP(A1124,[1]Sheet!B$3:G$2921,2,0)</f>
        <v>Дросель-клапани круглого перерізу з
ніпельним з'єднанням дiаметр  250 мм ДКН-
Ф250</v>
      </c>
      <c r="C1124" s="3" t="str">
        <f>VLOOKUP(A1124,[1]Sheet!B$3:G$2921,3,0)</f>
        <v>шт</v>
      </c>
      <c r="D1124" s="4">
        <v>4</v>
      </c>
      <c r="E1124" s="5" t="e">
        <f>VLOOKUP(A1124,N$3:S$1271,4,FALSE)</f>
        <v>#N/A</v>
      </c>
      <c r="F1124" s="6">
        <f t="shared" si="68"/>
        <v>4</v>
      </c>
      <c r="G1124" s="7">
        <f>VLOOKUP(A1124,[1]Sheet!B$3:G$2921,5,0)</f>
        <v>1373.12</v>
      </c>
      <c r="H1124" s="5" t="e">
        <f>VLOOKUP(A1124,N$3:S$1271,5,FALSE)</f>
        <v>#N/A</v>
      </c>
      <c r="I1124" s="6">
        <f t="shared" si="69"/>
        <v>1373.12</v>
      </c>
      <c r="J1124" s="7">
        <f>VLOOKUP(A1124,[1]Sheet!B$3:G$2921,6,0)</f>
        <v>1373.12</v>
      </c>
      <c r="K1124" s="8" t="e">
        <f t="shared" si="70"/>
        <v>#N/A</v>
      </c>
      <c r="L1124" s="6">
        <f t="shared" si="71"/>
        <v>1373.12</v>
      </c>
    </row>
    <row r="1125" spans="1:12" x14ac:dyDescent="0.25">
      <c r="A1125" s="9" t="s">
        <v>1124</v>
      </c>
      <c r="B1125" s="2" t="str">
        <f>VLOOKUP(A1125,[1]Sheet!B$3:G$2921,2,0)</f>
        <v>Дросель-клапани круглого перерізу з
ніпельним з'єднанням дiаметр  315 мм ДКН-
Ф315</v>
      </c>
      <c r="C1125" s="3" t="str">
        <f>VLOOKUP(A1125,[1]Sheet!B$3:G$2921,3,0)</f>
        <v>шт</v>
      </c>
      <c r="D1125" s="4">
        <v>5</v>
      </c>
      <c r="E1125" s="5" t="e">
        <f>VLOOKUP(A1125,N$3:S$1271,4,FALSE)</f>
        <v>#N/A</v>
      </c>
      <c r="F1125" s="6">
        <f t="shared" si="68"/>
        <v>5</v>
      </c>
      <c r="G1125" s="7">
        <f>VLOOKUP(A1125,[1]Sheet!B$3:G$2921,5,0)</f>
        <v>1531.98</v>
      </c>
      <c r="H1125" s="5" t="e">
        <f>VLOOKUP(A1125,N$3:S$1271,5,FALSE)</f>
        <v>#N/A</v>
      </c>
      <c r="I1125" s="6">
        <f t="shared" si="69"/>
        <v>1531.98</v>
      </c>
      <c r="J1125" s="7">
        <f>VLOOKUP(A1125,[1]Sheet!B$3:G$2921,6,0)</f>
        <v>3063.96</v>
      </c>
      <c r="K1125" s="8" t="e">
        <f t="shared" si="70"/>
        <v>#N/A</v>
      </c>
      <c r="L1125" s="6">
        <f t="shared" si="71"/>
        <v>3063.96</v>
      </c>
    </row>
    <row r="1126" spans="1:12" x14ac:dyDescent="0.25">
      <c r="A1126" s="9" t="s">
        <v>1125</v>
      </c>
      <c r="B1126" s="2" t="str">
        <f>VLOOKUP(A1126,[1]Sheet!B$3:G$2921,2,0)</f>
        <v>Дросель-клапани круглого перерізу з
ніпельним з'єднанням дiаметр  450 мм ДКН-
Ф450</v>
      </c>
      <c r="C1126" s="3" t="str">
        <f>VLOOKUP(A1126,[1]Sheet!B$3:G$2921,3,0)</f>
        <v>шт</v>
      </c>
      <c r="D1126" s="4">
        <v>1</v>
      </c>
      <c r="E1126" s="5" t="e">
        <f>VLOOKUP(A1126,N$3:S$1271,4,FALSE)</f>
        <v>#N/A</v>
      </c>
      <c r="F1126" s="6">
        <f t="shared" si="68"/>
        <v>1</v>
      </c>
      <c r="G1126" s="7">
        <f>VLOOKUP(A1126,[1]Sheet!B$3:G$2921,5,0)</f>
        <v>2086.62</v>
      </c>
      <c r="H1126" s="5" t="e">
        <f>VLOOKUP(A1126,N$3:S$1271,5,FALSE)</f>
        <v>#N/A</v>
      </c>
      <c r="I1126" s="6">
        <f t="shared" si="69"/>
        <v>2086.62</v>
      </c>
      <c r="J1126" s="7">
        <f>VLOOKUP(A1126,[1]Sheet!B$3:G$2921,6,0)</f>
        <v>2086.62</v>
      </c>
      <c r="K1126" s="8" t="e">
        <f t="shared" si="70"/>
        <v>#N/A</v>
      </c>
      <c r="L1126" s="6">
        <f t="shared" si="71"/>
        <v>2086.62</v>
      </c>
    </row>
    <row r="1127" spans="1:12" x14ac:dyDescent="0.25">
      <c r="A1127" s="9" t="s">
        <v>1126</v>
      </c>
      <c r="B1127" s="2" t="str">
        <f>VLOOKUP(A1127,[1]Sheet!B$3:G$2921,2,0)</f>
        <v>Дросель-клапани круглого перерізу з
ніпельним з'єднанням дiаметр  630 мм ДКН-
Ф630</v>
      </c>
      <c r="C1127" s="3" t="str">
        <f>VLOOKUP(A1127,[1]Sheet!B$3:G$2921,3,0)</f>
        <v>шт</v>
      </c>
      <c r="D1127" s="4">
        <v>1</v>
      </c>
      <c r="E1127" s="5" t="e">
        <f>VLOOKUP(A1127,N$3:S$1271,4,FALSE)</f>
        <v>#N/A</v>
      </c>
      <c r="F1127" s="6">
        <f t="shared" si="68"/>
        <v>1</v>
      </c>
      <c r="G1127" s="7">
        <f>VLOOKUP(A1127,[1]Sheet!B$3:G$2921,5,0)</f>
        <v>2906.24</v>
      </c>
      <c r="H1127" s="5" t="e">
        <f>VLOOKUP(A1127,N$3:S$1271,5,FALSE)</f>
        <v>#N/A</v>
      </c>
      <c r="I1127" s="6">
        <f t="shared" si="69"/>
        <v>2906.24</v>
      </c>
      <c r="J1127" s="7">
        <f>VLOOKUP(A1127,[1]Sheet!B$3:G$2921,6,0)</f>
        <v>2906.24</v>
      </c>
      <c r="K1127" s="8" t="e">
        <f t="shared" si="70"/>
        <v>#N/A</v>
      </c>
      <c r="L1127" s="6">
        <f t="shared" si="71"/>
        <v>2906.24</v>
      </c>
    </row>
    <row r="1128" spans="1:12" x14ac:dyDescent="0.25">
      <c r="A1128" s="9" t="s">
        <v>1127</v>
      </c>
      <c r="B1128" s="2" t="str">
        <f>VLOOKUP(A1128,[1]Sheet!B$3:G$2921,2,0)</f>
        <v>Дросель-клапан прямокутного перерізу з
фланцевим зєднанням розм. 200х150h ДКП-
200Х150</v>
      </c>
      <c r="C1128" s="3" t="str">
        <f>VLOOKUP(A1128,[1]Sheet!B$3:G$2921,3,0)</f>
        <v>шт</v>
      </c>
      <c r="D1128" s="4">
        <v>2</v>
      </c>
      <c r="E1128" s="5" t="e">
        <f>VLOOKUP(A1128,N$3:S$1271,4,FALSE)</f>
        <v>#N/A</v>
      </c>
      <c r="F1128" s="6">
        <f t="shared" si="68"/>
        <v>2</v>
      </c>
      <c r="G1128" s="7">
        <f>VLOOKUP(A1128,[1]Sheet!B$3:G$2921,5,0)</f>
        <v>1358.68</v>
      </c>
      <c r="H1128" s="5" t="e">
        <f>VLOOKUP(A1128,N$3:S$1271,5,FALSE)</f>
        <v>#N/A</v>
      </c>
      <c r="I1128" s="6">
        <f t="shared" si="69"/>
        <v>1358.68</v>
      </c>
      <c r="J1128" s="7">
        <f>VLOOKUP(A1128,[1]Sheet!B$3:G$2921,6,0)</f>
        <v>1358.68</v>
      </c>
      <c r="K1128" s="8" t="e">
        <f t="shared" si="70"/>
        <v>#N/A</v>
      </c>
      <c r="L1128" s="6">
        <f t="shared" si="71"/>
        <v>1358.68</v>
      </c>
    </row>
    <row r="1129" spans="1:12" x14ac:dyDescent="0.25">
      <c r="A1129" s="9" t="s">
        <v>1128</v>
      </c>
      <c r="B1129" s="2" t="str">
        <f>VLOOKUP(A1129,[1]Sheet!B$3:G$2921,2,0)</f>
        <v>Дросель-клапан прямокутного перерізу з
фланцевим зєднанням розм. 500х250h ДКП-
500Х250</v>
      </c>
      <c r="C1129" s="3" t="str">
        <f>VLOOKUP(A1129,[1]Sheet!B$3:G$2921,3,0)</f>
        <v>шт</v>
      </c>
      <c r="D1129" s="4">
        <v>1</v>
      </c>
      <c r="E1129" s="5" t="e">
        <f>VLOOKUP(A1129,N$3:S$1271,4,FALSE)</f>
        <v>#N/A</v>
      </c>
      <c r="F1129" s="6">
        <f t="shared" si="68"/>
        <v>1</v>
      </c>
      <c r="G1129" s="7">
        <f>VLOOKUP(A1129,[1]Sheet!B$3:G$2921,5,0)</f>
        <v>1941.47</v>
      </c>
      <c r="H1129" s="5" t="e">
        <f>VLOOKUP(A1129,N$3:S$1271,5,FALSE)</f>
        <v>#N/A</v>
      </c>
      <c r="I1129" s="6">
        <f t="shared" si="69"/>
        <v>1941.47</v>
      </c>
      <c r="J1129" s="7">
        <f>VLOOKUP(A1129,[1]Sheet!B$3:G$2921,6,0)</f>
        <v>1941.47</v>
      </c>
      <c r="K1129" s="8" t="e">
        <f t="shared" si="70"/>
        <v>#N/A</v>
      </c>
      <c r="L1129" s="6">
        <f t="shared" si="71"/>
        <v>1941.47</v>
      </c>
    </row>
    <row r="1130" spans="1:12" x14ac:dyDescent="0.25">
      <c r="A1130" s="9" t="s">
        <v>1129</v>
      </c>
      <c r="B1130" s="2" t="str">
        <f>VLOOKUP(A1130,[1]Sheet!B$3:G$2921,2,0)</f>
        <v>Лючок для виміру параметрів повітря</v>
      </c>
      <c r="C1130" s="3" t="str">
        <f>VLOOKUP(A1130,[1]Sheet!B$3:G$2921,3,0)</f>
        <v>шт</v>
      </c>
      <c r="D1130" s="4">
        <v>20</v>
      </c>
      <c r="E1130" s="5" t="e">
        <f>VLOOKUP(A1130,N$3:S$1271,4,FALSE)</f>
        <v>#N/A</v>
      </c>
      <c r="F1130" s="6">
        <f t="shared" si="68"/>
        <v>20</v>
      </c>
      <c r="G1130" s="7">
        <f>VLOOKUP(A1130,[1]Sheet!B$3:G$2921,5,0)</f>
        <v>43.85</v>
      </c>
      <c r="H1130" s="5" t="e">
        <f>VLOOKUP(A1130,N$3:S$1271,5,FALSE)</f>
        <v>#N/A</v>
      </c>
      <c r="I1130" s="6">
        <f t="shared" si="69"/>
        <v>43.85</v>
      </c>
      <c r="J1130" s="7">
        <f>VLOOKUP(A1130,[1]Sheet!B$3:G$2921,6,0)</f>
        <v>131.55000000000001</v>
      </c>
      <c r="K1130" s="8" t="e">
        <f t="shared" si="70"/>
        <v>#N/A</v>
      </c>
      <c r="L1130" s="6">
        <f t="shared" si="71"/>
        <v>131.55000000000001</v>
      </c>
    </row>
    <row r="1131" spans="1:12" x14ac:dyDescent="0.25">
      <c r="A1131" s="9" t="s">
        <v>1130</v>
      </c>
      <c r="B1131" s="2" t="str">
        <f>VLOOKUP(A1131,[1]Sheet!B$3:G$2921,2,0)</f>
        <v>Клапан зворотний на Ру 1,0 МПа та Т до
90_С D 15 мм</v>
      </c>
      <c r="C1131" s="3" t="str">
        <f>VLOOKUP(A1131,[1]Sheet!B$3:G$2921,3,0)</f>
        <v>шт</v>
      </c>
      <c r="D1131" s="4">
        <v>2</v>
      </c>
      <c r="E1131" s="5" t="e">
        <f>VLOOKUP(A1131,N$3:S$1271,4,FALSE)</f>
        <v>#N/A</v>
      </c>
      <c r="F1131" s="6">
        <f t="shared" si="68"/>
        <v>2</v>
      </c>
      <c r="G1131" s="7">
        <f>VLOOKUP(A1131,[1]Sheet!B$3:G$2921,5,0)</f>
        <v>169.29</v>
      </c>
      <c r="H1131" s="5" t="e">
        <f>VLOOKUP(A1131,N$3:S$1271,5,FALSE)</f>
        <v>#N/A</v>
      </c>
      <c r="I1131" s="6">
        <f t="shared" si="69"/>
        <v>169.29</v>
      </c>
      <c r="J1131" s="7">
        <f>VLOOKUP(A1131,[1]Sheet!B$3:G$2921,6,0)</f>
        <v>169.29</v>
      </c>
      <c r="K1131" s="8" t="e">
        <f t="shared" si="70"/>
        <v>#N/A</v>
      </c>
      <c r="L1131" s="6">
        <f t="shared" si="71"/>
        <v>169.29</v>
      </c>
    </row>
    <row r="1132" spans="1:12" x14ac:dyDescent="0.25">
      <c r="A1132" s="9" t="s">
        <v>1131</v>
      </c>
      <c r="B1132" s="2" t="str">
        <f>VLOOKUP(A1132,[1]Sheet!B$3:G$2921,2,0)</f>
        <v>Клапан, захищений від ненавмисного
закриття Ду25 мм, "TIEMME" 2240R0706</v>
      </c>
      <c r="C1132" s="3" t="str">
        <f>VLOOKUP(A1132,[1]Sheet!B$3:G$2921,3,0)</f>
        <v>шт</v>
      </c>
      <c r="D1132" s="4">
        <v>1</v>
      </c>
      <c r="E1132" s="5" t="e">
        <f>VLOOKUP(A1132,N$3:S$1271,4,FALSE)</f>
        <v>#N/A</v>
      </c>
      <c r="F1132" s="6">
        <f t="shared" si="68"/>
        <v>1</v>
      </c>
      <c r="G1132" s="7">
        <f>VLOOKUP(A1132,[1]Sheet!B$3:G$2921,5,0)</f>
        <v>659</v>
      </c>
      <c r="H1132" s="5" t="e">
        <f>VLOOKUP(A1132,N$3:S$1271,5,FALSE)</f>
        <v>#N/A</v>
      </c>
      <c r="I1132" s="6">
        <f t="shared" si="69"/>
        <v>659</v>
      </c>
      <c r="J1132" s="7">
        <f>VLOOKUP(A1132,[1]Sheet!B$3:G$2921,6,0)</f>
        <v>659</v>
      </c>
      <c r="K1132" s="8" t="e">
        <f t="shared" si="70"/>
        <v>#N/A</v>
      </c>
      <c r="L1132" s="6">
        <f t="shared" si="71"/>
        <v>659</v>
      </c>
    </row>
    <row r="1133" spans="1:12" x14ac:dyDescent="0.25">
      <c r="A1133" s="9" t="s">
        <v>1132</v>
      </c>
      <c r="B1133" s="2" t="str">
        <f>VLOOKUP(A1133,[1]Sheet!B$3:G$2921,2,0)</f>
        <v>Клапани зворотнi пiдйомнi муфтовi, дiаметр
40 мм "TIEMME", 3500G2808</v>
      </c>
      <c r="C1133" s="3" t="str">
        <f>VLOOKUP(A1133,[1]Sheet!B$3:G$2921,3,0)</f>
        <v>шт</v>
      </c>
      <c r="D1133" s="4">
        <v>5</v>
      </c>
      <c r="E1133" s="5" t="e">
        <f>VLOOKUP(A1133,N$3:S$1271,4,FALSE)</f>
        <v>#N/A</v>
      </c>
      <c r="F1133" s="6">
        <f t="shared" si="68"/>
        <v>5</v>
      </c>
      <c r="G1133" s="7">
        <f>VLOOKUP(A1133,[1]Sheet!B$3:G$2921,5,0)</f>
        <v>543.62</v>
      </c>
      <c r="H1133" s="5" t="e">
        <f>VLOOKUP(A1133,N$3:S$1271,5,FALSE)</f>
        <v>#N/A</v>
      </c>
      <c r="I1133" s="6">
        <f t="shared" si="69"/>
        <v>543.62</v>
      </c>
      <c r="J1133" s="7">
        <f>VLOOKUP(A1133,[1]Sheet!B$3:G$2921,6,0)</f>
        <v>1087.24</v>
      </c>
      <c r="K1133" s="8" t="e">
        <f t="shared" si="70"/>
        <v>#N/A</v>
      </c>
      <c r="L1133" s="6">
        <f t="shared" si="71"/>
        <v>1087.24</v>
      </c>
    </row>
    <row r="1134" spans="1:12" x14ac:dyDescent="0.25">
      <c r="A1134" s="9" t="s">
        <v>1133</v>
      </c>
      <c r="B1134" s="2" t="str">
        <f>VLOOKUP(A1134,[1]Sheet!B$3:G$2921,2,0)</f>
        <v>Термостатичний клапан прохідний, з
плавним прихованим попереднім
налаштуванням, середовище - вода  t = 90-
65C, Ру 1,0 МПа,     Ду 15 мм ГЕРЦ  TS-90-V
"ГЕРЦ"</v>
      </c>
      <c r="C1134" s="3" t="str">
        <f>VLOOKUP(A1134,[1]Sheet!B$3:G$2921,3,0)</f>
        <v>шт</v>
      </c>
      <c r="D1134" s="4">
        <v>38</v>
      </c>
      <c r="E1134" s="5" t="e">
        <f>VLOOKUP(A1134,N$3:S$1271,4,FALSE)</f>
        <v>#N/A</v>
      </c>
      <c r="F1134" s="6">
        <f t="shared" si="68"/>
        <v>38</v>
      </c>
      <c r="G1134" s="7">
        <f>VLOOKUP(A1134,[1]Sheet!B$3:G$2921,5,0)</f>
        <v>504.88</v>
      </c>
      <c r="H1134" s="5" t="e">
        <f>VLOOKUP(A1134,N$3:S$1271,5,FALSE)</f>
        <v>#N/A</v>
      </c>
      <c r="I1134" s="6">
        <f t="shared" si="69"/>
        <v>504.88</v>
      </c>
      <c r="J1134" s="7">
        <f>VLOOKUP(A1134,[1]Sheet!B$3:G$2921,6,0)</f>
        <v>9592.7199999999993</v>
      </c>
      <c r="K1134" s="8" t="e">
        <f t="shared" si="70"/>
        <v>#N/A</v>
      </c>
      <c r="L1134" s="6">
        <f t="shared" si="71"/>
        <v>9592.7199999999993</v>
      </c>
    </row>
    <row r="1135" spans="1:12" x14ac:dyDescent="0.25">
      <c r="A1135" s="9" t="s">
        <v>1134</v>
      </c>
      <c r="B1135" s="2" t="str">
        <f>VLOOKUP(A1135,[1]Sheet!B$3:G$2921,2,0)</f>
        <v>Запірний клапан, з похилим шпинделем, з
двома отварами та різьбовою заглушкою,
середовище - вода, t = 90-65C, тиск 1,6 МПа,
дiаметр 15 мм, 4115 А STROEMAX - A 
"ГЕРЦ"</v>
      </c>
      <c r="C1135" s="3" t="str">
        <f>VLOOKUP(A1135,[1]Sheet!B$3:G$2921,3,0)</f>
        <v>шт</v>
      </c>
      <c r="D1135" s="4">
        <v>4</v>
      </c>
      <c r="E1135" s="5" t="e">
        <f>VLOOKUP(A1135,N$3:S$1271,4,FALSE)</f>
        <v>#N/A</v>
      </c>
      <c r="F1135" s="6">
        <f t="shared" si="68"/>
        <v>4</v>
      </c>
      <c r="G1135" s="7">
        <f>VLOOKUP(A1135,[1]Sheet!B$3:G$2921,5,0)</f>
        <v>624.76</v>
      </c>
      <c r="H1135" s="5" t="e">
        <f>VLOOKUP(A1135,N$3:S$1271,5,FALSE)</f>
        <v>#N/A</v>
      </c>
      <c r="I1135" s="6">
        <f t="shared" si="69"/>
        <v>624.76</v>
      </c>
      <c r="J1135" s="7">
        <f>VLOOKUP(A1135,[1]Sheet!B$3:G$2921,6,0)</f>
        <v>624.76</v>
      </c>
      <c r="K1135" s="8" t="e">
        <f t="shared" si="70"/>
        <v>#N/A</v>
      </c>
      <c r="L1135" s="6">
        <f t="shared" si="71"/>
        <v>624.76</v>
      </c>
    </row>
    <row r="1136" spans="1:12" x14ac:dyDescent="0.25">
      <c r="A1136" s="9" t="s">
        <v>1135</v>
      </c>
      <c r="B1136" s="2" t="str">
        <f>VLOOKUP(A1136,[1]Sheet!B$3:G$2921,2,0)</f>
        <v>Кран для наповнення та зливу
ТHERMOFLEX, для води t= 90-65 С, Ру 1,0
МПа, ду 15 "ГЕРЦ"</v>
      </c>
      <c r="C1136" s="3" t="str">
        <f>VLOOKUP(A1136,[1]Sheet!B$3:G$2921,3,0)</f>
        <v>шт</v>
      </c>
      <c r="D1136" s="4">
        <v>12</v>
      </c>
      <c r="E1136" s="5" t="e">
        <f>VLOOKUP(A1136,N$3:S$1271,4,FALSE)</f>
        <v>#N/A</v>
      </c>
      <c r="F1136" s="6">
        <f t="shared" si="68"/>
        <v>12</v>
      </c>
      <c r="G1136" s="7">
        <f>VLOOKUP(A1136,[1]Sheet!B$3:G$2921,5,0)</f>
        <v>483.27</v>
      </c>
      <c r="H1136" s="5" t="e">
        <f>VLOOKUP(A1136,N$3:S$1271,5,FALSE)</f>
        <v>#N/A</v>
      </c>
      <c r="I1136" s="6">
        <f t="shared" si="69"/>
        <v>483.27</v>
      </c>
      <c r="J1136" s="7">
        <f>VLOOKUP(A1136,[1]Sheet!B$3:G$2921,6,0)</f>
        <v>483.27</v>
      </c>
      <c r="K1136" s="8" t="e">
        <f t="shared" si="70"/>
        <v>#N/A</v>
      </c>
      <c r="L1136" s="6">
        <f t="shared" si="71"/>
        <v>483.27</v>
      </c>
    </row>
    <row r="1137" spans="1:12" x14ac:dyDescent="0.25">
      <c r="A1137" s="9" t="s">
        <v>1136</v>
      </c>
      <c r="B1137" s="2" t="str">
        <f>VLOOKUP(A1137,[1]Sheet!B$3:G$2921,2,0)</f>
        <v>Крани шарові муфтовi, дiаметр 40 мм
"TIEMME", 2230G0708</v>
      </c>
      <c r="C1137" s="3" t="str">
        <f>VLOOKUP(A1137,[1]Sheet!B$3:G$2921,3,0)</f>
        <v>шт</v>
      </c>
      <c r="D1137" s="4">
        <v>23</v>
      </c>
      <c r="E1137" s="5" t="e">
        <f>VLOOKUP(A1137,N$3:S$1271,4,FALSE)</f>
        <v>#N/A</v>
      </c>
      <c r="F1137" s="6">
        <f t="shared" si="68"/>
        <v>23</v>
      </c>
      <c r="G1137" s="7">
        <f>VLOOKUP(A1137,[1]Sheet!B$3:G$2921,5,0)</f>
        <v>1362.61</v>
      </c>
      <c r="H1137" s="5" t="e">
        <f>VLOOKUP(A1137,N$3:S$1271,5,FALSE)</f>
        <v>#N/A</v>
      </c>
      <c r="I1137" s="6">
        <f t="shared" si="69"/>
        <v>1362.61</v>
      </c>
      <c r="J1137" s="7">
        <f>VLOOKUP(A1137,[1]Sheet!B$3:G$2921,6,0)</f>
        <v>5450.44</v>
      </c>
      <c r="K1137" s="8" t="e">
        <f t="shared" si="70"/>
        <v>#N/A</v>
      </c>
      <c r="L1137" s="6">
        <f t="shared" si="71"/>
        <v>5450.44</v>
      </c>
    </row>
    <row r="1138" spans="1:12" x14ac:dyDescent="0.25">
      <c r="A1138" s="9" t="s">
        <v>1137</v>
      </c>
      <c r="B1138" s="2" t="str">
        <f>VLOOKUP(A1138,[1]Sheet!B$3:G$2921,2,0)</f>
        <v>Засувки паралельнi фланцевi з висувним
шпiнделем 30ч6бр для води та пари, тиск 1
МПа [10 кгс/см2], дiаметр 50 мм</v>
      </c>
      <c r="C1138" s="3" t="str">
        <f>VLOOKUP(A1138,[1]Sheet!B$3:G$2921,3,0)</f>
        <v>шт</v>
      </c>
      <c r="D1138" s="4">
        <v>1</v>
      </c>
      <c r="E1138" s="5" t="e">
        <f>VLOOKUP(A1138,N$3:S$1271,4,FALSE)</f>
        <v>#N/A</v>
      </c>
      <c r="F1138" s="6">
        <f t="shared" si="68"/>
        <v>1</v>
      </c>
      <c r="G1138" s="7">
        <f>VLOOKUP(A1138,[1]Sheet!B$3:G$2921,5,0)</f>
        <v>795.03</v>
      </c>
      <c r="H1138" s="5" t="e">
        <f>VLOOKUP(A1138,N$3:S$1271,5,FALSE)</f>
        <v>#N/A</v>
      </c>
      <c r="I1138" s="6">
        <f t="shared" si="69"/>
        <v>795.03</v>
      </c>
      <c r="J1138" s="7">
        <f>VLOOKUP(A1138,[1]Sheet!B$3:G$2921,6,0)</f>
        <v>795.03</v>
      </c>
      <c r="K1138" s="8" t="e">
        <f t="shared" si="70"/>
        <v>#N/A</v>
      </c>
      <c r="L1138" s="6">
        <f t="shared" si="71"/>
        <v>795.03</v>
      </c>
    </row>
    <row r="1139" spans="1:12" x14ac:dyDescent="0.25">
      <c r="A1139" s="9" t="s">
        <v>1138</v>
      </c>
      <c r="B1139" s="2" t="str">
        <f>VLOOKUP(A1139,[1]Sheet!B$3:G$2921,2,0)</f>
        <v>Повітровипускний кран типа "Маєвського" ду
10</v>
      </c>
      <c r="C1139" s="3" t="str">
        <f>VLOOKUP(A1139,[1]Sheet!B$3:G$2921,3,0)</f>
        <v>шт</v>
      </c>
      <c r="D1139" s="4">
        <v>19</v>
      </c>
      <c r="E1139" s="5" t="e">
        <f>VLOOKUP(A1139,N$3:S$1271,4,FALSE)</f>
        <v>#N/A</v>
      </c>
      <c r="F1139" s="6">
        <f t="shared" si="68"/>
        <v>19</v>
      </c>
      <c r="G1139" s="7">
        <f>VLOOKUP(A1139,[1]Sheet!B$3:G$2921,5,0)</f>
        <v>18.510000000000002</v>
      </c>
      <c r="H1139" s="5" t="e">
        <f>VLOOKUP(A1139,N$3:S$1271,5,FALSE)</f>
        <v>#N/A</v>
      </c>
      <c r="I1139" s="6">
        <f t="shared" si="69"/>
        <v>18.510000000000002</v>
      </c>
      <c r="J1139" s="7">
        <f>VLOOKUP(A1139,[1]Sheet!B$3:G$2921,6,0)</f>
        <v>351.69</v>
      </c>
      <c r="K1139" s="8" t="e">
        <f t="shared" si="70"/>
        <v>#N/A</v>
      </c>
      <c r="L1139" s="6">
        <f t="shared" si="71"/>
        <v>351.69</v>
      </c>
    </row>
    <row r="1140" spans="1:12" x14ac:dyDescent="0.25">
      <c r="A1140" s="9" t="s">
        <v>1139</v>
      </c>
      <c r="B1140" s="2" t="str">
        <f>VLOOKUP(A1140,[1]Sheet!B$3:G$2921,2,0)</f>
        <v>Кран кульовий муфтовий для води Ру до 1,6
МПа та Т до 150_С, DN 25 мм</v>
      </c>
      <c r="C1140" s="3" t="str">
        <f>VLOOKUP(A1140,[1]Sheet!B$3:G$2921,3,0)</f>
        <v>шт</v>
      </c>
      <c r="D1140" s="4">
        <v>8</v>
      </c>
      <c r="E1140" s="5" t="e">
        <f>VLOOKUP(A1140,N$3:S$1271,4,FALSE)</f>
        <v>#N/A</v>
      </c>
      <c r="F1140" s="6">
        <f t="shared" si="68"/>
        <v>8</v>
      </c>
      <c r="G1140" s="7">
        <f>VLOOKUP(A1140,[1]Sheet!B$3:G$2921,5,0)</f>
        <v>214.24</v>
      </c>
      <c r="H1140" s="5" t="e">
        <f>VLOOKUP(A1140,N$3:S$1271,5,FALSE)</f>
        <v>#N/A</v>
      </c>
      <c r="I1140" s="6">
        <f t="shared" si="69"/>
        <v>214.24</v>
      </c>
      <c r="J1140" s="7">
        <f>VLOOKUP(A1140,[1]Sheet!B$3:G$2921,6,0)</f>
        <v>856.96</v>
      </c>
      <c r="K1140" s="8" t="e">
        <f t="shared" si="70"/>
        <v>#N/A</v>
      </c>
      <c r="L1140" s="6">
        <f t="shared" si="71"/>
        <v>856.96</v>
      </c>
    </row>
    <row r="1141" spans="1:12" x14ac:dyDescent="0.25">
      <c r="A1141" s="9" t="s">
        <v>1140</v>
      </c>
      <c r="B1141" s="2" t="str">
        <f>VLOOKUP(A1141,[1]Sheet!B$3:G$2921,2,0)</f>
        <v>Кран кульовий муфтовий для води Ру до 1,6
МПа та Т до 150_С, DN 32 мм</v>
      </c>
      <c r="C1141" s="3" t="str">
        <f>VLOOKUP(A1141,[1]Sheet!B$3:G$2921,3,0)</f>
        <v>шт</v>
      </c>
      <c r="D1141" s="4">
        <v>6</v>
      </c>
      <c r="E1141" s="5" t="e">
        <f>VLOOKUP(A1141,N$3:S$1271,4,FALSE)</f>
        <v>#N/A</v>
      </c>
      <c r="F1141" s="6">
        <f t="shared" si="68"/>
        <v>6</v>
      </c>
      <c r="G1141" s="7">
        <f>VLOOKUP(A1141,[1]Sheet!B$3:G$2921,5,0)</f>
        <v>311.68</v>
      </c>
      <c r="H1141" s="5" t="e">
        <f>VLOOKUP(A1141,N$3:S$1271,5,FALSE)</f>
        <v>#N/A</v>
      </c>
      <c r="I1141" s="6">
        <f t="shared" si="69"/>
        <v>311.68</v>
      </c>
      <c r="J1141" s="7">
        <f>VLOOKUP(A1141,[1]Sheet!B$3:G$2921,6,0)</f>
        <v>935.04</v>
      </c>
      <c r="K1141" s="8" t="e">
        <f t="shared" si="70"/>
        <v>#N/A</v>
      </c>
      <c r="L1141" s="6">
        <f t="shared" si="71"/>
        <v>935.04</v>
      </c>
    </row>
    <row r="1142" spans="1:12" x14ac:dyDescent="0.25">
      <c r="A1142" s="9" t="s">
        <v>1141</v>
      </c>
      <c r="B1142" s="2" t="str">
        <f>VLOOKUP(A1142,[1]Sheet!B$3:G$2921,2,0)</f>
        <v>Кран кульовий муфтовий для води Ру до 1,6
МПа та Т до 150_С, DN 50 мм</v>
      </c>
      <c r="C1142" s="3" t="str">
        <f>VLOOKUP(A1142,[1]Sheet!B$3:G$2921,3,0)</f>
        <v>шт</v>
      </c>
      <c r="D1142" s="4">
        <v>1</v>
      </c>
      <c r="E1142" s="5" t="e">
        <f>VLOOKUP(A1142,N$3:S$1271,4,FALSE)</f>
        <v>#N/A</v>
      </c>
      <c r="F1142" s="6">
        <f t="shared" si="68"/>
        <v>1</v>
      </c>
      <c r="G1142" s="7">
        <f>VLOOKUP(A1142,[1]Sheet!B$3:G$2921,5,0)</f>
        <v>663.17</v>
      </c>
      <c r="H1142" s="5" t="e">
        <f>VLOOKUP(A1142,N$3:S$1271,5,FALSE)</f>
        <v>#N/A</v>
      </c>
      <c r="I1142" s="6">
        <f t="shared" si="69"/>
        <v>663.17</v>
      </c>
      <c r="J1142" s="7">
        <f>VLOOKUP(A1142,[1]Sheet!B$3:G$2921,6,0)</f>
        <v>663.17</v>
      </c>
      <c r="K1142" s="8" t="e">
        <f t="shared" si="70"/>
        <v>#N/A</v>
      </c>
      <c r="L1142" s="6">
        <f t="shared" si="71"/>
        <v>663.17</v>
      </c>
    </row>
    <row r="1143" spans="1:12" x14ac:dyDescent="0.25">
      <c r="A1143" s="1" t="s">
        <v>1142</v>
      </c>
      <c r="B1143" s="2" t="str">
        <f>VLOOKUP(A1143,[1]Sheet!B$3:G$2921,2,0)</f>
        <v>Засувки паралельнi фланцевi з висувним
шпiнделем 30ч6бр для води та пари, тиск 1
МПа [10 кгс/см2], дiаметр 150 мм</v>
      </c>
      <c r="C1143" s="3" t="str">
        <f>VLOOKUP(A1143,[1]Sheet!B$3:G$2921,3,0)</f>
        <v>шт</v>
      </c>
      <c r="D1143" s="4">
        <v>2</v>
      </c>
      <c r="E1143" s="5" t="e">
        <f>VLOOKUP(A1143,N$3:S$1271,4,FALSE)</f>
        <v>#N/A</v>
      </c>
      <c r="F1143" s="6">
        <f t="shared" si="68"/>
        <v>2</v>
      </c>
      <c r="G1143" s="7">
        <f>VLOOKUP(A1143,[1]Sheet!B$3:G$2921,5,0)</f>
        <v>5069.9399999999996</v>
      </c>
      <c r="H1143" s="5" t="e">
        <f>VLOOKUP(A1143,N$3:S$1271,5,FALSE)</f>
        <v>#N/A</v>
      </c>
      <c r="I1143" s="6">
        <f t="shared" si="69"/>
        <v>5069.9399999999996</v>
      </c>
      <c r="J1143" s="7">
        <f>VLOOKUP(A1143,[1]Sheet!B$3:G$2921,6,0)</f>
        <v>10139.879999999999</v>
      </c>
      <c r="K1143" s="8" t="e">
        <f t="shared" si="70"/>
        <v>#N/A</v>
      </c>
      <c r="L1143" s="6">
        <f t="shared" si="71"/>
        <v>10139.879999999999</v>
      </c>
    </row>
    <row r="1144" spans="1:12" x14ac:dyDescent="0.25">
      <c r="A1144" s="9" t="s">
        <v>1143</v>
      </c>
      <c r="B1144" s="2" t="str">
        <f>VLOOKUP(A1144,[1]Sheet!B$3:G$2921,2,0)</f>
        <v>Круглий дифузор, фіксовані кільця,
кріплення до регулятора, регулятор витрат
повітря, типорозмір 8 OD1/8-L2 розм. 8 IMP
Klima   Lindab</v>
      </c>
      <c r="C1144" s="3" t="str">
        <f>VLOOKUP(A1144,[1]Sheet!B$3:G$2921,3,0)</f>
        <v>шт</v>
      </c>
      <c r="D1144" s="4">
        <v>66</v>
      </c>
      <c r="E1144" s="5" t="e">
        <f>VLOOKUP(A1144,N$3:S$1271,4,FALSE)</f>
        <v>#N/A</v>
      </c>
      <c r="F1144" s="6">
        <f t="shared" si="68"/>
        <v>66</v>
      </c>
      <c r="G1144" s="7">
        <f>VLOOKUP(A1144,[1]Sheet!B$3:G$2921,5,0)</f>
        <v>5670.49</v>
      </c>
      <c r="H1144" s="5" t="e">
        <f>VLOOKUP(A1144,N$3:S$1271,5,FALSE)</f>
        <v>#N/A</v>
      </c>
      <c r="I1144" s="6">
        <f t="shared" si="69"/>
        <v>5670.49</v>
      </c>
      <c r="J1144" s="7">
        <f>VLOOKUP(A1144,[1]Sheet!B$3:G$2921,6,0)</f>
        <v>28352.45</v>
      </c>
      <c r="K1144" s="8" t="e">
        <f t="shared" si="70"/>
        <v>#N/A</v>
      </c>
      <c r="L1144" s="6">
        <f t="shared" si="71"/>
        <v>28352.45</v>
      </c>
    </row>
    <row r="1145" spans="1:12" x14ac:dyDescent="0.25">
      <c r="A1145" s="9" t="s">
        <v>1144</v>
      </c>
      <c r="B1145" s="2" t="str">
        <f>VLOOKUP(A1145,[1]Sheet!B$3:G$2921,2,0)</f>
        <v>Кліпса монтажна, діам.20мм</v>
      </c>
      <c r="C1145" s="3" t="str">
        <f>VLOOKUP(A1145,[1]Sheet!B$3:G$2921,3,0)</f>
        <v>шт</v>
      </c>
      <c r="D1145" s="4">
        <v>984</v>
      </c>
      <c r="E1145" s="5" t="e">
        <f>VLOOKUP(A1145,N$3:S$1271,4,FALSE)</f>
        <v>#N/A</v>
      </c>
      <c r="F1145" s="6">
        <f t="shared" si="68"/>
        <v>984</v>
      </c>
      <c r="G1145" s="7">
        <f>VLOOKUP(A1145,[1]Sheet!B$3:G$2921,5,0)</f>
        <v>3.42</v>
      </c>
      <c r="H1145" s="5" t="e">
        <f>VLOOKUP(A1145,N$3:S$1271,5,FALSE)</f>
        <v>#N/A</v>
      </c>
      <c r="I1145" s="6">
        <f t="shared" si="69"/>
        <v>3.42</v>
      </c>
      <c r="J1145" s="7">
        <f>VLOOKUP(A1145,[1]Sheet!B$3:G$2921,6,0)</f>
        <v>564.29999999999995</v>
      </c>
      <c r="K1145" s="8" t="e">
        <f t="shared" si="70"/>
        <v>#N/A</v>
      </c>
      <c r="L1145" s="6">
        <f t="shared" si="71"/>
        <v>564.29999999999995</v>
      </c>
    </row>
    <row r="1146" spans="1:12" x14ac:dyDescent="0.25">
      <c r="A1146" s="9" t="s">
        <v>1145</v>
      </c>
      <c r="B1146" s="2" t="str">
        <f>VLOOKUP(A1146,[1]Sheet!B$3:G$2921,2,0)</f>
        <v>Сифон  M/F L-110 мм "Kaczmarek"</v>
      </c>
      <c r="C1146" s="3" t="str">
        <f>VLOOKUP(A1146,[1]Sheet!B$3:G$2921,3,0)</f>
        <v>шт</v>
      </c>
      <c r="D1146" s="4">
        <v>3</v>
      </c>
      <c r="E1146" s="5" t="e">
        <f>VLOOKUP(A1146,N$3:S$1271,4,FALSE)</f>
        <v>#N/A</v>
      </c>
      <c r="F1146" s="6">
        <f t="shared" si="68"/>
        <v>3</v>
      </c>
      <c r="G1146" s="7">
        <f>VLOOKUP(A1146,[1]Sheet!B$3:G$2921,5,0)</f>
        <v>145.61000000000001</v>
      </c>
      <c r="H1146" s="5" t="e">
        <f>VLOOKUP(A1146,N$3:S$1271,5,FALSE)</f>
        <v>#N/A</v>
      </c>
      <c r="I1146" s="6">
        <f t="shared" si="69"/>
        <v>145.61000000000001</v>
      </c>
      <c r="J1146" s="7">
        <f>VLOOKUP(A1146,[1]Sheet!B$3:G$2921,6,0)</f>
        <v>145.61000000000001</v>
      </c>
      <c r="K1146" s="8" t="e">
        <f t="shared" si="70"/>
        <v>#N/A</v>
      </c>
      <c r="L1146" s="6">
        <f t="shared" si="71"/>
        <v>145.61000000000001</v>
      </c>
    </row>
    <row r="1147" spans="1:12" x14ac:dyDescent="0.25">
      <c r="A1147" s="1" t="s">
        <v>1146</v>
      </c>
      <c r="B1147" s="2" t="str">
        <f>VLOOKUP(A1147,[1]Sheet!B$3:G$2921,2,0)</f>
        <v>Профільована мембрана Planter standart
ф.ТехноНІКОЛЬ</v>
      </c>
      <c r="C1147" s="3" t="str">
        <f>VLOOKUP(A1147,[1]Sheet!B$3:G$2921,3,0)</f>
        <v>м2</v>
      </c>
      <c r="D1147" s="4">
        <v>64.260000000000005</v>
      </c>
      <c r="E1147" s="5" t="e">
        <f>VLOOKUP(A1147,N$3:S$1271,4,FALSE)</f>
        <v>#N/A</v>
      </c>
      <c r="F1147" s="6">
        <f t="shared" si="68"/>
        <v>64.260000000000005</v>
      </c>
      <c r="G1147" s="7">
        <f>VLOOKUP(A1147,[1]Sheet!B$3:G$2921,5,0)</f>
        <v>48.46</v>
      </c>
      <c r="H1147" s="5" t="e">
        <f>VLOOKUP(A1147,N$3:S$1271,5,FALSE)</f>
        <v>#N/A</v>
      </c>
      <c r="I1147" s="6">
        <f t="shared" si="69"/>
        <v>48.46</v>
      </c>
      <c r="J1147" s="7">
        <f>VLOOKUP(A1147,[1]Sheet!B$3:G$2921,6,0)</f>
        <v>3114.04</v>
      </c>
      <c r="K1147" s="8" t="e">
        <f t="shared" si="70"/>
        <v>#N/A</v>
      </c>
      <c r="L1147" s="6">
        <f t="shared" si="71"/>
        <v>3114.04</v>
      </c>
    </row>
    <row r="1148" spans="1:12" x14ac:dyDescent="0.25">
      <c r="A1148" s="9" t="s">
        <v>1147</v>
      </c>
      <c r="B1148" s="2" t="str">
        <f>VLOOKUP(A1148,[1]Sheet!B$3:G$2921,2,0)</f>
        <v>Фарба Baumit SilikonColor</v>
      </c>
      <c r="C1148" s="3" t="str">
        <f>VLOOKUP(A1148,[1]Sheet!B$3:G$2921,3,0)</f>
        <v>кг</v>
      </c>
      <c r="D1148" s="4">
        <v>11.295</v>
      </c>
      <c r="E1148" s="5" t="e">
        <f>VLOOKUP(A1148,N$3:S$1271,4,FALSE)</f>
        <v>#N/A</v>
      </c>
      <c r="F1148" s="6">
        <f t="shared" si="68"/>
        <v>11.295</v>
      </c>
      <c r="G1148" s="7">
        <f>VLOOKUP(A1148,[1]Sheet!B$3:G$2921,5,0)</f>
        <v>135.53</v>
      </c>
      <c r="H1148" s="5" t="e">
        <f>VLOOKUP(A1148,N$3:S$1271,5,FALSE)</f>
        <v>#N/A</v>
      </c>
      <c r="I1148" s="6">
        <f t="shared" si="69"/>
        <v>135.53</v>
      </c>
      <c r="J1148" s="7">
        <f>VLOOKUP(A1148,[1]Sheet!B$3:G$2921,6,0)</f>
        <v>1517.2</v>
      </c>
      <c r="K1148" s="8" t="e">
        <f t="shared" si="70"/>
        <v>#N/A</v>
      </c>
      <c r="L1148" s="6">
        <f t="shared" si="71"/>
        <v>1517.2</v>
      </c>
    </row>
    <row r="1149" spans="1:12" x14ac:dyDescent="0.25">
      <c r="A1149" s="1" t="s">
        <v>1148</v>
      </c>
      <c r="B1149" s="2" t="str">
        <f>VLOOKUP(A1149,[1]Sheet!B$3:G$2921,2,0)</f>
        <v>Перевезення грунту до 30 км</v>
      </c>
      <c r="C1149" s="3" t="str">
        <f>VLOOKUP(A1149,[1]Sheet!B$3:G$2921,3,0)</f>
        <v>т</v>
      </c>
      <c r="D1149" s="4">
        <v>2400.4339999999997</v>
      </c>
      <c r="E1149" s="5" t="e">
        <f>VLOOKUP(A1149,N$3:S$1271,4,FALSE)</f>
        <v>#N/A</v>
      </c>
      <c r="F1149" s="6">
        <f t="shared" si="68"/>
        <v>2400.4339999999997</v>
      </c>
      <c r="G1149" s="7">
        <f>VLOOKUP(A1149,[1]Sheet!B$3:G$2921,5,0)</f>
        <v>180</v>
      </c>
      <c r="H1149" s="5" t="e">
        <f>VLOOKUP(A1149,N$3:S$1271,5,FALSE)</f>
        <v>#N/A</v>
      </c>
      <c r="I1149" s="6">
        <f t="shared" si="69"/>
        <v>180</v>
      </c>
      <c r="J1149" s="7">
        <f>VLOOKUP(A1149,[1]Sheet!B$3:G$2921,6,0)</f>
        <v>340712.64</v>
      </c>
      <c r="K1149" s="8" t="e">
        <f t="shared" si="70"/>
        <v>#N/A</v>
      </c>
      <c r="L1149" s="6">
        <f t="shared" si="71"/>
        <v>340712.64</v>
      </c>
    </row>
    <row r="1150" spans="1:12" x14ac:dyDescent="0.25">
      <c r="A1150" s="9" t="s">
        <v>1149</v>
      </c>
      <c r="B1150" s="2" t="str">
        <f>VLOOKUP(A1150,[1]Sheet!B$3:G$2921,2,0)</f>
        <v>Перевезення сміття до 30 км</v>
      </c>
      <c r="C1150" s="3" t="str">
        <f>VLOOKUP(A1150,[1]Sheet!B$3:G$2921,3,0)</f>
        <v>т</v>
      </c>
      <c r="D1150" s="4">
        <v>117.78200000000001</v>
      </c>
      <c r="E1150" s="5" t="e">
        <f>VLOOKUP(A1150,N$3:S$1271,4,FALSE)</f>
        <v>#N/A</v>
      </c>
      <c r="F1150" s="6">
        <f t="shared" si="68"/>
        <v>117.78200000000001</v>
      </c>
      <c r="G1150" s="7">
        <f>VLOOKUP(A1150,[1]Sheet!B$3:G$2921,5,0)</f>
        <v>195</v>
      </c>
      <c r="H1150" s="5" t="e">
        <f>VLOOKUP(A1150,N$3:S$1271,5,FALSE)</f>
        <v>#N/A</v>
      </c>
      <c r="I1150" s="6">
        <f t="shared" si="69"/>
        <v>195</v>
      </c>
      <c r="J1150" s="7">
        <f>VLOOKUP(A1150,[1]Sheet!B$3:G$2921,6,0)</f>
        <v>193.05</v>
      </c>
      <c r="K1150" s="8" t="e">
        <f t="shared" si="70"/>
        <v>#N/A</v>
      </c>
      <c r="L1150" s="6">
        <f t="shared" si="71"/>
        <v>193.05</v>
      </c>
    </row>
    <row r="1151" spans="1:12" x14ac:dyDescent="0.25">
      <c r="A1151" s="9" t="s">
        <v>1150</v>
      </c>
      <c r="B1151" s="2" t="str">
        <f>VLOOKUP(A1151,[1]Sheet!B$3:G$2921,2,0)</f>
        <v>Улаштування теплоізоляції вертикальних
будівельних конструкцій з дрібноштучних
стінових матеріалів із застосуванням
системи утеплення CERESIT ППС при
товщині плити від 50 мм до 120 мм,
фінішний шар - штукатурка декоратина</v>
      </c>
      <c r="C1151" s="3" t="str">
        <f>VLOOKUP(A1151,[1]Sheet!B$3:G$2921,3,0)</f>
        <v>100м2</v>
      </c>
      <c r="D1151" s="4">
        <v>0.36299999999999999</v>
      </c>
      <c r="E1151" s="5" t="e">
        <f>VLOOKUP(A1151,N$3:S$1271,4,FALSE)</f>
        <v>#N/A</v>
      </c>
      <c r="F1151" s="6">
        <f t="shared" si="68"/>
        <v>0.36299999999999999</v>
      </c>
      <c r="G1151" s="7">
        <f>VLOOKUP(A1151,[1]Sheet!B$3:G$2921,5,0)</f>
        <v>35410.839999999997</v>
      </c>
      <c r="H1151" s="5" t="e">
        <f>VLOOKUP(A1151,N$3:S$1271,5,FALSE)</f>
        <v>#N/A</v>
      </c>
      <c r="I1151" s="6">
        <f t="shared" si="69"/>
        <v>35410.839999999997</v>
      </c>
      <c r="J1151" s="7">
        <f>VLOOKUP(A1151,[1]Sheet!B$3:G$2921,6,0)</f>
        <v>12854.13</v>
      </c>
      <c r="K1151" s="8" t="e">
        <f t="shared" si="70"/>
        <v>#N/A</v>
      </c>
      <c r="L1151" s="6">
        <f t="shared" si="71"/>
        <v>12854.13</v>
      </c>
    </row>
  </sheetData>
  <conditionalFormatting sqref="A2:A115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2022-06-05T17:48:19Z</dcterms:modified>
</cp:coreProperties>
</file>